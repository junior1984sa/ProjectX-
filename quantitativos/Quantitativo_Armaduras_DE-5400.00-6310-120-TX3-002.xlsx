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  <sheet name="Lista de Barras" sheetId="2" state="visible" r:id="rId2"/>
    <sheet name="Resumo por Bitola" sheetId="3" state="visible" r:id="rId3"/>
    <sheet name="Resumo por Posição" sheetId="4" state="visible" r:id="rId4"/>
    <sheet name="Quantitativo Unitário" sheetId="5" state="visible" r:id="rId5"/>
    <sheet name="Geometria e Seções" sheetId="6" state="visible" r:id="rId6"/>
    <sheet name="Parâmetros Técnicos" sheetId="7" state="visible" r:id="rId7"/>
    <sheet name="Validações" sheetId="8" state="visible" r:id="rId8"/>
    <sheet name="Leia-me" sheetId="9" state="visible" r:id="rId9"/>
  </sheets>
  <definedNames>
    <definedName name="_xlnm.Print_Titles" localSheetId="1">'Lista de Barras'!$1:$5</definedName>
    <definedName name="_xlnm.Print_Titles" localSheetId="2">'Resumo por Bitola'!$1:$5</definedName>
    <definedName name="_xlnm.Print_Titles" localSheetId="3">'Resumo por Posição'!$1:$5</definedName>
    <definedName name="_xlnm.Print_Titles" localSheetId="4">'Quantitativo Unitário'!$1:$5</definedName>
    <definedName name="_xlnm.Print_Titles" localSheetId="5">'Geometria e Seções'!$1:$5</definedName>
    <definedName name="_xlnm.Print_Titles" localSheetId="6">'Parâmetros Técnicos'!$1:$5</definedName>
    <definedName name="_xlnm.Print_Titles" localSheetId="7">'Validações'!$1:$5</definedName>
    <definedName name="_xlnm.Print_Titles" localSheetId="8">'Leia-me'!$1:$5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82532"/>
      <sz val="9"/>
    </font>
    <font>
      <name val="Arial"/>
      <b val="1"/>
      <color rgb="FFFFFFFF"/>
      <sz val="11"/>
    </font>
    <font>
      <name val="Arial"/>
      <b val="1"/>
      <color rgb="FF8A4B0F"/>
      <sz val="9"/>
    </font>
    <font>
      <name val="Arial"/>
      <b val="1"/>
      <color rgb="FF182532"/>
      <sz val="20"/>
    </font>
    <font>
      <name val="Arial"/>
      <b val="1"/>
      <color rgb="FF8A4B0F"/>
      <sz val="8"/>
    </font>
  </fonts>
  <fills count="11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FDF3E3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4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4" fontId="10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de aço por bitola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'Dashboard Executivo'!$A$17:$A$19</f>
            </numRef>
          </cat>
          <val>
            <numRef>
              <f>'Dashboard Executivo'!$C$17:$C$19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Bitola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por função estrutural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Executivo'!J16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dPt>
            <idx val="2"/>
            <spPr>
              <a:solidFill>
                <a:srgbClr val="31556F"/>
              </a:solidFill>
              <a:ln>
                <a:prstDash val="solid"/>
              </a:ln>
            </spPr>
          </dPt>
          <dPt>
            <idx val="3"/>
            <spPr>
              <a:solidFill>
                <a:srgbClr val="5E8B76"/>
              </a:solidFill>
              <a:ln>
                <a:prstDash val="solid"/>
              </a:ln>
            </spPr>
          </dPt>
          <cat>
            <numRef>
              <f>'Dashboard Executivo'!$H$17:$H$20</f>
            </numRef>
          </cat>
          <val>
            <numRef>
              <f>'Dashboard Executivo'!$J$17:$J$20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por posição de barra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Posição'!E5</f>
            </strRef>
          </tx>
          <spPr>
            <a:solidFill>
              <a:srgbClr val="31556F"/>
            </a:solidFill>
            <a:ln>
              <a:prstDash val="solid"/>
            </a:ln>
          </spPr>
          <cat>
            <numRef>
              <f>'Resumo por Posição'!$A$6:$A$18</f>
            </numRef>
          </cat>
          <val>
            <numRef>
              <f>'Resumo por Posição'!$E$6:$E$18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Posição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616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5616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1152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QUANTITATIVOS - ARMADURAS DAS FUNDAÇÕES DOS TQ-6310816/817 A/B/C/D</t>
        </is>
      </c>
    </row>
    <row r="2" ht="24" customHeight="1">
      <c r="A2" s="2" t="inlineStr">
        <is>
          <t>Prancha DE-5400.00-6310-120-TX3-002 Rev. 0 (07/08/2026)  |  TQ-6310816A/B/C/D &amp; TQ-6310817A/B/C/D (8x)  |  U-6310 - Refino Boaventura  |  Escopo: armadura passiva CA-50</t>
        </is>
      </c>
    </row>
    <row r="4">
      <c r="A4" s="3" t="inlineStr">
        <is>
          <t>MASSA TOTAL DE AÇO</t>
        </is>
      </c>
      <c r="B4" s="4" t="n"/>
      <c r="C4" s="4" t="n"/>
      <c r="D4" s="5" t="inlineStr">
        <is>
          <t>COMPRIMENTO TOTAL</t>
        </is>
      </c>
      <c r="E4" s="4" t="n"/>
      <c r="F4" s="4" t="n"/>
      <c r="G4" s="6" t="inlineStr">
        <is>
          <t>FUNDAÇÕES ATENDIDAS</t>
        </is>
      </c>
      <c r="H4" s="4" t="n"/>
      <c r="I4" s="4" t="n"/>
      <c r="J4" s="7" t="inlineStr">
        <is>
          <t>POSIÇÕES DE BARRA</t>
        </is>
      </c>
      <c r="K4" s="4" t="n"/>
      <c r="L4" s="4" t="n"/>
    </row>
    <row r="5">
      <c r="A5" s="8" t="n">
        <v>30598.9</v>
      </c>
      <c r="B5" s="4" t="n"/>
      <c r="C5" s="4" t="n"/>
      <c r="D5" s="8" t="n">
        <v>24516.56</v>
      </c>
      <c r="E5" s="4" t="n"/>
      <c r="F5" s="4" t="n"/>
      <c r="G5" s="9" t="n">
        <v>8</v>
      </c>
      <c r="H5" s="4" t="n"/>
      <c r="I5" s="4" t="n"/>
      <c r="J5" s="9" t="n">
        <v>13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10" t="inlineStr">
        <is>
          <t>kg de armadura CA-50 (8 fundações)</t>
        </is>
      </c>
      <c r="D7" s="10" t="inlineStr">
        <is>
          <t>m lineares de barra</t>
        </is>
      </c>
      <c r="G7" s="10" t="inlineStr">
        <is>
          <t>tanques cobertos pela prancha</t>
        </is>
      </c>
      <c r="J7" s="10" t="inlineStr">
        <is>
          <t>posições N1 a N13 na lista</t>
        </is>
      </c>
    </row>
    <row r="9">
      <c r="A9" s="7" t="inlineStr">
        <is>
          <t>MASSA POR FUNDAÇÃO</t>
        </is>
      </c>
      <c r="B9" s="4" t="n"/>
      <c r="C9" s="4" t="n"/>
      <c r="D9" s="6" t="inlineStr">
        <is>
          <t>BITOLAS EMPREGADAS</t>
        </is>
      </c>
      <c r="E9" s="4" t="n"/>
      <c r="F9" s="4" t="n"/>
      <c r="G9" s="5" t="inlineStr">
        <is>
          <t>ESTRIBOS</t>
        </is>
      </c>
      <c r="H9" s="4" t="n"/>
      <c r="I9" s="4" t="n"/>
      <c r="J9" s="3" t="inlineStr">
        <is>
          <t>BARRAS DE 12 m</t>
        </is>
      </c>
      <c r="K9" s="4" t="n"/>
      <c r="L9" s="4" t="n"/>
    </row>
    <row r="10">
      <c r="A10" s="8" t="n">
        <v>3824.86</v>
      </c>
      <c r="B10" s="4" t="n"/>
      <c r="C10" s="4" t="n"/>
      <c r="D10" s="9" t="n">
        <v>3</v>
      </c>
      <c r="E10" s="4" t="n"/>
      <c r="F10" s="4" t="n"/>
      <c r="G10" s="9" t="n">
        <v>2464</v>
      </c>
      <c r="H10" s="4" t="n"/>
      <c r="I10" s="4" t="n"/>
      <c r="J10" s="9" t="n">
        <v>2045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10" t="inlineStr">
        <is>
          <t>kg de aço por tanque</t>
        </is>
      </c>
      <c r="D12" s="10" t="inlineStr">
        <is>
          <t>bitolas distintas — aço CA-50</t>
        </is>
      </c>
      <c r="G12" s="10" t="inlineStr">
        <is>
          <t>un de estribo no conjunto</t>
        </is>
      </c>
      <c r="J12" s="10" t="inlineStr">
        <is>
          <t>un equivalentes para suprimento</t>
        </is>
      </c>
    </row>
    <row r="15" ht="22" customHeight="1">
      <c r="A15" s="11" t="inlineStr">
        <is>
          <t>COMPOSIÇÃO POR BITOLA</t>
        </is>
      </c>
      <c r="B15" s="12" t="n"/>
      <c r="C15" s="12" t="n"/>
      <c r="D15" s="12" t="n"/>
      <c r="E15" s="12" t="n"/>
      <c r="H15" s="11" t="inlineStr">
        <is>
          <t>PARTICIPAÇÃO POR FUNÇÃO ESTRUTURAL</t>
        </is>
      </c>
      <c r="I15" s="12" t="n"/>
      <c r="J15" s="12" t="n"/>
      <c r="K15" s="12" t="n"/>
    </row>
    <row r="16" ht="26" customHeight="1">
      <c r="A16" s="13" t="inlineStr">
        <is>
          <t>Bitola</t>
        </is>
      </c>
      <c r="B16" s="13" t="inlineStr">
        <is>
          <t>Compr. total (m)</t>
        </is>
      </c>
      <c r="C16" s="13" t="inlineStr">
        <is>
          <t>Massa (kg)</t>
        </is>
      </c>
      <c r="D16" s="13" t="inlineStr">
        <is>
          <t>% da massa</t>
        </is>
      </c>
      <c r="E16" s="13" t="inlineStr">
        <is>
          <t>Barras 12 m</t>
        </is>
      </c>
      <c r="H16" s="13" t="inlineStr">
        <is>
          <t>Função estrutural</t>
        </is>
      </c>
      <c r="I16" s="12" t="n"/>
      <c r="J16" s="13" t="inlineStr">
        <is>
          <t>Massa (kg)</t>
        </is>
      </c>
      <c r="K16" s="13" t="inlineStr">
        <is>
          <t>% da massa</t>
        </is>
      </c>
    </row>
    <row r="17">
      <c r="A17" s="14" t="inlineStr">
        <is>
          <t>Ø8 mm</t>
        </is>
      </c>
      <c r="B17" s="15" t="n">
        <v>11463.36</v>
      </c>
      <c r="C17" s="15" t="n">
        <v>4528.03</v>
      </c>
      <c r="D17" s="16" t="n">
        <v>0.1479800723806449</v>
      </c>
      <c r="E17" s="17" t="n">
        <v>956</v>
      </c>
      <c r="H17" s="18" t="inlineStr">
        <is>
          <t>Barras corridas — faces superior e inferior</t>
        </is>
      </c>
      <c r="I17" s="19" t="n"/>
      <c r="J17" s="15" t="n">
        <v>14724.98</v>
      </c>
      <c r="K17" s="16" t="n">
        <v>0.4812257947168451</v>
      </c>
    </row>
    <row r="18">
      <c r="A18" s="14" t="inlineStr">
        <is>
          <t>Ø16 mm</t>
        </is>
      </c>
      <c r="B18" s="15" t="n">
        <v>6890</v>
      </c>
      <c r="C18" s="15" t="n">
        <v>10872.42</v>
      </c>
      <c r="D18" s="16" t="n">
        <v>0.3553206346801034</v>
      </c>
      <c r="E18" s="17" t="n">
        <v>575</v>
      </c>
      <c r="H18" s="18" t="inlineStr">
        <is>
          <t>Barras corridas — faces externa e interna</t>
        </is>
      </c>
      <c r="I18" s="19" t="n"/>
      <c r="J18" s="15" t="n">
        <v>10558.71</v>
      </c>
      <c r="K18" s="16" t="n">
        <v>0.3450684224632087</v>
      </c>
    </row>
    <row r="19">
      <c r="A19" s="14" t="inlineStr">
        <is>
          <t>Ø20 mm</t>
        </is>
      </c>
      <c r="B19" s="15" t="n">
        <v>6163.2</v>
      </c>
      <c r="C19" s="15" t="n">
        <v>15198.45</v>
      </c>
      <c r="D19" s="16" t="n">
        <v>0.4966992929392517</v>
      </c>
      <c r="E19" s="17" t="n">
        <v>514</v>
      </c>
      <c r="H19" s="18" t="inlineStr">
        <is>
          <t>Estribos</t>
        </is>
      </c>
      <c r="I19" s="19" t="n"/>
      <c r="J19" s="15" t="n">
        <v>4528.03</v>
      </c>
      <c r="K19" s="16" t="n">
        <v>0.1479800723806449</v>
      </c>
    </row>
    <row r="20">
      <c r="A20" s="20" t="inlineStr">
        <is>
          <t>TOTAL</t>
        </is>
      </c>
      <c r="B20" s="21" t="n">
        <v>24516.56</v>
      </c>
      <c r="C20" s="21" t="n">
        <v>30598.9</v>
      </c>
      <c r="D20" s="22" t="n">
        <v>1</v>
      </c>
      <c r="E20" s="23" t="n">
        <v>2045</v>
      </c>
      <c r="H20" s="18" t="inlineStr">
        <is>
          <t>Reforços da região do rebaixo</t>
        </is>
      </c>
      <c r="I20" s="19" t="n"/>
      <c r="J20" s="15" t="n">
        <v>787.1799999999999</v>
      </c>
      <c r="K20" s="16" t="n">
        <v>0.0257257104393013</v>
      </c>
    </row>
    <row r="21">
      <c r="H21" s="24" t="inlineStr">
        <is>
          <t>TOTAL</t>
        </is>
      </c>
      <c r="I21" s="12" t="n"/>
      <c r="J21" s="21" t="n">
        <v>30598.9</v>
      </c>
      <c r="K21" s="22" t="n">
        <v>1</v>
      </c>
    </row>
    <row r="40" ht="22" customHeight="1">
      <c r="A40" s="11" t="inlineStr">
        <is>
          <t>MASSA POR POSIÇÃO DE BARRA - FONTE: ABA RESUMO POR POSIÇÃO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60" ht="22" customHeight="1">
      <c r="A60" s="11" t="inlineStr">
        <is>
          <t>CONTROLE DE VALIDAÇÃO - DESTAQUES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>
      <c r="A61" s="13" t="inlineStr">
        <is>
          <t>Grupo</t>
        </is>
      </c>
      <c r="B61" s="13" t="inlineStr">
        <is>
          <t>Indicador</t>
        </is>
      </c>
      <c r="C61" s="12" t="n"/>
      <c r="D61" s="13" t="inlineStr">
        <is>
          <t>Calculado</t>
        </is>
      </c>
      <c r="E61" s="13" t="inlineStr">
        <is>
          <t>Referência</t>
        </is>
      </c>
      <c r="F61" s="13" t="inlineStr">
        <is>
          <t>Desvio</t>
        </is>
      </c>
      <c r="G61" s="13" t="inlineStr">
        <is>
          <t>Critério</t>
        </is>
      </c>
      <c r="H61" s="12" t="n"/>
      <c r="I61" s="12" t="n"/>
      <c r="J61" s="12" t="n"/>
      <c r="K61" s="12" t="n"/>
      <c r="L61" s="12" t="n"/>
      <c r="M61" s="12" t="n"/>
      <c r="N61" s="12" t="n"/>
    </row>
    <row r="62" ht="24" customHeight="1">
      <c r="A62" s="25" t="inlineStr">
        <is>
          <t>Comprimento</t>
        </is>
      </c>
      <c r="B62" s="26" t="inlineStr">
        <is>
          <t>Somatório da lista vs. RESUMO GERAL (m)</t>
        </is>
      </c>
      <c r="C62" s="19" t="n"/>
      <c r="D62" s="27" t="n">
        <v>24516.56</v>
      </c>
      <c r="E62" s="27" t="n">
        <v>24516.56</v>
      </c>
      <c r="F62" s="27" t="n">
        <v>0</v>
      </c>
      <c r="G62" s="26" t="inlineStr">
        <is>
          <t>As três bitolas fecham exatamente com o quadro impresso na prancha.</t>
        </is>
      </c>
      <c r="H62" s="19" t="n"/>
      <c r="I62" s="19" t="n"/>
      <c r="J62" s="19" t="n"/>
      <c r="K62" s="19" t="n"/>
      <c r="L62" s="19" t="n"/>
      <c r="M62" s="19" t="n"/>
      <c r="N62" s="19" t="n"/>
    </row>
    <row r="63" ht="24" customHeight="1">
      <c r="A63" s="25" t="inlineStr">
        <is>
          <t>Massa</t>
        </is>
      </c>
      <c r="B63" s="26" t="inlineStr">
        <is>
          <t>Massa total de aço (kg)</t>
        </is>
      </c>
      <c r="C63" s="19" t="n"/>
      <c r="D63" s="27" t="n">
        <v>30598.9</v>
      </c>
      <c r="E63" s="27" t="n">
        <v>30599</v>
      </c>
      <c r="F63" s="27" t="n">
        <v>-0.1</v>
      </c>
      <c r="G63" s="26" t="inlineStr">
        <is>
          <t>Diferença apenas de arredondamento do TOTAL (kg) impresso.</t>
        </is>
      </c>
      <c r="H63" s="19" t="n"/>
      <c r="I63" s="19" t="n"/>
      <c r="J63" s="19" t="n"/>
      <c r="K63" s="19" t="n"/>
      <c r="L63" s="19" t="n"/>
      <c r="M63" s="19" t="n"/>
      <c r="N63" s="19" t="n"/>
    </row>
    <row r="64" ht="24" customHeight="1">
      <c r="A64" s="28" t="inlineStr">
        <is>
          <t>DIVERGÊNCIA</t>
        </is>
      </c>
      <c r="B64" s="29" t="inlineStr">
        <is>
          <t>N13 - quantidade por fundação (un)</t>
        </is>
      </c>
      <c r="C64" s="30" t="n"/>
      <c r="D64" s="31" t="n">
        <v>1</v>
      </c>
      <c r="E64" s="31" t="n">
        <v>2</v>
      </c>
      <c r="F64" s="31" t="n">
        <v>-1</v>
      </c>
      <c r="G64" s="29" t="inlineStr">
        <is>
          <t>Lista traz 8 un (1/fundação); o detalhe chama 'N13-2' (2/fundação), leitura reforçada pela prancha irmã TX3-060. Se prevalecer: +8 un, +38,80 m, +61,23 kg. Confirmar.</t>
        </is>
      </c>
      <c r="H64" s="30" t="n"/>
      <c r="I64" s="30" t="n"/>
      <c r="J64" s="30" t="n"/>
      <c r="K64" s="30" t="n"/>
      <c r="L64" s="30" t="n"/>
      <c r="M64" s="30" t="n"/>
      <c r="N64" s="30" t="n"/>
    </row>
    <row r="65" ht="24" customHeight="1">
      <c r="A65" s="28" t="inlineStr">
        <is>
          <t>DIVERGÊNCIA</t>
        </is>
      </c>
      <c r="B65" s="29" t="inlineStr">
        <is>
          <t>N12 - comprimento unitário implícito (m)</t>
        </is>
      </c>
      <c r="C65" s="30" t="n"/>
      <c r="D65" s="31" t="n">
        <v>4.71</v>
      </c>
      <c r="E65" s="31" t="n">
        <v>1.23</v>
      </c>
      <c r="F65" s="31" t="n">
        <v>3.48</v>
      </c>
      <c r="G65" s="29" t="inlineStr">
        <is>
          <t>Forma cotada como (113 a 133) cm, mas o TOTAL de 150,72 m para 32 un implica 471 cm por barra. Confirmar.</t>
        </is>
      </c>
      <c r="H65" s="30" t="n"/>
      <c r="I65" s="30" t="n"/>
      <c r="J65" s="30" t="n"/>
      <c r="K65" s="30" t="n"/>
      <c r="L65" s="30" t="n"/>
      <c r="M65" s="30" t="n"/>
      <c r="N65" s="30" t="n"/>
    </row>
    <row r="66" ht="24" customHeight="1">
      <c r="A66" s="28" t="inlineStr">
        <is>
          <t>DIVERGÊNCIA</t>
        </is>
      </c>
      <c r="B66" s="29" t="inlineStr">
        <is>
          <t>Cotas FACE INTERNA vs. FACE SUP./INF. (m)</t>
        </is>
      </c>
      <c r="C66" s="30" t="n"/>
      <c r="D66" s="31" t="n">
        <v>59.942</v>
      </c>
      <c r="E66" s="31" t="n">
        <v>58.327</v>
      </c>
      <c r="F66" s="31" t="n">
        <v>1.615</v>
      </c>
      <c r="G66" s="29" t="inlineStr">
        <is>
          <t>A média de externa e interna tem de dar o eixo: (61,556+58,327)/2 = 59,942, valor impresso na FACE INTERNA. Os dois desenvolvimentos parecem trocados entre as vistas. Não afeta o aço.</t>
        </is>
      </c>
      <c r="H66" s="30" t="n"/>
      <c r="I66" s="30" t="n"/>
      <c r="J66" s="30" t="n"/>
      <c r="K66" s="30" t="n"/>
      <c r="L66" s="30" t="n"/>
      <c r="M66" s="30" t="n"/>
      <c r="N66" s="30" t="n"/>
    </row>
  </sheetData>
  <mergeCells count="48">
    <mergeCell ref="A40:N40"/>
    <mergeCell ref="A10:C11"/>
    <mergeCell ref="B62:C62"/>
    <mergeCell ref="H20:I20"/>
    <mergeCell ref="D5:F6"/>
    <mergeCell ref="A15:E15"/>
    <mergeCell ref="D10:F11"/>
    <mergeCell ref="J5:L6"/>
    <mergeCell ref="A60:N60"/>
    <mergeCell ref="B66:C66"/>
    <mergeCell ref="J4:L4"/>
    <mergeCell ref="A12:C12"/>
    <mergeCell ref="D7:F7"/>
    <mergeCell ref="H15:K15"/>
    <mergeCell ref="G61:N61"/>
    <mergeCell ref="A1:N1"/>
    <mergeCell ref="J7:L7"/>
    <mergeCell ref="H21:I21"/>
    <mergeCell ref="J10:L11"/>
    <mergeCell ref="D4:F4"/>
    <mergeCell ref="D12:F12"/>
    <mergeCell ref="B61:C61"/>
    <mergeCell ref="G4:I4"/>
    <mergeCell ref="D9:F9"/>
    <mergeCell ref="G66:N66"/>
    <mergeCell ref="G62:N62"/>
    <mergeCell ref="J12:L12"/>
    <mergeCell ref="A4:C4"/>
    <mergeCell ref="H17:I17"/>
    <mergeCell ref="G10:I11"/>
    <mergeCell ref="H16:I16"/>
    <mergeCell ref="A2:N2"/>
    <mergeCell ref="A9:C9"/>
    <mergeCell ref="G9:I9"/>
    <mergeCell ref="H19:I19"/>
    <mergeCell ref="G12:I12"/>
    <mergeCell ref="G65:N65"/>
    <mergeCell ref="B65:C65"/>
    <mergeCell ref="G64:N64"/>
    <mergeCell ref="B64:C64"/>
    <mergeCell ref="A5:C6"/>
    <mergeCell ref="G5:I6"/>
    <mergeCell ref="H18:I18"/>
    <mergeCell ref="G63:N63"/>
    <mergeCell ref="B63:C63"/>
    <mergeCell ref="J9:L9"/>
    <mergeCell ref="A7:C7"/>
    <mergeCell ref="G7:I7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0" customWidth="1" min="9" max="9"/>
    <col width="11" customWidth="1" min="10" max="10"/>
    <col width="12" customWidth="1" min="11" max="11"/>
    <col width="12" customWidth="1" min="12" max="12"/>
    <col width="26" customWidth="1" min="13" max="13"/>
    <col width="26" customWidth="1" min="14" max="14"/>
  </cols>
  <sheetData>
    <row r="1" ht="36" customHeight="1">
      <c r="A1" s="1" t="inlineStr">
        <is>
          <t>LISTA DE BARRAS - TRANSCRIÇÃO INTEGRAL DA PRANCHA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26" customHeight="1">
      <c r="A3" s="32" t="inlineStr">
        <is>
          <t>Quadro LISTA DE BARRAS (8x) transcrito posição a posição. As colunas QUANT. e TOTAL do desenho referem-se ao conjunto das 8 fundações; as colunas por fundação são derivadas por divisão por 8.</t>
        </is>
      </c>
    </row>
    <row r="5" ht="30" customHeight="1">
      <c r="A5" s="13" t="inlineStr">
        <is>
          <t>POS.</t>
        </is>
      </c>
      <c r="B5" s="13" t="inlineStr">
        <is>
          <t>Elemento</t>
        </is>
      </c>
      <c r="C5" s="13" t="inlineStr">
        <is>
          <t>Bitola
Ø (mm)</t>
        </is>
      </c>
      <c r="D5" s="13" t="inlineStr">
        <is>
          <t>Quant. total
(8 fundações)</t>
        </is>
      </c>
      <c r="E5" s="13" t="inlineStr">
        <is>
          <t>Compr. unit.
(cm)</t>
        </is>
      </c>
      <c r="F5" s="13" t="inlineStr">
        <is>
          <t>Compr. total
(m) - 8x</t>
        </is>
      </c>
      <c r="G5" s="13" t="inlineStr">
        <is>
          <t>Massa linear
(kg/m)</t>
        </is>
      </c>
      <c r="H5" s="13" t="inlineStr">
        <is>
          <t>Massa total
(kg) - 8x</t>
        </is>
      </c>
      <c r="I5" s="13" t="inlineStr">
        <is>
          <t>% da massa</t>
        </is>
      </c>
      <c r="J5" s="13" t="inlineStr">
        <is>
          <t>Quant. por
fundação</t>
        </is>
      </c>
      <c r="K5" s="13" t="inlineStr">
        <is>
          <t>Compr. por
fundação (m)</t>
        </is>
      </c>
      <c r="L5" s="13" t="inlineStr">
        <is>
          <t>Massa por
fundação (kg)</t>
        </is>
      </c>
      <c r="M5" s="13" t="inlineStr">
        <is>
          <t>Função estrutural</t>
        </is>
      </c>
      <c r="N5" s="13" t="inlineStr">
        <is>
          <t>Vista de referência</t>
        </is>
      </c>
    </row>
    <row r="6">
      <c r="A6" s="17" t="n">
        <v>1</v>
      </c>
      <c r="B6" s="18" t="inlineStr">
        <is>
          <t>N1</t>
        </is>
      </c>
      <c r="C6" s="14" t="n">
        <v>20</v>
      </c>
      <c r="D6" s="17" t="n">
        <v>16</v>
      </c>
      <c r="E6" s="18" t="inlineStr">
        <is>
          <t>CORR</t>
        </is>
      </c>
      <c r="F6" s="15" t="n">
        <v>1142.4</v>
      </c>
      <c r="G6" s="33" t="n">
        <v>2.466</v>
      </c>
      <c r="H6" s="15" t="n">
        <v>2817.16</v>
      </c>
      <c r="I6" s="16" t="n">
        <v>0.092067</v>
      </c>
      <c r="J6" s="17" t="n">
        <v>2</v>
      </c>
      <c r="K6" s="15" t="n">
        <v>142.8</v>
      </c>
      <c r="L6" s="15" t="n">
        <v>352.14</v>
      </c>
      <c r="M6" s="18" t="inlineStr">
        <is>
          <t>Corrida face sup./inf.</t>
        </is>
      </c>
      <c r="N6" s="18" t="inlineStr">
        <is>
          <t>CORTE A-A / FACE SUP. E INF.</t>
        </is>
      </c>
    </row>
    <row r="7">
      <c r="A7" s="17" t="n">
        <v>2</v>
      </c>
      <c r="B7" s="18" t="inlineStr">
        <is>
          <t>N2</t>
        </is>
      </c>
      <c r="C7" s="14" t="n">
        <v>20</v>
      </c>
      <c r="D7" s="17" t="n">
        <v>16</v>
      </c>
      <c r="E7" s="18" t="inlineStr">
        <is>
          <t>CORR</t>
        </is>
      </c>
      <c r="F7" s="15" t="n">
        <v>1206.4</v>
      </c>
      <c r="G7" s="33" t="n">
        <v>2.466</v>
      </c>
      <c r="H7" s="15" t="n">
        <v>2974.98</v>
      </c>
      <c r="I7" s="16" t="n">
        <v>0.09722500000000001</v>
      </c>
      <c r="J7" s="17" t="n">
        <v>2</v>
      </c>
      <c r="K7" s="15" t="n">
        <v>150.8</v>
      </c>
      <c r="L7" s="15" t="n">
        <v>371.87</v>
      </c>
      <c r="M7" s="18" t="inlineStr">
        <is>
          <t>Corrida face sup./inf.</t>
        </is>
      </c>
      <c r="N7" s="18" t="inlineStr">
        <is>
          <t>CORTE A-A / FACE SUP. E INF.</t>
        </is>
      </c>
    </row>
    <row r="8">
      <c r="A8" s="17" t="n">
        <v>3</v>
      </c>
      <c r="B8" s="18" t="inlineStr">
        <is>
          <t>N3</t>
        </is>
      </c>
      <c r="C8" s="14" t="n">
        <v>20</v>
      </c>
      <c r="D8" s="17" t="n">
        <v>16</v>
      </c>
      <c r="E8" s="18" t="inlineStr">
        <is>
          <t>CORR</t>
        </is>
      </c>
      <c r="F8" s="15" t="n">
        <v>1206.4</v>
      </c>
      <c r="G8" s="33" t="n">
        <v>2.466</v>
      </c>
      <c r="H8" s="15" t="n">
        <v>2974.98</v>
      </c>
      <c r="I8" s="16" t="n">
        <v>0.09722500000000001</v>
      </c>
      <c r="J8" s="17" t="n">
        <v>2</v>
      </c>
      <c r="K8" s="15" t="n">
        <v>150.8</v>
      </c>
      <c r="L8" s="15" t="n">
        <v>371.87</v>
      </c>
      <c r="M8" s="18" t="inlineStr">
        <is>
          <t>Corrida face sup./inf.</t>
        </is>
      </c>
      <c r="N8" s="18" t="inlineStr">
        <is>
          <t>CORTE A-A / FACE SUP. E INF.</t>
        </is>
      </c>
    </row>
    <row r="9">
      <c r="A9" s="17" t="n">
        <v>4</v>
      </c>
      <c r="B9" s="18" t="inlineStr">
        <is>
          <t>N4</t>
        </is>
      </c>
      <c r="C9" s="14" t="n">
        <v>20</v>
      </c>
      <c r="D9" s="17" t="n">
        <v>16</v>
      </c>
      <c r="E9" s="18" t="inlineStr">
        <is>
          <t>CORR</t>
        </is>
      </c>
      <c r="F9" s="15" t="n">
        <v>1206.4</v>
      </c>
      <c r="G9" s="33" t="n">
        <v>2.466</v>
      </c>
      <c r="H9" s="15" t="n">
        <v>2974.98</v>
      </c>
      <c r="I9" s="16" t="n">
        <v>0.09722500000000001</v>
      </c>
      <c r="J9" s="17" t="n">
        <v>2</v>
      </c>
      <c r="K9" s="15" t="n">
        <v>150.8</v>
      </c>
      <c r="L9" s="15" t="n">
        <v>371.87</v>
      </c>
      <c r="M9" s="18" t="inlineStr">
        <is>
          <t>Corrida face sup./inf.</t>
        </is>
      </c>
      <c r="N9" s="18" t="inlineStr">
        <is>
          <t>CORTE A-A / FACE SUP. E INF.</t>
        </is>
      </c>
    </row>
    <row r="10">
      <c r="A10" s="17" t="n">
        <v>5</v>
      </c>
      <c r="B10" s="18" t="inlineStr">
        <is>
          <t>N5</t>
        </is>
      </c>
      <c r="C10" s="14" t="n">
        <v>20</v>
      </c>
      <c r="D10" s="17" t="n">
        <v>16</v>
      </c>
      <c r="E10" s="18" t="inlineStr">
        <is>
          <t>CORR</t>
        </is>
      </c>
      <c r="F10" s="15" t="n">
        <v>1209.6</v>
      </c>
      <c r="G10" s="33" t="n">
        <v>2.466</v>
      </c>
      <c r="H10" s="15" t="n">
        <v>2982.87</v>
      </c>
      <c r="I10" s="16" t="n">
        <v>0.097483</v>
      </c>
      <c r="J10" s="17" t="n">
        <v>2</v>
      </c>
      <c r="K10" s="15" t="n">
        <v>151.2</v>
      </c>
      <c r="L10" s="15" t="n">
        <v>372.86</v>
      </c>
      <c r="M10" s="18" t="inlineStr">
        <is>
          <t>Corrida face sup./inf.</t>
        </is>
      </c>
      <c r="N10" s="18" t="inlineStr">
        <is>
          <t>CORTE A-A / FACE SUP. E INF.</t>
        </is>
      </c>
    </row>
    <row r="11">
      <c r="A11" s="17" t="n">
        <v>6</v>
      </c>
      <c r="B11" s="18" t="inlineStr">
        <is>
          <t>N6</t>
        </is>
      </c>
      <c r="C11" s="14" t="n">
        <v>16</v>
      </c>
      <c r="D11" s="17" t="n">
        <v>48</v>
      </c>
      <c r="E11" s="18" t="inlineStr">
        <is>
          <t>CORR</t>
        </is>
      </c>
      <c r="F11" s="15" t="n">
        <v>3427.2</v>
      </c>
      <c r="G11" s="33" t="n">
        <v>1.578</v>
      </c>
      <c r="H11" s="15" t="n">
        <v>5408.12</v>
      </c>
      <c r="I11" s="16" t="n">
        <v>0.176742</v>
      </c>
      <c r="J11" s="17" t="n">
        <v>6</v>
      </c>
      <c r="K11" s="15" t="n">
        <v>428.4</v>
      </c>
      <c r="L11" s="15" t="n">
        <v>676.02</v>
      </c>
      <c r="M11" s="18" t="inlineStr">
        <is>
          <t>Corrida face externa</t>
        </is>
      </c>
      <c r="N11" s="18" t="inlineStr">
        <is>
          <t>CORTE A-A / FACE EXTERNA</t>
        </is>
      </c>
    </row>
    <row r="12">
      <c r="A12" s="17" t="n">
        <v>7</v>
      </c>
      <c r="B12" s="18" t="inlineStr">
        <is>
          <t>N7</t>
        </is>
      </c>
      <c r="C12" s="14" t="n">
        <v>16</v>
      </c>
      <c r="D12" s="17" t="n">
        <v>48</v>
      </c>
      <c r="E12" s="18" t="inlineStr">
        <is>
          <t>CORR</t>
        </is>
      </c>
      <c r="F12" s="15" t="n">
        <v>3264</v>
      </c>
      <c r="G12" s="33" t="n">
        <v>1.578</v>
      </c>
      <c r="H12" s="15" t="n">
        <v>5150.59</v>
      </c>
      <c r="I12" s="16" t="n">
        <v>0.168326</v>
      </c>
      <c r="J12" s="17" t="n">
        <v>6</v>
      </c>
      <c r="K12" s="15" t="n">
        <v>408</v>
      </c>
      <c r="L12" s="15" t="n">
        <v>643.8200000000001</v>
      </c>
      <c r="M12" s="18" t="inlineStr">
        <is>
          <t>Corrida face interna</t>
        </is>
      </c>
      <c r="N12" s="18" t="inlineStr">
        <is>
          <t>CORTE A-A / FACE INTERNA</t>
        </is>
      </c>
    </row>
    <row r="13">
      <c r="A13" s="17" t="n">
        <v>8</v>
      </c>
      <c r="B13" s="18" t="inlineStr">
        <is>
          <t>N8</t>
        </is>
      </c>
      <c r="C13" s="14" t="n">
        <v>8</v>
      </c>
      <c r="D13" s="17" t="n">
        <v>2384</v>
      </c>
      <c r="E13" s="18" t="inlineStr">
        <is>
          <t>465</t>
        </is>
      </c>
      <c r="F13" s="15" t="n">
        <v>11085.6</v>
      </c>
      <c r="G13" s="33" t="n">
        <v>0.395</v>
      </c>
      <c r="H13" s="15" t="n">
        <v>4378.81</v>
      </c>
      <c r="I13" s="16" t="n">
        <v>0.143104</v>
      </c>
      <c r="J13" s="17" t="n">
        <v>298</v>
      </c>
      <c r="K13" s="15" t="n">
        <v>1385.7</v>
      </c>
      <c r="L13" s="15" t="n">
        <v>547.35</v>
      </c>
      <c r="M13" s="18" t="inlineStr">
        <is>
          <t>Estribo</t>
        </is>
      </c>
      <c r="N13" s="18" t="inlineStr">
        <is>
          <t>PLANTA / CORTE A-A</t>
        </is>
      </c>
    </row>
    <row r="14">
      <c r="A14" s="17" t="n">
        <v>9</v>
      </c>
      <c r="B14" s="18" t="inlineStr">
        <is>
          <t>N9</t>
        </is>
      </c>
      <c r="C14" s="14" t="n">
        <v>8</v>
      </c>
      <c r="D14" s="17" t="n">
        <v>48</v>
      </c>
      <c r="E14" s="18" t="inlineStr">
        <is>
          <t>473</t>
        </is>
      </c>
      <c r="F14" s="15" t="n">
        <v>227.04</v>
      </c>
      <c r="G14" s="33" t="n">
        <v>0.395</v>
      </c>
      <c r="H14" s="15" t="n">
        <v>89.68000000000001</v>
      </c>
      <c r="I14" s="16" t="n">
        <v>0.002931</v>
      </c>
      <c r="J14" s="17" t="n">
        <v>6</v>
      </c>
      <c r="K14" s="15" t="n">
        <v>28.38</v>
      </c>
      <c r="L14" s="15" t="n">
        <v>11.21</v>
      </c>
      <c r="M14" s="18" t="inlineStr">
        <is>
          <t>Estribo no rebaixo</t>
        </is>
      </c>
      <c r="N14" s="18" t="inlineStr">
        <is>
          <t>VISTA C-C</t>
        </is>
      </c>
    </row>
    <row r="15">
      <c r="A15" s="17" t="n">
        <v>10</v>
      </c>
      <c r="B15" s="18" t="inlineStr">
        <is>
          <t>N10</t>
        </is>
      </c>
      <c r="C15" s="14" t="n">
        <v>16</v>
      </c>
      <c r="D15" s="17" t="n">
        <v>32</v>
      </c>
      <c r="E15" s="18" t="inlineStr">
        <is>
          <t>500</t>
        </is>
      </c>
      <c r="F15" s="15" t="n">
        <v>160</v>
      </c>
      <c r="G15" s="33" t="n">
        <v>1.578</v>
      </c>
      <c r="H15" s="15" t="n">
        <v>252.48</v>
      </c>
      <c r="I15" s="16" t="n">
        <v>0.008251</v>
      </c>
      <c r="J15" s="17" t="n">
        <v>4</v>
      </c>
      <c r="K15" s="15" t="n">
        <v>20</v>
      </c>
      <c r="L15" s="15" t="n">
        <v>31.56</v>
      </c>
      <c r="M15" s="18" t="inlineStr">
        <is>
          <t>Reforço do rebaixo</t>
        </is>
      </c>
      <c r="N15" s="18" t="inlineStr">
        <is>
          <t>VISTA C-C / CORTE B-B</t>
        </is>
      </c>
    </row>
    <row r="16">
      <c r="A16" s="17" t="n">
        <v>11</v>
      </c>
      <c r="B16" s="18" t="inlineStr">
        <is>
          <t>N11</t>
        </is>
      </c>
      <c r="C16" s="14" t="n">
        <v>20</v>
      </c>
      <c r="D16" s="17" t="n">
        <v>32</v>
      </c>
      <c r="E16" s="18" t="inlineStr">
        <is>
          <t>600</t>
        </is>
      </c>
      <c r="F16" s="15" t="n">
        <v>192</v>
      </c>
      <c r="G16" s="33" t="n">
        <v>2.466</v>
      </c>
      <c r="H16" s="15" t="n">
        <v>473.47</v>
      </c>
      <c r="I16" s="16" t="n">
        <v>0.015473</v>
      </c>
      <c r="J16" s="17" t="n">
        <v>4</v>
      </c>
      <c r="K16" s="15" t="n">
        <v>24</v>
      </c>
      <c r="L16" s="15" t="n">
        <v>59.18</v>
      </c>
      <c r="M16" s="18" t="inlineStr">
        <is>
          <t>Reforço superior do rebaixo</t>
        </is>
      </c>
      <c r="N16" s="18" t="inlineStr">
        <is>
          <t>VISTA C-C / CORTE B-B</t>
        </is>
      </c>
    </row>
    <row r="17">
      <c r="A17" s="17" t="n">
        <v>12</v>
      </c>
      <c r="B17" s="18" t="inlineStr">
        <is>
          <t>N12</t>
        </is>
      </c>
      <c r="C17" s="14" t="n">
        <v>8</v>
      </c>
      <c r="D17" s="17" t="n">
        <v>32</v>
      </c>
      <c r="E17" s="18" t="inlineStr">
        <is>
          <t>VAR</t>
        </is>
      </c>
      <c r="F17" s="15" t="n">
        <v>150.72</v>
      </c>
      <c r="G17" s="33" t="n">
        <v>0.395</v>
      </c>
      <c r="H17" s="15" t="n">
        <v>59.53</v>
      </c>
      <c r="I17" s="16" t="n">
        <v>0.001946</v>
      </c>
      <c r="J17" s="17" t="n">
        <v>4</v>
      </c>
      <c r="K17" s="15" t="n">
        <v>18.84</v>
      </c>
      <c r="L17" s="15" t="n">
        <v>7.44</v>
      </c>
      <c r="M17" s="18" t="inlineStr">
        <is>
          <t>Estribo de comprimento variável</t>
        </is>
      </c>
      <c r="N17" s="18" t="inlineStr">
        <is>
          <t>VISTA C-C</t>
        </is>
      </c>
    </row>
    <row r="18">
      <c r="A18" s="17" t="n">
        <v>13</v>
      </c>
      <c r="B18" s="18" t="inlineStr">
        <is>
          <t>N13</t>
        </is>
      </c>
      <c r="C18" s="14" t="n">
        <v>16</v>
      </c>
      <c r="D18" s="17" t="n">
        <v>8</v>
      </c>
      <c r="E18" s="18" t="inlineStr">
        <is>
          <t>485</t>
        </is>
      </c>
      <c r="F18" s="15" t="n">
        <v>38.8</v>
      </c>
      <c r="G18" s="33" t="n">
        <v>1.578</v>
      </c>
      <c r="H18" s="15" t="n">
        <v>61.23</v>
      </c>
      <c r="I18" s="16" t="n">
        <v>0.002001</v>
      </c>
      <c r="J18" s="17" t="n">
        <v>1</v>
      </c>
      <c r="K18" s="15" t="n">
        <v>4.85</v>
      </c>
      <c r="L18" s="15" t="n">
        <v>7.65</v>
      </c>
      <c r="M18" s="18" t="inlineStr">
        <is>
          <t>Reforço do rebaixo</t>
        </is>
      </c>
      <c r="N18" s="18" t="inlineStr">
        <is>
          <t>VISTA C-C / CORTE B-B</t>
        </is>
      </c>
    </row>
    <row r="19">
      <c r="A19" s="20" t="inlineStr">
        <is>
          <t>TOTAL — 13 posições</t>
        </is>
      </c>
      <c r="B19" s="12" t="n"/>
      <c r="C19" s="20" t="n"/>
      <c r="D19" s="23" t="n">
        <v>2712</v>
      </c>
      <c r="E19" s="20" t="n"/>
      <c r="F19" s="21" t="n">
        <v>24516.56</v>
      </c>
      <c r="G19" s="20" t="n"/>
      <c r="H19" s="21" t="n">
        <v>30598.9</v>
      </c>
      <c r="I19" s="22" t="n">
        <v>1</v>
      </c>
      <c r="J19" s="20" t="n"/>
      <c r="K19" s="21" t="n">
        <v>3064.57</v>
      </c>
      <c r="L19" s="21" t="n">
        <v>3824.86</v>
      </c>
      <c r="M19" s="20" t="n"/>
      <c r="N19" s="20" t="n"/>
    </row>
    <row r="21">
      <c r="A21" s="34" t="inlineStr">
        <is>
          <t>Observações por posição</t>
        </is>
      </c>
    </row>
    <row r="22">
      <c r="A22" s="34" t="inlineStr">
        <is>
          <t>N1</t>
        </is>
      </c>
      <c r="B22" s="32" t="inlineStr">
        <is>
          <t>Barra corrida (CORR) do banzo superior e inferior. 2 un por fundação (1 sup. + 1 inf.); 71,40 m de desenvolvimento por barra.</t>
        </is>
      </c>
    </row>
    <row r="23">
      <c r="A23" s="34" t="inlineStr">
        <is>
          <t>N2</t>
        </is>
      </c>
      <c r="B23" s="32" t="inlineStr">
        <is>
          <t>Barra corrida (CORR) do banzo superior e inferior. 2 un por fundação (1 sup. + 1 inf.); 75,40 m de desenvolvimento por barra.</t>
        </is>
      </c>
    </row>
    <row r="24">
      <c r="A24" s="34" t="inlineStr">
        <is>
          <t>N3</t>
        </is>
      </c>
      <c r="B24" s="32" t="inlineStr">
        <is>
          <t>Barra corrida (CORR) do banzo superior e inferior. 2 un por fundação (1 sup. + 1 inf.); 75,40 m de desenvolvimento por barra.</t>
        </is>
      </c>
    </row>
    <row r="25">
      <c r="A25" s="34" t="inlineStr">
        <is>
          <t>N4</t>
        </is>
      </c>
      <c r="B25" s="32" t="inlineStr">
        <is>
          <t>Barra corrida (CORR) do banzo superior e inferior. 2 un por fundação (1 sup. + 1 inf.); 75,40 m de desenvolvimento por barra.</t>
        </is>
      </c>
    </row>
    <row r="26">
      <c r="A26" s="34" t="inlineStr">
        <is>
          <t>N5</t>
        </is>
      </c>
      <c r="B26" s="32" t="inlineStr">
        <is>
          <t>Barra corrida (CORR) do banzo superior e inferior. 2 un por fundação (1 sup. + 1 inf.); 75,60 m de desenvolvimento por barra.</t>
        </is>
      </c>
    </row>
    <row r="27">
      <c r="A27" s="34" t="inlineStr">
        <is>
          <t>N6</t>
        </is>
      </c>
      <c r="B27" s="32" t="inlineStr">
        <is>
          <t>6 N6 c/20 na face externa (5 N6 c/20 no trecho do rebaixo, CORTE B-B); barra corrida ao longo do desenvolvimento do anel.</t>
        </is>
      </c>
    </row>
    <row r="28">
      <c r="A28" s="34" t="inlineStr">
        <is>
          <t>N7</t>
        </is>
      </c>
      <c r="B28" s="32" t="inlineStr">
        <is>
          <t>6 N7 c/20 na face interna (5 N7 c/20 no trecho do rebaixo, CORTE B-B); barra corrida ao longo do desenvolvimento do anel.</t>
        </is>
      </c>
    </row>
    <row r="29">
      <c r="A29" s="34" t="inlineStr">
        <is>
          <t>N8</t>
        </is>
      </c>
      <c r="B29" s="32" t="inlineStr">
        <is>
          <t>298 N8 c/20 por fundação; estribo fechado 55 × 140 cm, C=465 cm (dimensões internas ao cobrimento de 5 cm da seção de 65 × 150 cm).</t>
        </is>
      </c>
    </row>
    <row r="30">
      <c r="A30" s="34" t="inlineStr">
        <is>
          <t>N9</t>
        </is>
      </c>
      <c r="B30" s="32" t="inlineStr">
        <is>
          <t>6 N9 c/20 por fundação; estribo na região do rebaixo, C=473 cm.</t>
        </is>
      </c>
    </row>
    <row r="31">
      <c r="A31" s="34" t="inlineStr">
        <is>
          <t>N10</t>
        </is>
      </c>
      <c r="B31" s="32" t="inlineStr">
        <is>
          <t>N10-4 Ø16 C=500 cm; disposto 2x2 na região do rebaixo.</t>
        </is>
      </c>
    </row>
    <row r="32">
      <c r="A32" s="34" t="inlineStr">
        <is>
          <t>N11</t>
        </is>
      </c>
      <c r="B32" s="32" t="inlineStr">
        <is>
          <t>N11-4 Ø20 C=600 cm (SUP.), dobra Ri=8 e perna 120 cm; ver Nota 5.</t>
        </is>
      </c>
    </row>
    <row r="33">
      <c r="A33" s="34" t="inlineStr">
        <is>
          <t>N12</t>
        </is>
      </c>
      <c r="B33" s="32" t="inlineStr">
        <is>
          <t>N12-2x2 Ø8 C=VAR; forma cotada com perna variável (113 a 133) cm.</t>
        </is>
      </c>
    </row>
    <row r="34">
      <c r="A34" s="34" t="inlineStr">
        <is>
          <t>N13</t>
        </is>
      </c>
      <c r="B34" s="32" t="inlineStr">
        <is>
          <t>N13-2 Ø16 C=485 cm na região do rebaixo. A lista traz 8 un (1 por fundação), enquanto o detalhe chama 2 un — ver aba Validações.</t>
        </is>
      </c>
    </row>
  </sheetData>
  <mergeCells count="17">
    <mergeCell ref="B22:N22"/>
    <mergeCell ref="A3:N3"/>
    <mergeCell ref="B31:N31"/>
    <mergeCell ref="B23:N23"/>
    <mergeCell ref="B27:N27"/>
    <mergeCell ref="B28:N28"/>
    <mergeCell ref="A19:B19"/>
    <mergeCell ref="B32:N32"/>
    <mergeCell ref="A2:N2"/>
    <mergeCell ref="B26:N26"/>
    <mergeCell ref="B30:N30"/>
    <mergeCell ref="B29:N29"/>
    <mergeCell ref="B33:N33"/>
    <mergeCell ref="B25:N25"/>
    <mergeCell ref="B24:N24"/>
    <mergeCell ref="B34:N34"/>
    <mergeCell ref="A1:N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1" customWidth="1" min="4" max="4"/>
    <col width="15" customWidth="1" min="5" max="5"/>
    <col width="14" customWidth="1" min="6" max="6"/>
    <col width="11" customWidth="1" min="7" max="7"/>
    <col width="10" customWidth="1" min="8" max="8"/>
    <col width="14" customWidth="1" min="9" max="9"/>
    <col width="13" customWidth="1" min="10" max="10"/>
  </cols>
  <sheetData>
    <row r="1" ht="36" customHeight="1">
      <c r="A1" s="1" t="inlineStr">
        <is>
          <t>RESUMO GERAL POR BITOLA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26" customHeight="1">
      <c r="A3" s="32" t="inlineStr">
        <is>
          <t>Confronto entre o quadro RESUMO GERAL da prancha e o somatório das posições da LISTA DE BARRAS. Massas lineares conforme NBR 7480 (valores nominais adotados no próprio desenho).</t>
        </is>
      </c>
    </row>
    <row r="5" ht="30" customHeight="1">
      <c r="A5" s="13" t="inlineStr">
        <is>
          <t>Bitola
Ø (mm)</t>
        </is>
      </c>
      <c r="B5" s="13" t="inlineStr">
        <is>
          <t>Posições</t>
        </is>
      </c>
      <c r="C5" s="13" t="inlineStr">
        <is>
          <t>Compr. da prancha
(m)</t>
        </is>
      </c>
      <c r="D5" s="13" t="inlineStr">
        <is>
          <t>Massa linear
(kg/m)</t>
        </is>
      </c>
      <c r="E5" s="13" t="inlineStr">
        <is>
          <t>Massa da prancha
(kg)</t>
        </is>
      </c>
      <c r="F5" s="13" t="inlineStr">
        <is>
          <t>Compr. somado
da lista (m)</t>
        </is>
      </c>
      <c r="G5" s="13" t="inlineStr">
        <is>
          <t>Desvio de
compr. (m)</t>
        </is>
      </c>
      <c r="H5" s="13" t="inlineStr">
        <is>
          <t>% da massa</t>
        </is>
      </c>
      <c r="I5" s="13" t="inlineStr">
        <is>
          <t>Barras de 12 m
(equivalente)</t>
        </is>
      </c>
      <c r="J5" s="13" t="inlineStr">
        <is>
          <t>Massa por
fundação (kg)</t>
        </is>
      </c>
    </row>
    <row r="6">
      <c r="A6" s="14" t="n">
        <v>8</v>
      </c>
      <c r="B6" s="18" t="inlineStr">
        <is>
          <t>N8, N9, N12</t>
        </is>
      </c>
      <c r="C6" s="15" t="n">
        <v>11463.36</v>
      </c>
      <c r="D6" s="33" t="n">
        <v>0.395</v>
      </c>
      <c r="E6" s="17" t="n">
        <v>4528</v>
      </c>
      <c r="F6" s="15" t="n">
        <v>11463.36</v>
      </c>
      <c r="G6" s="15" t="n">
        <v>0</v>
      </c>
      <c r="H6" s="16" t="n">
        <v>0.14798</v>
      </c>
      <c r="I6" s="17" t="n">
        <v>956</v>
      </c>
      <c r="J6" s="15" t="n">
        <v>566</v>
      </c>
    </row>
    <row r="7">
      <c r="A7" s="14" t="n">
        <v>16</v>
      </c>
      <c r="B7" s="18" t="inlineStr">
        <is>
          <t>N6, N7, N10, N13</t>
        </is>
      </c>
      <c r="C7" s="15" t="n">
        <v>6890</v>
      </c>
      <c r="D7" s="33" t="n">
        <v>1.578</v>
      </c>
      <c r="E7" s="17" t="n">
        <v>10872</v>
      </c>
      <c r="F7" s="15" t="n">
        <v>6890</v>
      </c>
      <c r="G7" s="15" t="n">
        <v>0</v>
      </c>
      <c r="H7" s="16" t="n">
        <v>0.355321</v>
      </c>
      <c r="I7" s="17" t="n">
        <v>575</v>
      </c>
      <c r="J7" s="15" t="n">
        <v>1359.05</v>
      </c>
    </row>
    <row r="8">
      <c r="A8" s="14" t="n">
        <v>20</v>
      </c>
      <c r="B8" s="18" t="inlineStr">
        <is>
          <t>N1, N2, N3, N4, N5, N11</t>
        </is>
      </c>
      <c r="C8" s="15" t="n">
        <v>6163.2</v>
      </c>
      <c r="D8" s="33" t="n">
        <v>2.466</v>
      </c>
      <c r="E8" s="17" t="n">
        <v>15198</v>
      </c>
      <c r="F8" s="15" t="n">
        <v>6163.2</v>
      </c>
      <c r="G8" s="15" t="n">
        <v>0</v>
      </c>
      <c r="H8" s="16" t="n">
        <v>0.496699</v>
      </c>
      <c r="I8" s="17" t="n">
        <v>514</v>
      </c>
      <c r="J8" s="15" t="n">
        <v>1899.81</v>
      </c>
    </row>
    <row r="9">
      <c r="A9" s="20" t="inlineStr">
        <is>
          <t>TOTAL</t>
        </is>
      </c>
      <c r="B9" s="12" t="n"/>
      <c r="C9" s="21" t="n">
        <v>24516.56</v>
      </c>
      <c r="D9" s="20" t="n"/>
      <c r="E9" s="23" t="n">
        <v>30599</v>
      </c>
      <c r="F9" s="21" t="n">
        <v>24516.56</v>
      </c>
      <c r="G9" s="21" t="n">
        <v>0</v>
      </c>
      <c r="H9" s="22" t="n">
        <v>1</v>
      </c>
      <c r="I9" s="23" t="n">
        <v>2045</v>
      </c>
      <c r="J9" s="21" t="n">
        <v>3824.86</v>
      </c>
    </row>
    <row r="11" ht="26" customHeight="1">
      <c r="A11" s="32" t="inlineStr">
        <is>
          <t>- As três bitolas fecham exatamente entre a LISTA DE BARRAS e o quadro RESUMO GERAL.</t>
        </is>
      </c>
    </row>
    <row r="12" ht="26" customHeight="1">
      <c r="A12" s="32" t="inlineStr">
        <is>
          <t>- TOTAL (kg) impresso na prancha = 30.599 kg. O somatório não arredondado é 30.598,90 kg; a soma das três linhas já arredondadas é 30.598 kg. A diferença é apenas de arredondamento.</t>
        </is>
      </c>
    </row>
    <row r="13" ht="26" customHeight="1">
      <c r="A13" s="32" t="inlineStr">
        <is>
          <t>- A coluna 'Barras de 12 m' é um equivalente de suprimentos (comprimento / 12 m, arredondado para cima). Não considera perdas de corte, dobra e emendas.</t>
        </is>
      </c>
    </row>
  </sheetData>
  <mergeCells count="7">
    <mergeCell ref="A1:J1"/>
    <mergeCell ref="A3:J3"/>
    <mergeCell ref="A12:J12"/>
    <mergeCell ref="A2:J2"/>
    <mergeCell ref="A9:B9"/>
    <mergeCell ref="A13:J13"/>
    <mergeCell ref="A11:J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3" customWidth="1" min="4" max="4"/>
    <col width="13" customWidth="1" min="5" max="5"/>
    <col width="10" customWidth="1" min="6" max="6"/>
    <col width="32" customWidth="1" min="7" max="7"/>
    <col width="13" customWidth="1" min="8" max="8"/>
  </cols>
  <sheetData>
    <row r="1" ht="36" customHeight="1">
      <c r="A1" s="1" t="inlineStr">
        <is>
          <t>RESUMO POR POSIÇÃO DE BARRA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18" customHeight="1">
      <c r="A3" s="32" t="inlineStr">
        <is>
          <t>Massa por posição, na ordem da prancha. Fonte de dados dos gráficos do painel.</t>
        </is>
      </c>
    </row>
    <row r="5" ht="30" customHeight="1">
      <c r="A5" s="13" t="inlineStr">
        <is>
          <t>Posição</t>
        </is>
      </c>
      <c r="B5" s="13" t="inlineStr">
        <is>
          <t>Bitola
Ø (mm)</t>
        </is>
      </c>
      <c r="C5" s="13" t="inlineStr">
        <is>
          <t>Quant.
total</t>
        </is>
      </c>
      <c r="D5" s="13" t="inlineStr">
        <is>
          <t>Compr. total
(m)</t>
        </is>
      </c>
      <c r="E5" s="13" t="inlineStr">
        <is>
          <t>Massa total
(kg)</t>
        </is>
      </c>
      <c r="F5" s="13" t="inlineStr">
        <is>
          <t>% da massa</t>
        </is>
      </c>
      <c r="G5" s="13" t="inlineStr">
        <is>
          <t>Função estrutural</t>
        </is>
      </c>
      <c r="H5" s="13" t="inlineStr">
        <is>
          <t>Massa por
fundação (kg)</t>
        </is>
      </c>
    </row>
    <row r="6">
      <c r="A6" s="18" t="inlineStr">
        <is>
          <t>N1</t>
        </is>
      </c>
      <c r="B6" s="14" t="n">
        <v>20</v>
      </c>
      <c r="C6" s="17" t="n">
        <v>16</v>
      </c>
      <c r="D6" s="15" t="n">
        <v>1142.4</v>
      </c>
      <c r="E6" s="15" t="n">
        <v>2817.16</v>
      </c>
      <c r="F6" s="16" t="n">
        <v>0.092067</v>
      </c>
      <c r="G6" s="18" t="inlineStr">
        <is>
          <t>Corrida face sup./inf.</t>
        </is>
      </c>
      <c r="H6" s="15" t="n">
        <v>352.14</v>
      </c>
    </row>
    <row r="7">
      <c r="A7" s="18" t="inlineStr">
        <is>
          <t>N2</t>
        </is>
      </c>
      <c r="B7" s="14" t="n">
        <v>20</v>
      </c>
      <c r="C7" s="17" t="n">
        <v>16</v>
      </c>
      <c r="D7" s="15" t="n">
        <v>1206.4</v>
      </c>
      <c r="E7" s="15" t="n">
        <v>2974.98</v>
      </c>
      <c r="F7" s="16" t="n">
        <v>0.09722500000000001</v>
      </c>
      <c r="G7" s="18" t="inlineStr">
        <is>
          <t>Corrida face sup./inf.</t>
        </is>
      </c>
      <c r="H7" s="15" t="n">
        <v>371.87</v>
      </c>
    </row>
    <row r="8">
      <c r="A8" s="18" t="inlineStr">
        <is>
          <t>N3</t>
        </is>
      </c>
      <c r="B8" s="14" t="n">
        <v>20</v>
      </c>
      <c r="C8" s="17" t="n">
        <v>16</v>
      </c>
      <c r="D8" s="15" t="n">
        <v>1206.4</v>
      </c>
      <c r="E8" s="15" t="n">
        <v>2974.98</v>
      </c>
      <c r="F8" s="16" t="n">
        <v>0.09722500000000001</v>
      </c>
      <c r="G8" s="18" t="inlineStr">
        <is>
          <t>Corrida face sup./inf.</t>
        </is>
      </c>
      <c r="H8" s="15" t="n">
        <v>371.87</v>
      </c>
    </row>
    <row r="9">
      <c r="A9" s="18" t="inlineStr">
        <is>
          <t>N4</t>
        </is>
      </c>
      <c r="B9" s="14" t="n">
        <v>20</v>
      </c>
      <c r="C9" s="17" t="n">
        <v>16</v>
      </c>
      <c r="D9" s="15" t="n">
        <v>1206.4</v>
      </c>
      <c r="E9" s="15" t="n">
        <v>2974.98</v>
      </c>
      <c r="F9" s="16" t="n">
        <v>0.09722500000000001</v>
      </c>
      <c r="G9" s="18" t="inlineStr">
        <is>
          <t>Corrida face sup./inf.</t>
        </is>
      </c>
      <c r="H9" s="15" t="n">
        <v>371.87</v>
      </c>
    </row>
    <row r="10">
      <c r="A10" s="18" t="inlineStr">
        <is>
          <t>N5</t>
        </is>
      </c>
      <c r="B10" s="14" t="n">
        <v>20</v>
      </c>
      <c r="C10" s="17" t="n">
        <v>16</v>
      </c>
      <c r="D10" s="15" t="n">
        <v>1209.6</v>
      </c>
      <c r="E10" s="15" t="n">
        <v>2982.87</v>
      </c>
      <c r="F10" s="16" t="n">
        <v>0.097483</v>
      </c>
      <c r="G10" s="18" t="inlineStr">
        <is>
          <t>Corrida face sup./inf.</t>
        </is>
      </c>
      <c r="H10" s="15" t="n">
        <v>372.86</v>
      </c>
    </row>
    <row r="11">
      <c r="A11" s="18" t="inlineStr">
        <is>
          <t>N6</t>
        </is>
      </c>
      <c r="B11" s="14" t="n">
        <v>16</v>
      </c>
      <c r="C11" s="17" t="n">
        <v>48</v>
      </c>
      <c r="D11" s="15" t="n">
        <v>3427.2</v>
      </c>
      <c r="E11" s="15" t="n">
        <v>5408.12</v>
      </c>
      <c r="F11" s="16" t="n">
        <v>0.176742</v>
      </c>
      <c r="G11" s="18" t="inlineStr">
        <is>
          <t>Corrida face externa</t>
        </is>
      </c>
      <c r="H11" s="15" t="n">
        <v>676.02</v>
      </c>
    </row>
    <row r="12">
      <c r="A12" s="18" t="inlineStr">
        <is>
          <t>N7</t>
        </is>
      </c>
      <c r="B12" s="14" t="n">
        <v>16</v>
      </c>
      <c r="C12" s="17" t="n">
        <v>48</v>
      </c>
      <c r="D12" s="15" t="n">
        <v>3264</v>
      </c>
      <c r="E12" s="15" t="n">
        <v>5150.59</v>
      </c>
      <c r="F12" s="16" t="n">
        <v>0.168326</v>
      </c>
      <c r="G12" s="18" t="inlineStr">
        <is>
          <t>Corrida face interna</t>
        </is>
      </c>
      <c r="H12" s="15" t="n">
        <v>643.8200000000001</v>
      </c>
    </row>
    <row r="13">
      <c r="A13" s="18" t="inlineStr">
        <is>
          <t>N8</t>
        </is>
      </c>
      <c r="B13" s="14" t="n">
        <v>8</v>
      </c>
      <c r="C13" s="17" t="n">
        <v>2384</v>
      </c>
      <c r="D13" s="15" t="n">
        <v>11085.6</v>
      </c>
      <c r="E13" s="15" t="n">
        <v>4378.81</v>
      </c>
      <c r="F13" s="16" t="n">
        <v>0.143104</v>
      </c>
      <c r="G13" s="18" t="inlineStr">
        <is>
          <t>Estribo</t>
        </is>
      </c>
      <c r="H13" s="15" t="n">
        <v>547.35</v>
      </c>
    </row>
    <row r="14">
      <c r="A14" s="18" t="inlineStr">
        <is>
          <t>N9</t>
        </is>
      </c>
      <c r="B14" s="14" t="n">
        <v>8</v>
      </c>
      <c r="C14" s="17" t="n">
        <v>48</v>
      </c>
      <c r="D14" s="15" t="n">
        <v>227.04</v>
      </c>
      <c r="E14" s="15" t="n">
        <v>89.68000000000001</v>
      </c>
      <c r="F14" s="16" t="n">
        <v>0.002931</v>
      </c>
      <c r="G14" s="18" t="inlineStr">
        <is>
          <t>Estribo no rebaixo</t>
        </is>
      </c>
      <c r="H14" s="15" t="n">
        <v>11.21</v>
      </c>
    </row>
    <row r="15">
      <c r="A15" s="18" t="inlineStr">
        <is>
          <t>N10</t>
        </is>
      </c>
      <c r="B15" s="14" t="n">
        <v>16</v>
      </c>
      <c r="C15" s="17" t="n">
        <v>32</v>
      </c>
      <c r="D15" s="15" t="n">
        <v>160</v>
      </c>
      <c r="E15" s="15" t="n">
        <v>252.48</v>
      </c>
      <c r="F15" s="16" t="n">
        <v>0.008251</v>
      </c>
      <c r="G15" s="18" t="inlineStr">
        <is>
          <t>Reforço do rebaixo</t>
        </is>
      </c>
      <c r="H15" s="15" t="n">
        <v>31.56</v>
      </c>
    </row>
    <row r="16">
      <c r="A16" s="18" t="inlineStr">
        <is>
          <t>N11</t>
        </is>
      </c>
      <c r="B16" s="14" t="n">
        <v>20</v>
      </c>
      <c r="C16" s="17" t="n">
        <v>32</v>
      </c>
      <c r="D16" s="15" t="n">
        <v>192</v>
      </c>
      <c r="E16" s="15" t="n">
        <v>473.47</v>
      </c>
      <c r="F16" s="16" t="n">
        <v>0.015473</v>
      </c>
      <c r="G16" s="18" t="inlineStr">
        <is>
          <t>Reforço superior do rebaixo</t>
        </is>
      </c>
      <c r="H16" s="15" t="n">
        <v>59.18</v>
      </c>
    </row>
    <row r="17">
      <c r="A17" s="18" t="inlineStr">
        <is>
          <t>N12</t>
        </is>
      </c>
      <c r="B17" s="14" t="n">
        <v>8</v>
      </c>
      <c r="C17" s="17" t="n">
        <v>32</v>
      </c>
      <c r="D17" s="15" t="n">
        <v>150.72</v>
      </c>
      <c r="E17" s="15" t="n">
        <v>59.53</v>
      </c>
      <c r="F17" s="16" t="n">
        <v>0.001946</v>
      </c>
      <c r="G17" s="18" t="inlineStr">
        <is>
          <t>Estribo de comprimento variável</t>
        </is>
      </c>
      <c r="H17" s="15" t="n">
        <v>7.44</v>
      </c>
    </row>
    <row r="18">
      <c r="A18" s="18" t="inlineStr">
        <is>
          <t>N13</t>
        </is>
      </c>
      <c r="B18" s="14" t="n">
        <v>16</v>
      </c>
      <c r="C18" s="17" t="n">
        <v>8</v>
      </c>
      <c r="D18" s="15" t="n">
        <v>38.8</v>
      </c>
      <c r="E18" s="15" t="n">
        <v>61.23</v>
      </c>
      <c r="F18" s="16" t="n">
        <v>0.002001</v>
      </c>
      <c r="G18" s="18" t="inlineStr">
        <is>
          <t>Reforço do rebaixo</t>
        </is>
      </c>
      <c r="H18" s="15" t="n">
        <v>7.65</v>
      </c>
    </row>
    <row r="19">
      <c r="A19" s="20" t="inlineStr">
        <is>
          <t>TOTAL</t>
        </is>
      </c>
      <c r="B19" s="12" t="n"/>
      <c r="C19" s="23" t="n">
        <v>2712</v>
      </c>
      <c r="D19" s="21" t="n">
        <v>24516.56</v>
      </c>
      <c r="E19" s="21" t="n">
        <v>30598.9</v>
      </c>
      <c r="F19" s="22" t="n">
        <v>1</v>
      </c>
      <c r="G19" s="20" t="n"/>
      <c r="H19" s="21" t="n">
        <v>3824.86</v>
      </c>
    </row>
    <row r="21" ht="22" customHeight="1">
      <c r="A21" s="11" t="inlineStr">
        <is>
          <t>AGRUPAMENTO POR FUNÇÃO ESTRUTURAL</t>
        </is>
      </c>
      <c r="B21" s="12" t="n"/>
      <c r="C21" s="12" t="n"/>
      <c r="D21" s="12" t="n"/>
      <c r="E21" s="12" t="n"/>
    </row>
    <row r="22" ht="30" customHeight="1">
      <c r="A22" s="13" t="inlineStr">
        <is>
          <t>Função estrutural</t>
        </is>
      </c>
      <c r="B22" s="13" t="inlineStr">
        <is>
          <t>Posições</t>
        </is>
      </c>
      <c r="C22" s="13" t="inlineStr">
        <is>
          <t>Quant. total</t>
        </is>
      </c>
      <c r="D22" s="13" t="inlineStr">
        <is>
          <t>Compr. total
(m)</t>
        </is>
      </c>
      <c r="E22" s="13" t="inlineStr">
        <is>
          <t>Massa total
(kg)</t>
        </is>
      </c>
    </row>
    <row r="23">
      <c r="A23" s="35" t="inlineStr">
        <is>
          <t>Barras corridas — faces superior e inferior</t>
        </is>
      </c>
      <c r="B23" s="18" t="inlineStr">
        <is>
          <t>N1, N2, N3, N4, N5</t>
        </is>
      </c>
      <c r="C23" s="17" t="n">
        <v>80</v>
      </c>
      <c r="D23" s="15" t="n">
        <v>5971.2</v>
      </c>
      <c r="E23" s="15" t="n">
        <v>14724.98</v>
      </c>
    </row>
    <row r="24">
      <c r="A24" s="35" t="inlineStr">
        <is>
          <t>Barras corridas — faces externa e interna</t>
        </is>
      </c>
      <c r="B24" s="18" t="inlineStr">
        <is>
          <t>N6, N7</t>
        </is>
      </c>
      <c r="C24" s="17" t="n">
        <v>96</v>
      </c>
      <c r="D24" s="15" t="n">
        <v>6691.2</v>
      </c>
      <c r="E24" s="15" t="n">
        <v>10558.71</v>
      </c>
    </row>
    <row r="25">
      <c r="A25" s="18" t="inlineStr">
        <is>
          <t>Estribos</t>
        </is>
      </c>
      <c r="B25" s="18" t="inlineStr">
        <is>
          <t>N8, N9, N12</t>
        </is>
      </c>
      <c r="C25" s="17" t="n">
        <v>2464</v>
      </c>
      <c r="D25" s="15" t="n">
        <v>11463.36</v>
      </c>
      <c r="E25" s="15" t="n">
        <v>4528.03</v>
      </c>
    </row>
    <row r="26">
      <c r="A26" s="18" t="inlineStr">
        <is>
          <t>Reforços da região do rebaixo</t>
        </is>
      </c>
      <c r="B26" s="18" t="inlineStr">
        <is>
          <t>N10, N11, N13</t>
        </is>
      </c>
      <c r="C26" s="17" t="n">
        <v>72</v>
      </c>
      <c r="D26" s="15" t="n">
        <v>390.8</v>
      </c>
      <c r="E26" s="15" t="n">
        <v>787.1799999999999</v>
      </c>
    </row>
    <row r="27">
      <c r="A27" s="20" t="inlineStr">
        <is>
          <t>TOTAL</t>
        </is>
      </c>
      <c r="B27" s="12" t="n"/>
      <c r="C27" s="23" t="n">
        <v>2712</v>
      </c>
      <c r="D27" s="21" t="n">
        <v>24516.56</v>
      </c>
      <c r="E27" s="21" t="n">
        <v>30598.9</v>
      </c>
    </row>
  </sheetData>
  <mergeCells count="6">
    <mergeCell ref="A21:E21"/>
    <mergeCell ref="A3:H3"/>
    <mergeCell ref="A19:B19"/>
    <mergeCell ref="A2:H2"/>
    <mergeCell ref="A1:H1"/>
    <mergeCell ref="A27:B2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 ht="36" customHeight="1">
      <c r="A1" s="1" t="inlineStr">
        <is>
          <t>QUANTITATIVO UNITÁRIO POR FUNDAÇÃO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26" customHeight="1">
      <c r="A3" s="32" t="inlineStr">
        <is>
          <t>A prancha atende 8 fundações idênticas (indicação '8x' na planta e na lista de barras). O quantitativo unitário é obtido dividindo os totais por 8.</t>
        </is>
      </c>
    </row>
    <row r="5" ht="30" customHeight="1">
      <c r="A5" s="13" t="inlineStr">
        <is>
          <t>Tanque</t>
        </is>
      </c>
      <c r="B5" s="13" t="inlineStr">
        <is>
          <t>Elemento</t>
        </is>
      </c>
      <c r="C5" s="13" t="inlineStr">
        <is>
          <t>Fundações</t>
        </is>
      </c>
      <c r="D5" s="13" t="inlineStr">
        <is>
          <t>Compr. Ø8
(m)</t>
        </is>
      </c>
      <c r="E5" s="13" t="inlineStr">
        <is>
          <t>Compr. Ø16
(m)</t>
        </is>
      </c>
      <c r="F5" s="13" t="inlineStr">
        <is>
          <t>Compr. Ø20
(m)</t>
        </is>
      </c>
      <c r="G5" s="13" t="inlineStr">
        <is>
          <t>Compr. total
(m)</t>
        </is>
      </c>
      <c r="H5" s="13" t="inlineStr">
        <is>
          <t>Massa de aço
(kg)</t>
        </is>
      </c>
    </row>
    <row r="6">
      <c r="A6" s="18" t="inlineStr">
        <is>
          <t>TQ-6310816A</t>
        </is>
      </c>
      <c r="B6" s="18" t="inlineStr">
        <is>
          <t>Fundação anelar — armadura</t>
        </is>
      </c>
      <c r="C6" s="17" t="n">
        <v>1</v>
      </c>
      <c r="D6" s="15" t="n">
        <v>1432.92</v>
      </c>
      <c r="E6" s="15" t="n">
        <v>861.25</v>
      </c>
      <c r="F6" s="15" t="n">
        <v>770.4</v>
      </c>
      <c r="G6" s="15" t="n">
        <v>3064.57</v>
      </c>
      <c r="H6" s="15" t="n">
        <v>3824.86</v>
      </c>
    </row>
    <row r="7">
      <c r="A7" s="18" t="inlineStr">
        <is>
          <t>TQ-6310816B</t>
        </is>
      </c>
      <c r="B7" s="18" t="inlineStr">
        <is>
          <t>Fundação anelar — armadura</t>
        </is>
      </c>
      <c r="C7" s="17" t="n">
        <v>1</v>
      </c>
      <c r="D7" s="15" t="n">
        <v>1432.92</v>
      </c>
      <c r="E7" s="15" t="n">
        <v>861.25</v>
      </c>
      <c r="F7" s="15" t="n">
        <v>770.4</v>
      </c>
      <c r="G7" s="15" t="n">
        <v>3064.57</v>
      </c>
      <c r="H7" s="15" t="n">
        <v>3824.86</v>
      </c>
    </row>
    <row r="8">
      <c r="A8" s="18" t="inlineStr">
        <is>
          <t>TQ-6310816C</t>
        </is>
      </c>
      <c r="B8" s="18" t="inlineStr">
        <is>
          <t>Fundação anelar — armadura</t>
        </is>
      </c>
      <c r="C8" s="17" t="n">
        <v>1</v>
      </c>
      <c r="D8" s="15" t="n">
        <v>1432.92</v>
      </c>
      <c r="E8" s="15" t="n">
        <v>861.25</v>
      </c>
      <c r="F8" s="15" t="n">
        <v>770.4</v>
      </c>
      <c r="G8" s="15" t="n">
        <v>3064.57</v>
      </c>
      <c r="H8" s="15" t="n">
        <v>3824.86</v>
      </c>
    </row>
    <row r="9">
      <c r="A9" s="18" t="inlineStr">
        <is>
          <t>TQ-6310816D</t>
        </is>
      </c>
      <c r="B9" s="18" t="inlineStr">
        <is>
          <t>Fundação anelar — armadura</t>
        </is>
      </c>
      <c r="C9" s="17" t="n">
        <v>1</v>
      </c>
      <c r="D9" s="15" t="n">
        <v>1432.92</v>
      </c>
      <c r="E9" s="15" t="n">
        <v>861.25</v>
      </c>
      <c r="F9" s="15" t="n">
        <v>770.4</v>
      </c>
      <c r="G9" s="15" t="n">
        <v>3064.57</v>
      </c>
      <c r="H9" s="15" t="n">
        <v>3824.86</v>
      </c>
    </row>
    <row r="10">
      <c r="A10" s="18" t="inlineStr">
        <is>
          <t>TQ-6310817A</t>
        </is>
      </c>
      <c r="B10" s="18" t="inlineStr">
        <is>
          <t>Fundação anelar — armadura</t>
        </is>
      </c>
      <c r="C10" s="17" t="n">
        <v>1</v>
      </c>
      <c r="D10" s="15" t="n">
        <v>1432.92</v>
      </c>
      <c r="E10" s="15" t="n">
        <v>861.25</v>
      </c>
      <c r="F10" s="15" t="n">
        <v>770.4</v>
      </c>
      <c r="G10" s="15" t="n">
        <v>3064.57</v>
      </c>
      <c r="H10" s="15" t="n">
        <v>3824.86</v>
      </c>
    </row>
    <row r="11">
      <c r="A11" s="18" t="inlineStr">
        <is>
          <t>TQ-6310817B</t>
        </is>
      </c>
      <c r="B11" s="18" t="inlineStr">
        <is>
          <t>Fundação anelar — armadura</t>
        </is>
      </c>
      <c r="C11" s="17" t="n">
        <v>1</v>
      </c>
      <c r="D11" s="15" t="n">
        <v>1432.92</v>
      </c>
      <c r="E11" s="15" t="n">
        <v>861.25</v>
      </c>
      <c r="F11" s="15" t="n">
        <v>770.4</v>
      </c>
      <c r="G11" s="15" t="n">
        <v>3064.57</v>
      </c>
      <c r="H11" s="15" t="n">
        <v>3824.86</v>
      </c>
    </row>
    <row r="12">
      <c r="A12" s="18" t="inlineStr">
        <is>
          <t>TQ-6310817C</t>
        </is>
      </c>
      <c r="B12" s="18" t="inlineStr">
        <is>
          <t>Fundação anelar — armadura</t>
        </is>
      </c>
      <c r="C12" s="17" t="n">
        <v>1</v>
      </c>
      <c r="D12" s="15" t="n">
        <v>1432.92</v>
      </c>
      <c r="E12" s="15" t="n">
        <v>861.25</v>
      </c>
      <c r="F12" s="15" t="n">
        <v>770.4</v>
      </c>
      <c r="G12" s="15" t="n">
        <v>3064.57</v>
      </c>
      <c r="H12" s="15" t="n">
        <v>3824.86</v>
      </c>
    </row>
    <row r="13">
      <c r="A13" s="18" t="inlineStr">
        <is>
          <t>TQ-6310817D</t>
        </is>
      </c>
      <c r="B13" s="18" t="inlineStr">
        <is>
          <t>Fundação anelar — armadura</t>
        </is>
      </c>
      <c r="C13" s="17" t="n">
        <v>1</v>
      </c>
      <c r="D13" s="15" t="n">
        <v>1432.92</v>
      </c>
      <c r="E13" s="15" t="n">
        <v>861.25</v>
      </c>
      <c r="F13" s="15" t="n">
        <v>770.4</v>
      </c>
      <c r="G13" s="15" t="n">
        <v>3064.57</v>
      </c>
      <c r="H13" s="15" t="n">
        <v>3824.86</v>
      </c>
    </row>
    <row r="14">
      <c r="A14" s="20" t="inlineStr">
        <is>
          <t>TOTAL — 8 fundações</t>
        </is>
      </c>
      <c r="B14" s="12" t="n"/>
      <c r="C14" s="23" t="n">
        <v>8</v>
      </c>
      <c r="D14" s="21" t="n">
        <v>11463.36</v>
      </c>
      <c r="E14" s="21" t="n">
        <v>6890</v>
      </c>
      <c r="F14" s="21" t="n">
        <v>6163.2</v>
      </c>
      <c r="G14" s="21" t="n">
        <v>24516.56</v>
      </c>
      <c r="H14" s="21" t="n">
        <v>30598.9</v>
      </c>
    </row>
    <row r="16" ht="22" customHeight="1">
      <c r="A16" s="11" t="inlineStr">
        <is>
          <t>DETALHAMENTO DE UMA FUNDAÇÃO (VALE PARA CADA UM DOS 8 TANQUES)</t>
        </is>
      </c>
      <c r="B16" s="12" t="n"/>
      <c r="C16" s="12" t="n"/>
      <c r="D16" s="12" t="n"/>
      <c r="E16" s="12" t="n"/>
      <c r="F16" s="12" t="n"/>
    </row>
    <row r="17" ht="30" customHeight="1">
      <c r="A17" s="13" t="inlineStr">
        <is>
          <t>Posição</t>
        </is>
      </c>
      <c r="B17" s="13" t="inlineStr">
        <is>
          <t>Bitola
Ø (mm)</t>
        </is>
      </c>
      <c r="C17" s="13" t="inlineStr">
        <is>
          <t>Quant. por
fundação</t>
        </is>
      </c>
      <c r="D17" s="13" t="inlineStr">
        <is>
          <t>Compr. unit.
(cm)</t>
        </is>
      </c>
      <c r="E17" s="13" t="inlineStr">
        <is>
          <t>Compr. por
fundação (m)</t>
        </is>
      </c>
      <c r="F17" s="13" t="inlineStr">
        <is>
          <t>Massa por
fundação (kg)</t>
        </is>
      </c>
    </row>
    <row r="18">
      <c r="A18" s="18" t="inlineStr">
        <is>
          <t>N1</t>
        </is>
      </c>
      <c r="B18" s="14" t="n">
        <v>20</v>
      </c>
      <c r="C18" s="17" t="n">
        <v>2</v>
      </c>
      <c r="D18" s="18" t="inlineStr">
        <is>
          <t>CORR</t>
        </is>
      </c>
      <c r="E18" s="15" t="n">
        <v>142.8</v>
      </c>
      <c r="F18" s="15" t="n">
        <v>352.14</v>
      </c>
    </row>
    <row r="19">
      <c r="A19" s="18" t="inlineStr">
        <is>
          <t>N2</t>
        </is>
      </c>
      <c r="B19" s="14" t="n">
        <v>20</v>
      </c>
      <c r="C19" s="17" t="n">
        <v>2</v>
      </c>
      <c r="D19" s="18" t="inlineStr">
        <is>
          <t>CORR</t>
        </is>
      </c>
      <c r="E19" s="15" t="n">
        <v>150.8</v>
      </c>
      <c r="F19" s="15" t="n">
        <v>371.87</v>
      </c>
    </row>
    <row r="20">
      <c r="A20" s="18" t="inlineStr">
        <is>
          <t>N3</t>
        </is>
      </c>
      <c r="B20" s="14" t="n">
        <v>20</v>
      </c>
      <c r="C20" s="17" t="n">
        <v>2</v>
      </c>
      <c r="D20" s="18" t="inlineStr">
        <is>
          <t>CORR</t>
        </is>
      </c>
      <c r="E20" s="15" t="n">
        <v>150.8</v>
      </c>
      <c r="F20" s="15" t="n">
        <v>371.87</v>
      </c>
    </row>
    <row r="21">
      <c r="A21" s="18" t="inlineStr">
        <is>
          <t>N4</t>
        </is>
      </c>
      <c r="B21" s="14" t="n">
        <v>20</v>
      </c>
      <c r="C21" s="17" t="n">
        <v>2</v>
      </c>
      <c r="D21" s="18" t="inlineStr">
        <is>
          <t>CORR</t>
        </is>
      </c>
      <c r="E21" s="15" t="n">
        <v>150.8</v>
      </c>
      <c r="F21" s="15" t="n">
        <v>371.87</v>
      </c>
    </row>
    <row r="22">
      <c r="A22" s="18" t="inlineStr">
        <is>
          <t>N5</t>
        </is>
      </c>
      <c r="B22" s="14" t="n">
        <v>20</v>
      </c>
      <c r="C22" s="17" t="n">
        <v>2</v>
      </c>
      <c r="D22" s="18" t="inlineStr">
        <is>
          <t>CORR</t>
        </is>
      </c>
      <c r="E22" s="15" t="n">
        <v>151.2</v>
      </c>
      <c r="F22" s="15" t="n">
        <v>372.86</v>
      </c>
    </row>
    <row r="23">
      <c r="A23" s="18" t="inlineStr">
        <is>
          <t>N6</t>
        </is>
      </c>
      <c r="B23" s="14" t="n">
        <v>16</v>
      </c>
      <c r="C23" s="17" t="n">
        <v>6</v>
      </c>
      <c r="D23" s="18" t="inlineStr">
        <is>
          <t>CORR</t>
        </is>
      </c>
      <c r="E23" s="15" t="n">
        <v>428.4</v>
      </c>
      <c r="F23" s="15" t="n">
        <v>676.02</v>
      </c>
    </row>
    <row r="24">
      <c r="A24" s="18" t="inlineStr">
        <is>
          <t>N7</t>
        </is>
      </c>
      <c r="B24" s="14" t="n">
        <v>16</v>
      </c>
      <c r="C24" s="17" t="n">
        <v>6</v>
      </c>
      <c r="D24" s="18" t="inlineStr">
        <is>
          <t>CORR</t>
        </is>
      </c>
      <c r="E24" s="15" t="n">
        <v>408</v>
      </c>
      <c r="F24" s="15" t="n">
        <v>643.8200000000001</v>
      </c>
    </row>
    <row r="25">
      <c r="A25" s="18" t="inlineStr">
        <is>
          <t>N8</t>
        </is>
      </c>
      <c r="B25" s="14" t="n">
        <v>8</v>
      </c>
      <c r="C25" s="17" t="n">
        <v>298</v>
      </c>
      <c r="D25" s="18" t="inlineStr">
        <is>
          <t>465</t>
        </is>
      </c>
      <c r="E25" s="15" t="n">
        <v>1385.7</v>
      </c>
      <c r="F25" s="15" t="n">
        <v>547.35</v>
      </c>
    </row>
    <row r="26">
      <c r="A26" s="18" t="inlineStr">
        <is>
          <t>N9</t>
        </is>
      </c>
      <c r="B26" s="14" t="n">
        <v>8</v>
      </c>
      <c r="C26" s="17" t="n">
        <v>6</v>
      </c>
      <c r="D26" s="18" t="inlineStr">
        <is>
          <t>473</t>
        </is>
      </c>
      <c r="E26" s="15" t="n">
        <v>28.38</v>
      </c>
      <c r="F26" s="15" t="n">
        <v>11.21</v>
      </c>
    </row>
    <row r="27">
      <c r="A27" s="18" t="inlineStr">
        <is>
          <t>N10</t>
        </is>
      </c>
      <c r="B27" s="14" t="n">
        <v>16</v>
      </c>
      <c r="C27" s="17" t="n">
        <v>4</v>
      </c>
      <c r="D27" s="18" t="inlineStr">
        <is>
          <t>500</t>
        </is>
      </c>
      <c r="E27" s="15" t="n">
        <v>20</v>
      </c>
      <c r="F27" s="15" t="n">
        <v>31.56</v>
      </c>
    </row>
    <row r="28">
      <c r="A28" s="18" t="inlineStr">
        <is>
          <t>N11</t>
        </is>
      </c>
      <c r="B28" s="14" t="n">
        <v>20</v>
      </c>
      <c r="C28" s="17" t="n">
        <v>4</v>
      </c>
      <c r="D28" s="18" t="inlineStr">
        <is>
          <t>600</t>
        </is>
      </c>
      <c r="E28" s="15" t="n">
        <v>24</v>
      </c>
      <c r="F28" s="15" t="n">
        <v>59.18</v>
      </c>
    </row>
    <row r="29">
      <c r="A29" s="18" t="inlineStr">
        <is>
          <t>N12</t>
        </is>
      </c>
      <c r="B29" s="14" t="n">
        <v>8</v>
      </c>
      <c r="C29" s="17" t="n">
        <v>4</v>
      </c>
      <c r="D29" s="18" t="inlineStr">
        <is>
          <t>VAR</t>
        </is>
      </c>
      <c r="E29" s="15" t="n">
        <v>18.84</v>
      </c>
      <c r="F29" s="15" t="n">
        <v>7.44</v>
      </c>
    </row>
    <row r="30">
      <c r="A30" s="18" t="inlineStr">
        <is>
          <t>N13</t>
        </is>
      </c>
      <c r="B30" s="14" t="n">
        <v>16</v>
      </c>
      <c r="C30" s="17" t="n">
        <v>1</v>
      </c>
      <c r="D30" s="18" t="inlineStr">
        <is>
          <t>485</t>
        </is>
      </c>
      <c r="E30" s="15" t="n">
        <v>4.85</v>
      </c>
      <c r="F30" s="15" t="n">
        <v>7.65</v>
      </c>
    </row>
    <row r="31">
      <c r="A31" s="20" t="inlineStr">
        <is>
          <t>TOTAL POR FUNDAÇÃO</t>
        </is>
      </c>
      <c r="B31" s="12" t="n"/>
      <c r="C31" s="23" t="n">
        <v>339</v>
      </c>
      <c r="D31" s="20" t="n"/>
      <c r="E31" s="21" t="n">
        <v>3064.57</v>
      </c>
      <c r="F31" s="21" t="n">
        <v>3824.86</v>
      </c>
    </row>
  </sheetData>
  <mergeCells count="6">
    <mergeCell ref="A16:F16"/>
    <mergeCell ref="A3:H3"/>
    <mergeCell ref="A2:H2"/>
    <mergeCell ref="A14:B14"/>
    <mergeCell ref="A1:H1"/>
    <mergeCell ref="A31:B3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12" customWidth="1" min="5" max="5"/>
    <col width="66" customWidth="1" min="6" max="6"/>
  </cols>
  <sheetData>
    <row r="1" ht="36" customHeight="1">
      <c r="A1" s="1" t="inlineStr">
        <is>
          <t>GEOMETRIA, VISTAS E SEÇÕES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26" customHeight="1">
      <c r="A3" s="32" t="inlineStr">
        <is>
          <t>Cotas e desenvolvimentos lidos diretamente da prancha, e grandezas derivadas a partir delas. Os itens marcados como DERIVADO não constam do desenho: são cálculo próprio para apoio de planejamento.</t>
        </is>
      </c>
    </row>
    <row r="5" ht="30" customHeight="1">
      <c r="A5" s="13" t="inlineStr">
        <is>
          <t>Grupo</t>
        </is>
      </c>
      <c r="B5" s="13" t="inlineStr">
        <is>
          <t>Item</t>
        </is>
      </c>
      <c r="C5" s="13" t="inlineStr">
        <is>
          <t>Escala</t>
        </is>
      </c>
      <c r="D5" s="13" t="inlineStr">
        <is>
          <t>Valor
(m, m² ou m³)</t>
        </is>
      </c>
      <c r="E5" s="13" t="inlineStr">
        <is>
          <t>Origem</t>
        </is>
      </c>
      <c r="F5" s="13" t="inlineStr">
        <is>
          <t>Observação</t>
        </is>
      </c>
    </row>
    <row r="6">
      <c r="A6" s="18" t="inlineStr">
        <is>
          <t>Vista</t>
        </is>
      </c>
      <c r="B6" s="35" t="inlineStr">
        <is>
          <t>PLANTA - ARMADURA - TQ-6310816 A/B/C/D &amp; TQ-6310817 A/B/C/D (8x)</t>
        </is>
      </c>
      <c r="C6" s="18" t="inlineStr">
        <is>
          <t>1:100</t>
        </is>
      </c>
      <c r="D6" s="33" t="n"/>
      <c r="E6" s="18" t="inlineStr">
        <is>
          <t>PRANCHA</t>
        </is>
      </c>
      <c r="F6" s="35" t="inlineStr">
        <is>
          <t>Planta de armadura do anel de fundação; indicação 298 N8 c.20 e 6 N9 c.20.</t>
        </is>
      </c>
    </row>
    <row r="7">
      <c r="A7" s="18" t="inlineStr">
        <is>
          <t>Vista</t>
        </is>
      </c>
      <c r="B7" s="18" t="inlineStr">
        <is>
          <t>CORTE A-A</t>
        </is>
      </c>
      <c r="C7" s="18" t="inlineStr">
        <is>
          <t>1:20</t>
        </is>
      </c>
      <c r="D7" s="33" t="n"/>
      <c r="E7" s="18" t="inlineStr">
        <is>
          <t>PRANCHA</t>
        </is>
      </c>
      <c r="F7" s="35" t="inlineStr">
        <is>
          <t>Seção corrente do anel, com 6 N6 c/20 na face externa e 6 N7 c/20 na face interna.</t>
        </is>
      </c>
    </row>
    <row r="8">
      <c r="A8" s="18" t="inlineStr">
        <is>
          <t>Vista</t>
        </is>
      </c>
      <c r="B8" s="18" t="inlineStr">
        <is>
          <t>CORTE B-B</t>
        </is>
      </c>
      <c r="C8" s="18" t="inlineStr">
        <is>
          <t>1:20</t>
        </is>
      </c>
      <c r="D8" s="33" t="n"/>
      <c r="E8" s="18" t="inlineStr">
        <is>
          <t>PRANCHA</t>
        </is>
      </c>
      <c r="F8" s="35" t="inlineStr">
        <is>
          <t>Seção na região do rebaixo, com 5 N6 / 5 N7 c/20, N10, N11, N8 e 2 N13.</t>
        </is>
      </c>
    </row>
    <row r="9">
      <c r="A9" s="18" t="inlineStr">
        <is>
          <t>Vista</t>
        </is>
      </c>
      <c r="B9" s="18" t="inlineStr">
        <is>
          <t>VISTA C-C (2x)</t>
        </is>
      </c>
      <c r="C9" s="18" t="inlineStr">
        <is>
          <t>1:25</t>
        </is>
      </c>
      <c r="D9" s="33" t="n"/>
      <c r="E9" s="18" t="inlineStr">
        <is>
          <t>PRANCHA</t>
        </is>
      </c>
      <c r="F9" s="35" t="inlineStr">
        <is>
          <t>Detalhe do rebaixo: N9, N10, N11, N12 e N13.</t>
        </is>
      </c>
    </row>
    <row r="10">
      <c r="A10" s="18" t="inlineStr">
        <is>
          <t>Vista</t>
        </is>
      </c>
      <c r="B10" s="18" t="inlineStr">
        <is>
          <t>FACE EXTERNA - ELEVAÇÃO</t>
        </is>
      </c>
      <c r="C10" s="18" t="inlineStr">
        <is>
          <t>S/ESC.</t>
        </is>
      </c>
      <c r="D10" s="33" t="n">
        <v>61.556</v>
      </c>
      <c r="E10" s="18" t="inlineStr">
        <is>
          <t>PRANCHA</t>
        </is>
      </c>
      <c r="F10" s="35" t="inlineStr">
        <is>
          <t>Desenvolvimento cotado de 6155,6 cm; malha de N5 e N6 com trechos de 160 cm e traspasses de 40 cm.</t>
        </is>
      </c>
    </row>
    <row r="11">
      <c r="A11" s="18" t="inlineStr">
        <is>
          <t>Vista</t>
        </is>
      </c>
      <c r="B11" s="18" t="inlineStr">
        <is>
          <t>FACE INTERNA - ELEVAÇÃO</t>
        </is>
      </c>
      <c r="C11" s="18" t="inlineStr">
        <is>
          <t>S/ESC.</t>
        </is>
      </c>
      <c r="D11" s="33" t="n">
        <v>59.942</v>
      </c>
      <c r="E11" s="18" t="inlineStr">
        <is>
          <t>PRANCHA</t>
        </is>
      </c>
      <c r="F11" s="35" t="inlineStr">
        <is>
          <t>Cota impressa de 5994,2 cm. Geometricamente este valor corresponde ao eixo do anel, e não à face interna — ver aba Validações.</t>
        </is>
      </c>
    </row>
    <row r="12">
      <c r="A12" s="18" t="inlineStr">
        <is>
          <t>Vista</t>
        </is>
      </c>
      <c r="B12" s="18" t="inlineStr">
        <is>
          <t>FACE SUPERIOR E INFERIOR - PLANTA</t>
        </is>
      </c>
      <c r="C12" s="18" t="inlineStr">
        <is>
          <t>S/ESC.</t>
        </is>
      </c>
      <c r="D12" s="33" t="n">
        <v>58.327</v>
      </c>
      <c r="E12" s="18" t="inlineStr">
        <is>
          <t>PRANCHA</t>
        </is>
      </c>
      <c r="F12" s="35" t="inlineStr">
        <is>
          <t>Cota impressa de 5832,7 cm. Geometricamente este valor corresponde à face interna — ver aba Validações.</t>
        </is>
      </c>
    </row>
    <row r="13">
      <c r="A13" s="18" t="inlineStr">
        <is>
          <t>Derivado</t>
        </is>
      </c>
      <c r="B13" s="18" t="inlineStr">
        <is>
          <t>Desenvolvimento do eixo do anel (m)</t>
        </is>
      </c>
      <c r="C13" s="18" t="inlineStr">
        <is>
          <t>-</t>
        </is>
      </c>
      <c r="D13" s="33" t="n">
        <v>59.941</v>
      </c>
      <c r="E13" s="18" t="inlineStr">
        <is>
          <t>DERIVADO</t>
        </is>
      </c>
      <c r="F13" s="35" t="inlineStr">
        <is>
          <t>Média entre os desenvolvimentos das faces externa (61,556 m) e interna (58,327 m). Coincide com a cota de 5994,2 cm impressa na prancha.</t>
        </is>
      </c>
    </row>
    <row r="14">
      <c r="A14" s="18" t="inlineStr">
        <is>
          <t>Derivado</t>
        </is>
      </c>
      <c r="B14" s="18" t="inlineStr">
        <is>
          <t>Raio do eixo do anel (m)</t>
        </is>
      </c>
      <c r="C14" s="18" t="inlineStr">
        <is>
          <t>-</t>
        </is>
      </c>
      <c r="D14" s="33" t="n">
        <v>9.539999999999999</v>
      </c>
      <c r="E14" s="18" t="inlineStr">
        <is>
          <t>DERIVADO</t>
        </is>
      </c>
      <c r="F14" s="18" t="inlineStr">
        <is>
          <t>Desenvolvimento do eixo dividido por 2π.</t>
        </is>
      </c>
    </row>
    <row r="15">
      <c r="A15" s="18" t="inlineStr">
        <is>
          <t>Derivado</t>
        </is>
      </c>
      <c r="B15" s="18" t="inlineStr">
        <is>
          <t>Raio interno do anel (m)</t>
        </is>
      </c>
      <c r="C15" s="18" t="inlineStr">
        <is>
          <t>-</t>
        </is>
      </c>
      <c r="D15" s="33" t="n">
        <v>9.215</v>
      </c>
      <c r="E15" s="18" t="inlineStr">
        <is>
          <t>DERIVADO</t>
        </is>
      </c>
      <c r="F15" s="35" t="inlineStr">
        <is>
          <t>Raio do eixo menos meia largura da seção.</t>
        </is>
      </c>
    </row>
    <row r="16">
      <c r="A16" s="18" t="inlineStr">
        <is>
          <t>Derivado</t>
        </is>
      </c>
      <c r="B16" s="18" t="inlineStr">
        <is>
          <t>Raio externo do anel (m)</t>
        </is>
      </c>
      <c r="C16" s="18" t="inlineStr">
        <is>
          <t>-</t>
        </is>
      </c>
      <c r="D16" s="33" t="n">
        <v>9.865</v>
      </c>
      <c r="E16" s="18" t="inlineStr">
        <is>
          <t>DERIVADO</t>
        </is>
      </c>
      <c r="F16" s="18" t="inlineStr">
        <is>
          <t>Raio do eixo mais meia largura da seção.</t>
        </is>
      </c>
    </row>
    <row r="17">
      <c r="A17" s="18" t="inlineStr">
        <is>
          <t>Seção</t>
        </is>
      </c>
      <c r="B17" s="18" t="inlineStr">
        <is>
          <t>Largura radial da seção (m)</t>
        </is>
      </c>
      <c r="C17" s="18" t="inlineStr">
        <is>
          <t>-</t>
        </is>
      </c>
      <c r="D17" s="33" t="n">
        <v>0.65</v>
      </c>
      <c r="E17" s="18" t="inlineStr">
        <is>
          <t>DERIVADO</t>
        </is>
      </c>
      <c r="F17" s="35" t="inlineStr">
        <is>
          <t>A diferença entre os desenvolvimentos das faces externa e interna resulta em 51,4 cm entre as camadas de armadura; somados os 2 × 6,8 cm de cobrimento e meia bitola, a seção é de 65 cm — a mesma das pranchas de formas TX3-059 e 6312 TX3-001. A prancha de formas deste conjunto (DE-5400.00-6310-120-TX3-001) não foi fornecida.</t>
        </is>
      </c>
    </row>
    <row r="18">
      <c r="A18" s="18" t="inlineStr">
        <is>
          <t>Seção</t>
        </is>
      </c>
      <c r="B18" s="18" t="inlineStr">
        <is>
          <t>Altura da seção (m)</t>
        </is>
      </c>
      <c r="C18" s="18" t="inlineStr">
        <is>
          <t>-</t>
        </is>
      </c>
      <c r="D18" s="33" t="n">
        <v>1.5</v>
      </c>
      <c r="E18" s="18" t="inlineStr">
        <is>
          <t>DERIVADO</t>
        </is>
      </c>
      <c r="F18" s="35" t="inlineStr">
        <is>
          <t>O estribo N8 de 55 × 140 cm mais o cobrimento de 5 cm em cada face resulta em 65 × 150 cm, seção idêntica à das pranchas de formas fornecidas.</t>
        </is>
      </c>
    </row>
    <row r="19">
      <c r="A19" s="18" t="inlineStr">
        <is>
          <t>Espaçamento</t>
        </is>
      </c>
      <c r="B19" s="18" t="inlineStr">
        <is>
          <t>Estribos N8 na seção corrente (m)</t>
        </is>
      </c>
      <c r="C19" s="18" t="inlineStr">
        <is>
          <t>-</t>
        </is>
      </c>
      <c r="D19" s="33" t="n">
        <v>0.2</v>
      </c>
      <c r="E19" s="18" t="inlineStr">
        <is>
          <t>PRANCHA</t>
        </is>
      </c>
      <c r="F19" s="35" t="inlineStr">
        <is>
          <t>298 N8 c/20 por fundação; 298 × 0,20 = 59,60 m, coerente com o desenvolvimento do eixo (59,94 m).</t>
        </is>
      </c>
    </row>
    <row r="20">
      <c r="A20" s="18" t="inlineStr">
        <is>
          <t>Espaçamento</t>
        </is>
      </c>
      <c r="B20" s="18" t="inlineStr">
        <is>
          <t>Barras horizontais N6 / N7 (m)</t>
        </is>
      </c>
      <c r="C20" s="18" t="inlineStr">
        <is>
          <t>-</t>
        </is>
      </c>
      <c r="D20" s="33" t="n">
        <v>0.2</v>
      </c>
      <c r="E20" s="18" t="inlineStr">
        <is>
          <t>PRANCHA</t>
        </is>
      </c>
      <c r="F20" s="35" t="inlineStr">
        <is>
          <t>6 N6 c/20 e 6 N7 c/20 no CORTE A-A; 5 + 5 c/20 no CORTE B-B (trecho do rebaixo).</t>
        </is>
      </c>
    </row>
    <row r="21">
      <c r="A21" s="18" t="inlineStr">
        <is>
          <t>Traspasse</t>
        </is>
      </c>
      <c r="B21" s="18" t="inlineStr">
        <is>
          <t>Traspasse típico das barras corridas (m)</t>
        </is>
      </c>
      <c r="C21" s="18" t="inlineStr">
        <is>
          <t>-</t>
        </is>
      </c>
      <c r="D21" s="33" t="n">
        <v>0.4</v>
      </c>
      <c r="E21" s="18" t="inlineStr">
        <is>
          <t>PRANCHA</t>
        </is>
      </c>
      <c r="F21" s="35" t="inlineStr">
        <is>
          <t>Cotas 40 (TÍP.) e 160 repetidas nas elevações das faces.</t>
        </is>
      </c>
    </row>
    <row r="22">
      <c r="A22" s="18" t="inlineStr">
        <is>
          <t>Derivado</t>
        </is>
      </c>
      <c r="B22" s="18" t="inlineStr">
        <is>
          <t>Área da seção do anel (m²)</t>
        </is>
      </c>
      <c r="C22" s="18" t="inlineStr">
        <is>
          <t>-</t>
        </is>
      </c>
      <c r="D22" s="33" t="n">
        <v>0.975</v>
      </c>
      <c r="E22" s="18" t="inlineStr">
        <is>
          <t>DERIVADO</t>
        </is>
      </c>
      <c r="F22" s="18" t="inlineStr">
        <is>
          <t>0,65 m × 1,50 m.</t>
        </is>
      </c>
    </row>
    <row r="23">
      <c r="A23" s="18" t="inlineStr">
        <is>
          <t>Derivado</t>
        </is>
      </c>
      <c r="B23" s="18" t="inlineStr">
        <is>
          <t>Volume de concreto por fundação (m³)</t>
        </is>
      </c>
      <c r="C23" s="18" t="inlineStr">
        <is>
          <t>-</t>
        </is>
      </c>
      <c r="D23" s="33" t="n">
        <v>58.44</v>
      </c>
      <c r="E23" s="18" t="inlineStr">
        <is>
          <t>DERIVADO</t>
        </is>
      </c>
      <c r="F23" s="35" t="inlineStr">
        <is>
          <t>ESTIMATIVA: área da seção × desenvolvimento do eixo. O mesmo cálculo aplicado ao TQ-6310818 resulta em 52,59 m³ contra os 52,50 m³ declarados na prancha de formas TX3-059 — diferença de 0,17%, o que valida o método. O valor oficial deve sair da prancha de formas deste conjunto.</t>
        </is>
      </c>
    </row>
    <row r="24">
      <c r="A24" s="18" t="inlineStr">
        <is>
          <t>Derivado</t>
        </is>
      </c>
      <c r="B24" s="18" t="inlineStr">
        <is>
          <t>Volume de concreto — 8 fundações (m³)</t>
        </is>
      </c>
      <c r="C24" s="18" t="inlineStr">
        <is>
          <t>-</t>
        </is>
      </c>
      <c r="D24" s="33" t="n">
        <v>467.54</v>
      </c>
      <c r="E24" s="18" t="inlineStr">
        <is>
          <t>DERIVADO</t>
        </is>
      </c>
      <c r="F24" s="35" t="inlineStr">
        <is>
          <t>ESTIMATIVA — mesma ressalva da linha anterior.</t>
        </is>
      </c>
    </row>
    <row r="25">
      <c r="A25" s="18" t="inlineStr">
        <is>
          <t>Derivado</t>
        </is>
      </c>
      <c r="B25" s="18" t="inlineStr">
        <is>
          <t>Taxa de armadura (kg/m³)</t>
        </is>
      </c>
      <c r="C25" s="18" t="inlineStr">
        <is>
          <t>-</t>
        </is>
      </c>
      <c r="D25" s="33" t="n">
        <v>65.40000000000001</v>
      </c>
      <c r="E25" s="18" t="inlineStr">
        <is>
          <t>DERIVADO</t>
        </is>
      </c>
      <c r="F25" s="35" t="inlineStr">
        <is>
          <t>Massa de aço por fundação dividida pelo volume estimado. Comparável aos 67,1 kg/m³ do TQ-6310818 e aos 67,3 kg/m³ do TQ-6312824.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6" customWidth="1" min="3" max="3"/>
  </cols>
  <sheetData>
    <row r="1" ht="36" customHeight="1">
      <c r="A1" s="1" t="inlineStr">
        <is>
          <t>PARÂMETROS TÉCNICOS E IDENTIFICAÇÃO DA PRANCHA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18" customHeight="1">
      <c r="A3" s="32" t="inlineStr">
        <is>
          <t>Dados de carimbo, notas gerais, legenda e documentos vinculados, transcritos da prancha.</t>
        </is>
      </c>
    </row>
    <row r="5" ht="30" customHeight="1">
      <c r="A5" s="13" t="inlineStr">
        <is>
          <t>Grupo</t>
        </is>
      </c>
      <c r="B5" s="13" t="inlineStr">
        <is>
          <t>Parâmetro</t>
        </is>
      </c>
      <c r="C5" s="13" t="inlineStr">
        <is>
          <t>Especificação / conteúdo transcrito</t>
        </is>
      </c>
    </row>
    <row r="6">
      <c r="A6" s="18" t="inlineStr">
        <is>
          <t>Identificação</t>
        </is>
      </c>
      <c r="B6" s="18" t="inlineStr">
        <is>
          <t>Número do documento</t>
        </is>
      </c>
      <c r="C6" s="18" t="inlineStr">
        <is>
          <t>DE-5400.00-6310-120-TX3-002</t>
        </is>
      </c>
    </row>
    <row r="7">
      <c r="A7" s="18" t="inlineStr">
        <is>
          <t>Identificação</t>
        </is>
      </c>
      <c r="B7" s="18" t="inlineStr">
        <is>
          <t>Revisão</t>
        </is>
      </c>
      <c r="C7" s="35" t="inlineStr">
        <is>
          <t>0 — EMISSÃO ORIGINAL - PARA CONSTRUÇÃO (07/08/2026)</t>
        </is>
      </c>
    </row>
    <row r="8">
      <c r="A8" s="18" t="inlineStr">
        <is>
          <t>Identificação</t>
        </is>
      </c>
      <c r="B8" s="18" t="inlineStr">
        <is>
          <t>Título</t>
        </is>
      </c>
      <c r="C8" s="35" t="inlineStr">
        <is>
          <t>Desenho de fundação - tanques de lubrificação TQ-6310816A/B/C/D &amp; TQ-6310817A/B/C/D - ARMADURAS</t>
        </is>
      </c>
    </row>
    <row r="9">
      <c r="A9" s="18" t="inlineStr">
        <is>
          <t>Identificação</t>
        </is>
      </c>
      <c r="B9" s="18" t="inlineStr">
        <is>
          <t>Área</t>
        </is>
      </c>
      <c r="C9" s="35" t="inlineStr">
        <is>
          <t>Parque de tanques de produtos acabados (lubrificantes) - U-6310</t>
        </is>
      </c>
    </row>
    <row r="10">
      <c r="A10" s="18" t="inlineStr">
        <is>
          <t>Identificação</t>
        </is>
      </c>
      <c r="B10" s="18" t="inlineStr">
        <is>
          <t>Programa / Cliente</t>
        </is>
      </c>
      <c r="C10" s="18" t="inlineStr">
        <is>
          <t>Refino Boaventura / TR - Boaventura</t>
        </is>
      </c>
    </row>
    <row r="11">
      <c r="A11" s="18" t="inlineStr">
        <is>
          <t>Identificação</t>
        </is>
      </c>
      <c r="B11" s="18" t="inlineStr">
        <is>
          <t>Proprietário do documento</t>
        </is>
      </c>
      <c r="C11" s="35" t="inlineStr">
        <is>
          <t>Petrobras — SRGE/SI-III (classificação INTERNA)</t>
        </is>
      </c>
    </row>
    <row r="12">
      <c r="A12" s="18" t="inlineStr">
        <is>
          <t>Identificação</t>
        </is>
      </c>
      <c r="B12" s="18" t="inlineStr">
        <is>
          <t>Razão social</t>
        </is>
      </c>
      <c r="C12" s="18" t="inlineStr">
        <is>
          <t>Consórcio TEM Boaventura</t>
        </is>
      </c>
    </row>
    <row r="13">
      <c r="A13" s="18" t="inlineStr">
        <is>
          <t>Identificação</t>
        </is>
      </c>
      <c r="B13" s="18" t="inlineStr">
        <is>
          <t>Número do contrato</t>
        </is>
      </c>
      <c r="C13" s="18" t="inlineStr">
        <is>
          <t>ICJ 5900.0131990.25.2</t>
        </is>
      </c>
    </row>
    <row r="14">
      <c r="A14" s="18" t="inlineStr">
        <is>
          <t>Identificação</t>
        </is>
      </c>
      <c r="B14" s="18" t="inlineStr">
        <is>
          <t>Responsável técnico</t>
        </is>
      </c>
      <c r="C14" s="18" t="inlineStr">
        <is>
          <t>Antenor de Castro — CREA 17974D-MG</t>
        </is>
      </c>
    </row>
    <row r="15">
      <c r="A15" s="18" t="inlineStr">
        <is>
          <t>Identificação</t>
        </is>
      </c>
      <c r="B15" s="18" t="inlineStr">
        <is>
          <t>Executou / Verificou / Aprovou</t>
        </is>
      </c>
      <c r="C15" s="35" t="inlineStr">
        <is>
          <t>Carmen Santos / Marcio Yukio / Helgo Santos</t>
        </is>
      </c>
    </row>
    <row r="16">
      <c r="A16" s="18" t="inlineStr">
        <is>
          <t>Identificação</t>
        </is>
      </c>
      <c r="B16" s="18" t="inlineStr">
        <is>
          <t>Folha e formato</t>
        </is>
      </c>
      <c r="C16" s="35" t="inlineStr">
        <is>
          <t>01 de 01 — A1 (841 × 594 mm) — escala INDICADA</t>
        </is>
      </c>
    </row>
    <row r="17">
      <c r="A17" s="18" t="inlineStr">
        <is>
          <t>Nota geral 1</t>
        </is>
      </c>
      <c r="B17" s="18" t="inlineStr">
        <is>
          <t>Unidades</t>
        </is>
      </c>
      <c r="C17" s="35" t="inlineStr">
        <is>
          <t>Dimensões em centímetro, bitolas das barras em milímetro, exceto onde indicado.</t>
        </is>
      </c>
    </row>
    <row r="18">
      <c r="A18" s="18" t="inlineStr">
        <is>
          <t>Nota geral 2</t>
        </is>
      </c>
      <c r="B18" s="18" t="inlineStr">
        <is>
          <t>Aço</t>
        </is>
      </c>
      <c r="C18" s="18" t="inlineStr">
        <is>
          <t>CA-50.</t>
        </is>
      </c>
    </row>
    <row r="19">
      <c r="A19" s="18" t="inlineStr">
        <is>
          <t>Nota geral 3</t>
        </is>
      </c>
      <c r="B19" s="18" t="inlineStr">
        <is>
          <t>Dobramento</t>
        </is>
      </c>
      <c r="C19" s="18" t="inlineStr">
        <is>
          <t>Dobramento das barras conforme NBR-6118.</t>
        </is>
      </c>
    </row>
    <row r="20">
      <c r="A20" s="18" t="inlineStr">
        <is>
          <t>Nota geral 4</t>
        </is>
      </c>
      <c r="B20" s="18" t="inlineStr">
        <is>
          <t>Cobrimento</t>
        </is>
      </c>
      <c r="C20" s="35" t="inlineStr">
        <is>
          <t>Cobrimento mínimo pela face externa das barras: 5 cm.</t>
        </is>
      </c>
    </row>
    <row r="21">
      <c r="A21" s="18" t="inlineStr">
        <is>
          <t>Nota geral 5</t>
        </is>
      </c>
      <c r="B21" s="18" t="inlineStr">
        <is>
          <t>Interferências</t>
        </is>
      </c>
      <c r="C21" s="35" t="inlineStr">
        <is>
          <t>Cortar e dobrar as barras que interferirem com os rebaixos.</t>
        </is>
      </c>
    </row>
    <row r="22">
      <c r="A22" s="18" t="inlineStr">
        <is>
          <t>Critério adotado</t>
        </is>
      </c>
      <c r="B22" s="18" t="inlineStr">
        <is>
          <t>Massa linear das barras</t>
        </is>
      </c>
      <c r="C22" s="35" t="inlineStr">
        <is>
          <t>Ø8 = 0,395 kg/m; Ø16 = 1,578 kg/m; Ø20 = 2,466 kg/m — valores do quadro RESUMO GERAL, coincidentes com os nominais da NBR 7480.</t>
        </is>
      </c>
    </row>
    <row r="23">
      <c r="A23" s="18" t="inlineStr">
        <is>
          <t>Legenda</t>
        </is>
      </c>
      <c r="B23" s="18" t="inlineStr">
        <is>
          <t>Abreviaturas</t>
        </is>
      </c>
      <c r="C23" s="35" t="inlineStr">
        <is>
          <t>F.EXT. = face externa; F.INT. = face interna; SUP. = superior; INF. = inferior; CORR = barra corrida; VAR = comprimento variável.</t>
        </is>
      </c>
    </row>
    <row r="24">
      <c r="A24" s="18" t="inlineStr">
        <is>
          <t>Documento de referência</t>
        </is>
      </c>
      <c r="B24" s="18" t="inlineStr">
        <is>
          <t>Memória de cálculo</t>
        </is>
      </c>
      <c r="C24" s="35" t="inlineStr">
        <is>
          <t>MC-5400.00-6310-120-TX3-001 - Memória de cálculo de fundação - tanques de lubrificação (U-6310).</t>
        </is>
      </c>
    </row>
    <row r="25">
      <c r="A25" s="18" t="inlineStr">
        <is>
          <t>Documento complementar</t>
        </is>
      </c>
      <c r="B25" s="18" t="inlineStr">
        <is>
          <t>Formas</t>
        </is>
      </c>
      <c r="C25" s="35" t="inlineStr">
        <is>
          <t>DE-5400.00-6310-120-TX3-001 - Desenho de fundação - tanques de lubrificação TQ-6310816A/B/C/D &amp; TQ-6310817A/B/C/D - FORMAS. Não fornecida nesta análise.</t>
        </is>
      </c>
    </row>
    <row r="26">
      <c r="A26" s="18" t="inlineStr">
        <is>
          <t>Pendência P1</t>
        </is>
      </c>
      <c r="B26" s="18" t="inlineStr">
        <is>
          <t>Arranjo geral</t>
        </is>
      </c>
      <c r="C26" s="35" t="inlineStr">
        <is>
          <t>CI-6310-001 - Arranjo geral de equipamentos.</t>
        </is>
      </c>
    </row>
    <row r="27">
      <c r="A27" s="18" t="inlineStr">
        <is>
          <t>Pendência P2</t>
        </is>
      </c>
      <c r="B27" s="18" t="inlineStr">
        <is>
          <t>Cargas</t>
        </is>
      </c>
      <c r="C27" s="35" t="inlineStr">
        <is>
          <t>CI-6310-004 - Cargas finais de vento e chumbador.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11" customWidth="1" min="5" max="5"/>
    <col width="92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3" ht="18" customHeight="1">
      <c r="A3" s="32" t="inlineStr">
        <is>
          <t>Conferência entre o somatório estruturado e os quadros impressos na prancha. Toda divergência está sinalizada de forma explícita.</t>
        </is>
      </c>
    </row>
    <row r="5" ht="30" customHeight="1">
      <c r="A5" s="13" t="inlineStr">
        <is>
          <t>Grupo</t>
        </is>
      </c>
      <c r="B5" s="13" t="inlineStr">
        <is>
          <t>Indicador</t>
        </is>
      </c>
      <c r="C5" s="13" t="inlineStr">
        <is>
          <t>Calculado</t>
        </is>
      </c>
      <c r="D5" s="13" t="inlineStr">
        <is>
          <t>Referência</t>
        </is>
      </c>
      <c r="E5" s="13" t="inlineStr">
        <is>
          <t>Desvio</t>
        </is>
      </c>
      <c r="F5" s="13" t="inlineStr">
        <is>
          <t>Critério / observação</t>
        </is>
      </c>
    </row>
    <row r="6">
      <c r="A6" s="18" t="inlineStr">
        <is>
          <t>Comprimento</t>
        </is>
      </c>
      <c r="B6" s="18" t="inlineStr">
        <is>
          <t>Ø8 — comprimento total (m)</t>
        </is>
      </c>
      <c r="C6" s="15" t="n">
        <v>11463.36</v>
      </c>
      <c r="D6" s="15" t="n">
        <v>11463.36</v>
      </c>
      <c r="E6" s="15" t="n">
        <v>0</v>
      </c>
      <c r="F6" s="35" t="inlineStr">
        <is>
          <t>Soma das posições da LISTA DE BARRAS confere exatamente com o quadro RESUMO GERAL.</t>
        </is>
      </c>
    </row>
    <row r="7">
      <c r="A7" s="18" t="inlineStr">
        <is>
          <t>Comprimento</t>
        </is>
      </c>
      <c r="B7" s="18" t="inlineStr">
        <is>
          <t>Ø16 — comprimento total (m)</t>
        </is>
      </c>
      <c r="C7" s="15" t="n">
        <v>6890</v>
      </c>
      <c r="D7" s="15" t="n">
        <v>6890</v>
      </c>
      <c r="E7" s="15" t="n">
        <v>0</v>
      </c>
      <c r="F7" s="35" t="inlineStr">
        <is>
          <t>Soma das posições da LISTA DE BARRAS confere exatamente com o quadro RESUMO GERAL.</t>
        </is>
      </c>
    </row>
    <row r="8">
      <c r="A8" s="18" t="inlineStr">
        <is>
          <t>Comprimento</t>
        </is>
      </c>
      <c r="B8" s="18" t="inlineStr">
        <is>
          <t>Ø20 — comprimento total (m)</t>
        </is>
      </c>
      <c r="C8" s="15" t="n">
        <v>6163.2</v>
      </c>
      <c r="D8" s="15" t="n">
        <v>6163.2</v>
      </c>
      <c r="E8" s="15" t="n">
        <v>0</v>
      </c>
      <c r="F8" s="35" t="inlineStr">
        <is>
          <t>Soma das posições da LISTA DE BARRAS confere exatamente com o quadro RESUMO GERAL.</t>
        </is>
      </c>
    </row>
    <row r="9">
      <c r="A9" s="18" t="inlineStr">
        <is>
          <t>Massa</t>
        </is>
      </c>
      <c r="B9" s="18" t="inlineStr">
        <is>
          <t>Ø8 — massa total (kg)</t>
        </is>
      </c>
      <c r="C9" s="15" t="n">
        <v>4528.03</v>
      </c>
      <c r="D9" s="15" t="n">
        <v>4528</v>
      </c>
      <c r="E9" s="15" t="n">
        <v>0.03</v>
      </c>
      <c r="F9" s="35" t="inlineStr">
        <is>
          <t>Comprimento do RESUMO GERAL × massa linear. Desvio inferior a 0,5 kg, compatível com o arredondamento do quadro.</t>
        </is>
      </c>
    </row>
    <row r="10">
      <c r="A10" s="18" t="inlineStr">
        <is>
          <t>Massa</t>
        </is>
      </c>
      <c r="B10" s="18" t="inlineStr">
        <is>
          <t>Ø16 — massa total (kg)</t>
        </is>
      </c>
      <c r="C10" s="15" t="n">
        <v>10872.42</v>
      </c>
      <c r="D10" s="15" t="n">
        <v>10872</v>
      </c>
      <c r="E10" s="15" t="n">
        <v>0.42</v>
      </c>
      <c r="F10" s="35" t="inlineStr">
        <is>
          <t>Comprimento do RESUMO GERAL × massa linear. Desvio inferior a 0,5 kg, compatível com o arredondamento do quadro.</t>
        </is>
      </c>
    </row>
    <row r="11">
      <c r="A11" s="18" t="inlineStr">
        <is>
          <t>Massa</t>
        </is>
      </c>
      <c r="B11" s="18" t="inlineStr">
        <is>
          <t>Ø20 — massa total (kg)</t>
        </is>
      </c>
      <c r="C11" s="15" t="n">
        <v>15198.45</v>
      </c>
      <c r="D11" s="15" t="n">
        <v>15198</v>
      </c>
      <c r="E11" s="15" t="n">
        <v>0.45</v>
      </c>
      <c r="F11" s="35" t="inlineStr">
        <is>
          <t>Comprimento do RESUMO GERAL × massa linear. Desvio inferior a 0,5 kg, compatível com o arredondamento do quadro.</t>
        </is>
      </c>
    </row>
    <row r="12">
      <c r="A12" s="18" t="inlineStr">
        <is>
          <t>Massa</t>
        </is>
      </c>
      <c r="B12" s="18" t="inlineStr">
        <is>
          <t>Massa total de aço (kg)</t>
        </is>
      </c>
      <c r="C12" s="15" t="n">
        <v>30598.9</v>
      </c>
      <c r="D12" s="15" t="n">
        <v>30599</v>
      </c>
      <c r="E12" s="15" t="n">
        <v>-0.1</v>
      </c>
      <c r="F12" s="35" t="inlineStr">
        <is>
          <t>Somatório do quadro RESUMO GERAL contra o TOTAL (kg) impresso na prancha.</t>
        </is>
      </c>
    </row>
    <row r="13">
      <c r="A13" s="18" t="inlineStr">
        <is>
          <t>Lista de barras</t>
        </is>
      </c>
      <c r="B13" s="35" t="inlineStr">
        <is>
          <t>TOTAL = QUANT. × UNIT. (N8, N9, N10, N11, N13)</t>
        </is>
      </c>
      <c r="C13" s="15" t="n">
        <v>5</v>
      </c>
      <c r="D13" s="15" t="n">
        <v>5</v>
      </c>
      <c r="E13" s="15" t="n">
        <v>0</v>
      </c>
      <c r="F13" s="35" t="inlineStr">
        <is>
          <t>As cinco posições de comprimento fixo fecham exatamente: N8 2384 × 4,65 = 11.085,60 m; N9 48 × 4,73 = 227,04 m; N10 32 × 5,00 = 160,00 m; N11 32 × 6,00 = 192,00 m; N13 8 × 4,85 = 38,80 m.</t>
        </is>
      </c>
    </row>
    <row r="14">
      <c r="A14" s="18" t="inlineStr">
        <is>
          <t>Multiplicidade 8x</t>
        </is>
      </c>
      <c r="B14" s="18" t="inlineStr">
        <is>
          <t>N8 - quantidade total vs. cota da planta</t>
        </is>
      </c>
      <c r="C14" s="15" t="n">
        <v>2384</v>
      </c>
      <c r="D14" s="15" t="n">
        <v>2384</v>
      </c>
      <c r="E14" s="15" t="n">
        <v>0</v>
      </c>
      <c r="F14" s="35" t="inlineStr">
        <is>
          <t>A planta indica 298 N8 c.20 por fundação. 298 × 8 = 2.384, confirmando que a coluna QUANT. da lista já corresponde ao conjunto das 8 fundações.</t>
        </is>
      </c>
    </row>
    <row r="15">
      <c r="A15" s="18" t="inlineStr">
        <is>
          <t>Multiplicidade 8x</t>
        </is>
      </c>
      <c r="B15" s="35" t="inlineStr">
        <is>
          <t>N9 / N10 / N11 / N12 - quantidade vs. cotas dos detalhes</t>
        </is>
      </c>
      <c r="C15" s="15" t="n">
        <v>4</v>
      </c>
      <c r="D15" s="15" t="n">
        <v>4</v>
      </c>
      <c r="E15" s="15" t="n">
        <v>0</v>
      </c>
      <c r="F15" s="35" t="inlineStr">
        <is>
          <t>N9 = 6/fundação (48/8); N10 = 4 (32/8); N11 = 4 (32/8); N12 = 2x2 = 4 (32/8). Coerentes com as chamadas da VISTA C-C.</t>
        </is>
      </c>
    </row>
    <row r="16">
      <c r="A16" s="36" t="inlineStr">
        <is>
          <t>DIVERGÊNCIA</t>
        </is>
      </c>
      <c r="B16" s="36" t="inlineStr">
        <is>
          <t>N13 - quantidade por fundação (un)</t>
        </is>
      </c>
      <c r="C16" s="37" t="n">
        <v>1</v>
      </c>
      <c r="D16" s="37" t="n">
        <v>2</v>
      </c>
      <c r="E16" s="37" t="n">
        <v>-1</v>
      </c>
      <c r="F16" s="38" t="inlineStr">
        <is>
          <t>A LISTA DE BARRAS indica QUANT. 8 (1 un por fundação) e TOTAL 38,80 m, internamente consistente. Já o detalhe da VISTA C-C / CORTE B-B chama 'N13-2 Ø16-485' e '2N13', ou seja, 2 un por fundação (16 no total). A prancha irmã TX3-060, de mesma família, traz N13 com 8 un para 4 fundações (2 por fundação), o que reforça a leitura do detalhe. Se prevalecer o detalhe, acrescem 8 barras, 38,80 m e 61,23 kg de Ø16 (+0,20% da massa total). CONFIRMAR COM O PROJETISTA.</t>
        </is>
      </c>
    </row>
    <row r="17">
      <c r="A17" s="36" t="inlineStr">
        <is>
          <t>DIVERGÊNCIA</t>
        </is>
      </c>
      <c r="B17" s="36" t="inlineStr">
        <is>
          <t>N12 - comprimento unitário implícito (m)</t>
        </is>
      </c>
      <c r="C17" s="37" t="n">
        <v>4.71</v>
      </c>
      <c r="D17" s="37" t="n">
        <v>1.23</v>
      </c>
      <c r="E17" s="37" t="n">
        <v>3.48</v>
      </c>
      <c r="F17" s="38" t="inlineStr">
        <is>
          <t>A coluna UNIT. traz 'VAR' e a forma está cotada com perna variável (113 a 133) cm. Contudo, TOTAL 150,72 m para 32 un implica comprimento médio de 471 cm por barra - próximo dos estribos N8 (465) e N9 (473) e não da faixa cotada. O mesmo padrão aparece nas outras duas pranchas de armadura da série (483 cm em ambas). CONFIRMAR COM O PROJETISTA.</t>
        </is>
      </c>
    </row>
    <row r="18">
      <c r="A18" s="36" t="inlineStr">
        <is>
          <t>DIVERGÊNCIA</t>
        </is>
      </c>
      <c r="B18" s="38" t="inlineStr">
        <is>
          <t>Cotas das elevações FACE INTERNA e FACE SUP./INF. (m)</t>
        </is>
      </c>
      <c r="C18" s="37" t="n">
        <v>59.942</v>
      </c>
      <c r="D18" s="37" t="n">
        <v>58.327</v>
      </c>
      <c r="E18" s="37" t="n">
        <v>1.615</v>
      </c>
      <c r="F18" s="38" t="inlineStr">
        <is>
          <t>A cota do eixo do anel tem de ser a média das cotas das faces externa e interna. Aqui, (61,556 + 58,327)/2 = 59,942 m — exatamente o valor impresso na FACE INTERNA - ELEVAÇÃO, e não na FACE SUPERIOR E INFERIOR - PLANTA, que é a vista desenvolvida no eixo. Nas pranchas irmãs TX3-060 e 6312 TX3-002 a convenção é a inversa e fecha corretamente. Os dois valores parecem trocados entre as vistas. Não altera o quantitativo de aço; afeta a leitura da geometria.</t>
        </is>
      </c>
    </row>
    <row r="19">
      <c r="A19" s="18" t="inlineStr">
        <is>
          <t>Coerência geométrica</t>
        </is>
      </c>
      <c r="B19" s="35" t="inlineStr">
        <is>
          <t>Estribos N8 × desenvolvimento do eixo (m)</t>
        </is>
      </c>
      <c r="C19" s="15" t="n">
        <v>59.6</v>
      </c>
      <c r="D19" s="15" t="n">
        <v>59.94</v>
      </c>
      <c r="E19" s="15" t="n">
        <v>-0.34</v>
      </c>
      <c r="F19" s="35" t="inlineStr">
        <is>
          <t>298 estribos a cada 20 cm cobrem 59,60 m, contra 59,94 m de desenvolvimento do eixo. Distribuição coerente.</t>
        </is>
      </c>
    </row>
    <row r="20">
      <c r="A20" s="18" t="inlineStr">
        <is>
          <t>Coerência entre pranchas</t>
        </is>
      </c>
      <c r="B20" s="18" t="inlineStr">
        <is>
          <t>Seção do anel (m)</t>
        </is>
      </c>
      <c r="C20" s="15" t="n">
        <v>0.65</v>
      </c>
      <c r="D20" s="15" t="n">
        <v>0.65</v>
      </c>
      <c r="E20" s="15" t="n">
        <v>0</v>
      </c>
      <c r="F20" s="35" t="inlineStr">
        <is>
          <t>A diferença entre as cotas das faces externa e interna (61,556 - 58,327 = 3,229 m) corresponde a 51,4 cm de afastamento radial entre as camadas de armadura; somado o cobrimento, resulta em 65 cm — exatamente a seção das pranchas de formas TX3-059 e 6312 TX3-001. Atenção: o 55 × 140 cm do CORTE A-A é a dimensão do ESTRIBO, não da seção de concreto.</t>
        </is>
      </c>
    </row>
    <row r="21">
      <c r="A21" s="18" t="inlineStr">
        <is>
          <t>Materiais</t>
        </is>
      </c>
      <c r="B21" s="18" t="inlineStr">
        <is>
          <t>Massas lineares adotadas (kg/m)</t>
        </is>
      </c>
      <c r="C21" s="15" t="n">
        <v>3</v>
      </c>
      <c r="D21" s="15" t="n">
        <v>3</v>
      </c>
      <c r="E21" s="15" t="n">
        <v>0</v>
      </c>
      <c r="F21" s="35" t="inlineStr">
        <is>
          <t>Ø8 = 0,395; Ø16 = 1,578; Ø20 = 2,466. Coincidem com os valores nominais da NBR 7480 para aço CA-50.</t>
        </is>
      </c>
    </row>
    <row r="22">
      <c r="A22" s="18" t="inlineStr">
        <is>
          <t>Escopo</t>
        </is>
      </c>
      <c r="B22" s="18" t="inlineStr">
        <is>
          <t>Perdas de corte, dobra e emendas</t>
        </is>
      </c>
      <c r="C22" s="15" t="n">
        <v>0</v>
      </c>
      <c r="D22" s="15" t="n">
        <v>0</v>
      </c>
      <c r="E22" s="15" t="n">
        <v>0</v>
      </c>
      <c r="F22" s="35" t="inlineStr">
        <is>
          <t>Os quantitativos são os do desenho (comprimentos de projeto). Não há acréscimo de perdas.</t>
        </is>
      </c>
    </row>
    <row r="23">
      <c r="A23" s="18" t="inlineStr">
        <is>
          <t>Escopo</t>
        </is>
      </c>
      <c r="B23" s="18" t="inlineStr">
        <is>
          <t>Concreto, formas e terraplenagem</t>
        </is>
      </c>
      <c r="C23" s="15" t="n">
        <v>0</v>
      </c>
      <c r="D23" s="15" t="n">
        <v>0</v>
      </c>
      <c r="E23" s="15" t="n">
        <v>0</v>
      </c>
      <c r="F23" s="35" t="inlineStr">
        <is>
          <t>Esta prancha é exclusivamente de ARMADURAS. O volume de concreto informado na aba Geometria é ESTIMATIVA: a prancha de formas deste conjunto (DE-5400.00-6310-120-TX3-001) não foi fornecida.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QUANTITATIVO DE ARMADURAS</t>
        </is>
      </c>
    </row>
    <row r="2" ht="24" customHeight="1">
      <c r="A2" s="2" t="inlineStr">
        <is>
          <t>Fonte: prancha DE-5400.00-6310-120-TX3-002, Rev. 0 (07/08/2026) - Desenho de fundação, tanques de lubrificação TQ-6310816A/B/C/D &amp; TQ-6310817A/B/C/D - ARMADURAS</t>
        </is>
      </c>
    </row>
    <row r="5" ht="30" customHeight="1">
      <c r="A5" s="13" t="inlineStr">
        <is>
          <t>Tópico</t>
        </is>
      </c>
      <c r="B5" s="13" t="inlineStr">
        <is>
          <t>Conteúdo</t>
        </is>
      </c>
    </row>
    <row r="6" ht="58" customHeight="1">
      <c r="A6" s="35" t="inlineStr">
        <is>
          <t>Objetivo</t>
        </is>
      </c>
      <c r="B6" s="35" t="inlineStr">
        <is>
          <t>Consolidar, de forma rastreável, todo o quantitativo de armadura da prancha DE-5400.00-6310-120-TX3-002 (fundações anelares dos tanques de lubrificação TQ-6310816A/B/C/D e TQ-6310817A/B/C/D), com painel gerencial e abas de auditoria.</t>
        </is>
      </c>
    </row>
    <row r="7" ht="58" customHeight="1">
      <c r="A7" s="35" t="inlineStr">
        <is>
          <t>Fonte primária</t>
        </is>
      </c>
      <c r="B7" s="35" t="inlineStr">
        <is>
          <t>Quadros LISTA DE BARRAS (8x) e RESUMO GERAL da própria prancha, complementados pelas cotas das vistas (planta de armadura, cortes A-A e B-B, vista C-C e elevações das faces).</t>
        </is>
      </c>
    </row>
    <row r="8" ht="58" customHeight="1">
      <c r="A8" s="35" t="inlineStr">
        <is>
          <t>Multiplicidade</t>
        </is>
      </c>
      <c r="B8" s="35" t="inlineStr">
        <is>
          <t>A prancha atende 8 fundações idênticas - indicação '8x' no título da planta e da lista de barras. As colunas QUANT. e TOTAL do desenho já são o somatório das 8 fundações. A leitura foi confirmada pela cota '298 N8 c.20' da planta (298 × 8 = 2.384, exatamente a quantidade da lista).</t>
        </is>
      </c>
    </row>
    <row r="9" ht="58" customHeight="1">
      <c r="A9" s="35" t="inlineStr">
        <is>
          <t>Seção do anel</t>
        </is>
      </c>
      <c r="B9" s="35" t="inlineStr">
        <is>
          <t>A seção de concreto é de 65 × 150 cm. O 55 × 140 cm que aparece no CORTE A-A é a dimensão do ESTRIBO N8, medida dentro do cobrimento de 5 cm. A leitura foi confirmada pelas pranchas de formas TX3-059 e 6312 TX3-001, que cotam 65 × 150 cm, e pelo afastamento radial entre as camadas de armadura desta prancha.</t>
        </is>
      </c>
    </row>
    <row r="10" ht="58" customHeight="1">
      <c r="A10" s="35" t="inlineStr">
        <is>
          <t>Volume de concreto</t>
        </is>
      </c>
      <c r="B10" s="35" t="inlineStr">
        <is>
          <t>A prancha de formas deste conjunto (DE-5400.00-6310-120-TX3-001) não foi fornecida, de modo que o volume de concreto na aba Geometria e Seções é ESTIMATIVA. O método foi validado no TQ-6310818: seção × desenvolvimento do eixo resulta em 52,59 m³ contra os 52,50 m³ declarados na prancha de formas TX3-059 (0,17% de diferença).</t>
        </is>
      </c>
    </row>
    <row r="11" ht="58" customHeight="1">
      <c r="A11" s="35" t="inlineStr">
        <is>
          <t>Controle crítico</t>
        </is>
      </c>
      <c r="B11" s="35" t="inlineStr">
        <is>
          <t>Três divergências do próprio desenho estão destacadas na aba Validações: (1) N13 - a lista traz 8 un (1/fundação) enquanto o detalhe chama 2, leitura reforçada pela prancha irmã TX3-060 (+61,23 kg); (2) N12 - forma cotada em (113 a 133) cm, mas o total implica 471 cm por barra; (3) as cotas de desenvolvimento das vistas FACE INTERNA e FACE SUPERIOR E INFERIOR parecem trocadas entre si. Confirmar com o projetista antes da compra.</t>
        </is>
      </c>
    </row>
    <row r="12" ht="58" customHeight="1">
      <c r="A12" s="35" t="inlineStr">
        <is>
          <t>Como usar</t>
        </is>
      </c>
      <c r="B12" s="35" t="inlineStr">
        <is>
          <t>Comece pelo Dashboard Executivo. Para auditoria, use Lista de Barras (transcrição integral), Resumo por Bitola, Resumo por Posição e Quantitativo Unitário. Geometria e Seções e Parâmetros Técnicos guardam as cotas e o carimbo.</t>
        </is>
      </c>
    </row>
    <row r="13" ht="58" customHeight="1">
      <c r="A13" s="35" t="inlineStr">
        <is>
          <t>Critério de massa</t>
        </is>
      </c>
      <c r="B13" s="35" t="inlineStr">
        <is>
          <t>Massa = comprimento total × massa linear nominal (Ø8 = 0,395 kg/m; Ø16 = 1,578 kg/m; Ø20 = 2,466 kg/m), exatamente como no quadro RESUMO GERAL da prancha e em linha com a NBR 7480.</t>
        </is>
      </c>
    </row>
    <row r="14" ht="58" customHeight="1">
      <c r="A14" s="35" t="inlineStr">
        <is>
          <t>Valores DERIVADOS</t>
        </is>
      </c>
      <c r="B14" s="35" t="inlineStr">
        <is>
          <t>Na aba Geometria e Seções, as linhas marcadas como DERIVADO não constam do desenho: são cálculo próprio, apenas indicativo, para apoio de planejamento.</t>
        </is>
      </c>
    </row>
    <row r="15" ht="58" customHeight="1">
      <c r="A15" s="35" t="inlineStr">
        <is>
          <t>Perdas</t>
        </is>
      </c>
      <c r="B15" s="35" t="inlineStr">
        <is>
          <t>Os números são os de projeto. Nenhuma taxa de perda de corte, dobra ou emenda foi acrescida. A coluna 'Barras de 12 m' é apenas um equivalente de suprimento (comprimento / 12 m, arredondado para cima).</t>
        </is>
      </c>
    </row>
    <row r="16" ht="58" customHeight="1">
      <c r="A16" s="35" t="inlineStr">
        <is>
          <t>Unidades</t>
        </is>
      </c>
      <c r="B16" s="35" t="inlineStr">
        <is>
          <t>mm = milímetro (bitola); cm = centímetro (cotas do desenho); m = metro; kg = quilograma; t = tonelada; un = unidade; CORR = barra corrida; VAR = comprimento variável.</t>
        </is>
      </c>
    </row>
    <row r="17" ht="58" customHeight="1">
      <c r="A17" s="35" t="inlineStr">
        <is>
          <t>Limite de uso</t>
        </is>
      </c>
      <c r="B17" s="35" t="inlineStr">
        <is>
          <t>Levantamento para planejamento, orçamento e controle. Qualquer uso para execução ou compra deve ser submetido à validação do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2026-09-01T10:45:56Z</dcterms:created>
  <dcterms:modified xsi:type="dcterms:W3CDTF">2026-09-01T10:45:56Z</dcterms:modified>
</cp:coreProperties>
</file>