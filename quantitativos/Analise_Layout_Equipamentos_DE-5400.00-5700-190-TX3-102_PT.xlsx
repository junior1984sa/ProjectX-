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Executivo" sheetId="1" state="visible" r:id="rId1"/>
    <sheet name="Lista de Equipamentos" sheetId="2" state="visible" r:id="rId2"/>
    <sheet name="Resumo por Categoria" sheetId="3" state="visible" r:id="rId3"/>
    <sheet name="Grupos de Processo" sheetId="4" state="visible" r:id="rId4"/>
    <sheet name="Elevações" sheetId="5" state="visible" r:id="rId5"/>
    <sheet name="Áreas e Coordenadas" sheetId="6" state="visible" r:id="rId6"/>
    <sheet name="Entorno e Vias" sheetId="7" state="visible" r:id="rId7"/>
    <sheet name="Dados da Prancha" sheetId="8" state="visible" r:id="rId8"/>
    <sheet name="Validações" sheetId="9" state="visible" r:id="rId9"/>
    <sheet name="Leia-me" sheetId="10" state="visible" r:id="rId10"/>
  </sheets>
  <definedNames>
    <definedName name="_xlnm.Print_Titles" localSheetId="1">'Lista de Equipamentos'!$1:$5</definedName>
    <definedName name="_xlnm.Print_Titles" localSheetId="2">'Resumo por Categoria'!$1:$5</definedName>
    <definedName name="_xlnm.Print_Titles" localSheetId="3">'Grupos de Processo'!$1:$5</definedName>
    <definedName name="_xlnm.Print_Titles" localSheetId="4">'Elevações'!$1:$5</definedName>
    <definedName name="_xlnm.Print_Titles" localSheetId="5">'Áreas e Coordenadas'!$1:$5</definedName>
    <definedName name="_xlnm.Print_Titles" localSheetId="6">'Entorno e Vias'!$1:$5</definedName>
    <definedName name="_xlnm.Print_Titles" localSheetId="7">'Dados da Prancha'!$1:$5</definedName>
    <definedName name="_xlnm.Print_Titles" localSheetId="8">'Validações'!$1:$5</definedName>
    <definedName name="_xlnm.Print_Titles" localSheetId="9">'Leia-me'!$1:$5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color rgb="FF182532"/>
      <sz val="9"/>
    </font>
    <font>
      <name val="Arial"/>
      <color rgb="FF182532"/>
      <sz val="8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8A4B0F"/>
      <sz val="9"/>
    </font>
    <font>
      <name val="Arial"/>
      <b val="1"/>
      <color rgb="FF182532"/>
      <sz val="20"/>
    </font>
    <font>
      <name val="Arial"/>
      <b val="1"/>
      <color rgb="FFFFFFFF"/>
      <sz val="11"/>
    </font>
    <font>
      <name val="Arial"/>
      <b val="1"/>
      <color rgb="FF8A4B0F"/>
      <sz val="8"/>
    </font>
  </fonts>
  <fills count="11">
    <fill>
      <patternFill/>
    </fill>
    <fill>
      <patternFill patternType="gray125"/>
    </fill>
    <fill>
      <patternFill patternType="solid">
        <fgColor rgb="FF13283F"/>
      </patternFill>
    </fill>
    <fill>
      <patternFill patternType="solid">
        <fgColor rgb="FFF5F2EC"/>
      </patternFill>
    </fill>
    <fill>
      <patternFill patternType="solid">
        <fgColor rgb="FF31556F"/>
      </patternFill>
    </fill>
    <fill>
      <patternFill patternType="solid">
        <fgColor rgb="FFF8FAFB"/>
      </patternFill>
    </fill>
    <fill>
      <patternFill patternType="solid">
        <fgColor rgb="FFFDF3E3"/>
      </patternFill>
    </fill>
    <fill>
      <patternFill patternType="solid">
        <fgColor rgb="FF195E83"/>
      </patternFill>
    </fill>
    <fill>
      <patternFill patternType="solid">
        <fgColor rgb="FFFBFAF7"/>
      </patternFill>
    </fill>
    <fill>
      <patternFill patternType="solid">
        <fgColor rgb="FFD9652B"/>
      </patternFill>
    </fill>
    <fill>
      <patternFill patternType="solid">
        <fgColor rgb="FF5E8B76"/>
      </patternFill>
    </fill>
  </fills>
  <borders count="2">
    <border>
      <left/>
      <right/>
      <top/>
      <bottom/>
      <diagonal/>
    </border>
    <border>
      <left style="thin">
        <color rgb="FFB9C4CD"/>
      </left>
      <right style="thin">
        <color rgb="FFB9C4CD"/>
      </right>
      <top style="thin">
        <color rgb="FFB9C4CD"/>
      </top>
      <bottom style="thin">
        <color rgb="FFB9C4C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" fontId="7" fillId="8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5" fontId="9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Unidades físicas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Executivo'!D16</f>
            </strRef>
          </tx>
          <spPr>
            <a:solidFill>
              <a:srgbClr val="195E83"/>
            </a:solidFill>
            <a:ln>
              <a:prstDash val="solid"/>
            </a:ln>
          </spPr>
          <cat>
            <numRef>
              <f>'Painel Executivo'!$A$17:$A$25</f>
            </numRef>
          </cat>
          <val>
            <numRef>
              <f>'Painel Executivo'!$D$17:$D$25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Tags por grupo de processo</a:t>
            </a:r>
          </a:p>
        </rich>
      </tx>
    </title>
    <plotArea>
      <doughnutChart>
        <varyColors val="1"/>
        <ser>
          <idx val="0"/>
          <order val="0"/>
          <tx>
            <strRef>
              <f>'Painel Executivo'!J16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5E83"/>
              </a:solidFill>
              <a:ln>
                <a:prstDash val="solid"/>
              </a:ln>
            </spPr>
          </dPt>
          <dPt>
            <idx val="1"/>
            <spPr>
              <a:solidFill>
                <a:srgbClr val="D9652B"/>
              </a:solidFill>
              <a:ln>
                <a:prstDash val="solid"/>
              </a:ln>
            </spPr>
          </dPt>
          <dPt>
            <idx val="2"/>
            <spPr>
              <a:solidFill>
                <a:srgbClr val="31556F"/>
              </a:solidFill>
              <a:ln>
                <a:prstDash val="solid"/>
              </a:ln>
            </spPr>
          </dPt>
          <dPt>
            <idx val="3"/>
            <spPr>
              <a:solidFill>
                <a:srgbClr val="5E8B76"/>
              </a:solidFill>
              <a:ln>
                <a:prstDash val="solid"/>
              </a:ln>
            </spPr>
          </dPt>
          <dPt>
            <idx val="4"/>
            <spPr>
              <a:solidFill>
                <a:srgbClr val="195E83"/>
              </a:solidFill>
              <a:ln>
                <a:prstDash val="solid"/>
              </a:ln>
            </spPr>
          </dPt>
          <dPt>
            <idx val="5"/>
            <spPr>
              <a:solidFill>
                <a:srgbClr val="D9652B"/>
              </a:solidFill>
              <a:ln>
                <a:prstDash val="solid"/>
              </a:ln>
            </spPr>
          </dPt>
          <cat>
            <numRef>
              <f>'Painel Executivo'!$H$17:$H$22</f>
            </numRef>
          </cat>
          <val>
            <numRef>
              <f>'Painel Executivo'!$J$17:$J$22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Rótulos de elevação na prancha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'Elevações'!D5</f>
            </strRef>
          </tx>
          <spPr>
            <a:solidFill>
              <a:srgbClr val="31556F"/>
            </a:solidFill>
            <a:ln>
              <a:prstDash val="solid"/>
            </a:ln>
          </spPr>
          <cat>
            <numRef>
              <f>'Elevações'!$B$6:$B$33</f>
            </numRef>
          </cat>
          <val>
            <numRef>
              <f>'Elevações'!$D$6:$D$33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Elevação (m, PDMS)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rótulos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8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27</row>
      <rowOff>0</rowOff>
    </from>
    <ext cx="540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49</row>
      <rowOff>0</rowOff>
    </from>
    <ext cx="1152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" t="inlineStr">
        <is>
          <t>PAINEL DE EQUIPAMENTOS - LAY-OUT DA UNIDADE U-5700 DE HIDROISODESPARAFINAÇÃO</t>
        </is>
      </c>
    </row>
    <row r="2" ht="24" customHeight="1">
      <c r="A2" s="2" t="inlineStr">
        <is>
          <t>Prancha DE-5400.00-5700-190-TX3-102 Rev. 0 (03/08/2026)  |  Refino Boaventura  |  Escala 1/250, folha A0  |  Escopo: cadastro de equipamentos, áreas, elevações e entorno</t>
        </is>
      </c>
    </row>
    <row r="4">
      <c r="A4" s="3" t="inlineStr">
        <is>
          <t>TAGS DE EQUIPAMENTO</t>
        </is>
      </c>
      <c r="B4" s="4" t="n"/>
      <c r="C4" s="4" t="n"/>
      <c r="D4" s="5" t="inlineStr">
        <is>
          <t>UNIDADES FÍSICAS</t>
        </is>
      </c>
      <c r="E4" s="4" t="n"/>
      <c r="F4" s="4" t="n"/>
      <c r="G4" s="6" t="inlineStr">
        <is>
          <t>ÁREA TOTAL CONSTRUÍDA</t>
        </is>
      </c>
      <c r="H4" s="4" t="n"/>
      <c r="I4" s="4" t="n"/>
      <c r="J4" s="7" t="inlineStr">
        <is>
          <t>CATEGORIAS</t>
        </is>
      </c>
      <c r="K4" s="4" t="n"/>
      <c r="L4" s="4" t="n"/>
    </row>
    <row r="5">
      <c r="A5" s="8" t="n">
        <v>66</v>
      </c>
      <c r="B5" s="4" t="n"/>
      <c r="C5" s="4" t="n"/>
      <c r="D5" s="8" t="n">
        <v>94</v>
      </c>
      <c r="E5" s="4" t="n"/>
      <c r="F5" s="4" t="n"/>
      <c r="G5" s="8" t="n">
        <v>10788</v>
      </c>
      <c r="H5" s="4" t="n"/>
      <c r="I5" s="4" t="n"/>
      <c r="J5" s="8" t="n">
        <v>9</v>
      </c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6" customHeight="1">
      <c r="A7" s="9" t="inlineStr">
        <is>
          <t>tags listadas na legenda</t>
        </is>
      </c>
      <c r="D7" s="9" t="inlineStr">
        <is>
          <t>itens contando os sufixos A/B e A/B/C</t>
        </is>
      </c>
      <c r="G7" s="9" t="inlineStr">
        <is>
          <t>m² conforme o quadro de áreas</t>
        </is>
      </c>
      <c r="J7" s="9" t="inlineStr">
        <is>
          <t>categorias de equipamento na legenda</t>
        </is>
      </c>
    </row>
    <row r="9">
      <c r="A9" s="7" t="inlineStr">
        <is>
          <t>UNIDADES DE BOMBA</t>
        </is>
      </c>
      <c r="B9" s="4" t="n"/>
      <c r="C9" s="4" t="n"/>
      <c r="D9" s="6" t="inlineStr">
        <is>
          <t>ENVELOPE VERTICAL</t>
        </is>
      </c>
      <c r="E9" s="4" t="n"/>
      <c r="F9" s="4" t="n"/>
      <c r="G9" s="5" t="inlineStr">
        <is>
          <t>MAIOR ELEVAÇÃO</t>
        </is>
      </c>
      <c r="H9" s="4" t="n"/>
      <c r="I9" s="4" t="n"/>
      <c r="J9" s="3" t="inlineStr">
        <is>
          <t>GRUPOS DE PROCESSO</t>
        </is>
      </c>
      <c r="K9" s="4" t="n"/>
      <c r="L9" s="4" t="n"/>
    </row>
    <row r="10">
      <c r="A10" s="8" t="n">
        <v>34</v>
      </c>
      <c r="B10" s="4" t="n"/>
      <c r="C10" s="4" t="n"/>
      <c r="D10" s="10" t="n">
        <v>65.34</v>
      </c>
      <c r="E10" s="4" t="n"/>
      <c r="F10" s="4" t="n"/>
      <c r="G10" s="11" t="n">
        <v>84.59</v>
      </c>
      <c r="H10" s="4" t="n"/>
      <c r="I10" s="4" t="n"/>
      <c r="J10" s="8" t="n">
        <v>6</v>
      </c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6" customHeight="1">
      <c r="A12" s="9" t="inlineStr">
        <is>
          <t>maior família: 17 tags em pares A/B</t>
        </is>
      </c>
      <c r="D12" s="9" t="inlineStr">
        <is>
          <t>m entre a menor e a maior elevação</t>
        </is>
      </c>
      <c r="G12" s="9" t="inlineStr">
        <is>
          <t>m (PDMS) - 110,730 m acima do nível do mar</t>
        </is>
      </c>
      <c r="J12" s="9" t="inlineStr">
        <is>
          <t>grupos na nossa classificação</t>
        </is>
      </c>
    </row>
    <row r="15" ht="22" customHeight="1">
      <c r="A15" s="12" t="inlineStr">
        <is>
          <t>EQUIPAMENTOS POR CATEGORIA</t>
        </is>
      </c>
      <c r="B15" s="13" t="n"/>
      <c r="C15" s="13" t="n"/>
      <c r="D15" s="13" t="n"/>
      <c r="E15" s="13" t="n"/>
      <c r="H15" s="12" t="inlineStr">
        <is>
          <t>TAGS POR GRUPO DE PROCESSO</t>
        </is>
      </c>
      <c r="I15" s="13" t="n"/>
      <c r="J15" s="13" t="n"/>
      <c r="K15" s="13" t="n"/>
    </row>
    <row r="16" ht="26" customHeight="1">
      <c r="A16" s="14" t="inlineStr">
        <is>
          <t>Categoria</t>
        </is>
      </c>
      <c r="B16" s="13" t="n"/>
      <c r="C16" s="14" t="inlineStr">
        <is>
          <t>Tags</t>
        </is>
      </c>
      <c r="D16" s="14" t="inlineStr">
        <is>
          <t>Unidades</t>
        </is>
      </c>
      <c r="E16" s="14" t="inlineStr">
        <is>
          <t>% das unidades</t>
        </is>
      </c>
      <c r="H16" s="14" t="inlineStr">
        <is>
          <t>Grupo de processo</t>
        </is>
      </c>
      <c r="I16" s="13" t="n"/>
      <c r="J16" s="14" t="inlineStr">
        <is>
          <t>Tags</t>
        </is>
      </c>
      <c r="K16" s="14" t="inlineStr">
        <is>
          <t>% das tags</t>
        </is>
      </c>
    </row>
    <row r="17">
      <c r="A17" s="15" t="inlineStr">
        <is>
          <t>Reatores</t>
        </is>
      </c>
      <c r="B17" s="16" t="n"/>
      <c r="C17" s="17" t="n">
        <v>2</v>
      </c>
      <c r="D17" s="17" t="n">
        <v>2</v>
      </c>
      <c r="E17" s="18" t="n">
        <v>0.02127659574468085</v>
      </c>
      <c r="H17" s="15" t="inlineStr">
        <is>
          <t>Reação e circuito de hidrogênio</t>
        </is>
      </c>
      <c r="I17" s="16" t="n"/>
      <c r="J17" s="17" t="n">
        <v>20</v>
      </c>
      <c r="K17" s="18" t="n">
        <v>0.303030303030303</v>
      </c>
    </row>
    <row r="18">
      <c r="A18" s="15" t="inlineStr">
        <is>
          <t>Vasos</t>
        </is>
      </c>
      <c r="B18" s="16" t="n"/>
      <c r="C18" s="17" t="n">
        <v>15</v>
      </c>
      <c r="D18" s="17" t="n">
        <v>17</v>
      </c>
      <c r="E18" s="18" t="n">
        <v>0.1808510638297872</v>
      </c>
      <c r="H18" s="15" t="inlineStr">
        <is>
          <t>Fracionamento e sistema de vácuo</t>
        </is>
      </c>
      <c r="I18" s="16" t="n"/>
      <c r="J18" s="17" t="n">
        <v>17</v>
      </c>
      <c r="K18" s="18" t="n">
        <v>0.2575757575757576</v>
      </c>
    </row>
    <row r="19">
      <c r="A19" s="15" t="inlineStr">
        <is>
          <t>Torres</t>
        </is>
      </c>
      <c r="B19" s="16" t="n"/>
      <c r="C19" s="17" t="n">
        <v>5</v>
      </c>
      <c r="D19" s="17" t="n">
        <v>5</v>
      </c>
      <c r="E19" s="18" t="n">
        <v>0.05319148936170213</v>
      </c>
      <c r="H19" s="15" t="inlineStr">
        <is>
          <t>Produtos de óleo básico</t>
        </is>
      </c>
      <c r="I19" s="16" t="n"/>
      <c r="J19" s="17" t="n">
        <v>14</v>
      </c>
      <c r="K19" s="18" t="n">
        <v>0.2121212121212121</v>
      </c>
    </row>
    <row r="20">
      <c r="A20" s="15" t="inlineStr">
        <is>
          <t>Trocadores (casco e tubo)</t>
        </is>
      </c>
      <c r="B20" s="16" t="n"/>
      <c r="C20" s="17" t="n">
        <v>13</v>
      </c>
      <c r="D20" s="17" t="n">
        <v>19</v>
      </c>
      <c r="E20" s="18" t="n">
        <v>0.2021276595744681</v>
      </c>
      <c r="H20" s="15" t="inlineStr">
        <is>
          <t>Diesel e produtos leves</t>
        </is>
      </c>
      <c r="I20" s="16" t="n"/>
      <c r="J20" s="17" t="n">
        <v>3</v>
      </c>
      <c r="K20" s="18" t="n">
        <v>0.04545454545454546</v>
      </c>
    </row>
    <row r="21">
      <c r="A21" s="15" t="inlineStr">
        <is>
          <t>Trocadores (resfriadores a ar)</t>
        </is>
      </c>
      <c r="B21" s="16" t="n"/>
      <c r="C21" s="17" t="n">
        <v>7</v>
      </c>
      <c r="D21" s="17" t="n">
        <v>7</v>
      </c>
      <c r="E21" s="18" t="n">
        <v>0.07446808510638298</v>
      </c>
      <c r="H21" s="15" t="inlineStr">
        <is>
          <t>Água e efluentes</t>
        </is>
      </c>
      <c r="I21" s="16" t="n"/>
      <c r="J21" s="17" t="n">
        <v>4</v>
      </c>
      <c r="K21" s="18" t="n">
        <v>0.06060606060606061</v>
      </c>
    </row>
    <row r="22">
      <c r="A22" s="15" t="inlineStr">
        <is>
          <t>Compressores</t>
        </is>
      </c>
      <c r="B22" s="16" t="n"/>
      <c r="C22" s="17" t="n">
        <v>2</v>
      </c>
      <c r="D22" s="17" t="n">
        <v>4</v>
      </c>
      <c r="E22" s="18" t="n">
        <v>0.0425531914893617</v>
      </c>
      <c r="H22" s="15" t="inlineStr">
        <is>
          <t>Utilidades e sistemas de segurança</t>
        </is>
      </c>
      <c r="I22" s="16" t="n"/>
      <c r="J22" s="17" t="n">
        <v>8</v>
      </c>
      <c r="K22" s="18" t="n">
        <v>0.1212121212121212</v>
      </c>
    </row>
    <row r="23">
      <c r="A23" s="15" t="inlineStr">
        <is>
          <t>Bombas</t>
        </is>
      </c>
      <c r="B23" s="16" t="n"/>
      <c r="C23" s="17" t="n">
        <v>17</v>
      </c>
      <c r="D23" s="17" t="n">
        <v>34</v>
      </c>
      <c r="E23" s="18" t="n">
        <v>0.3617021276595745</v>
      </c>
      <c r="H23" s="19" t="inlineStr">
        <is>
          <t>TOTAL</t>
        </is>
      </c>
      <c r="I23" s="13" t="n"/>
      <c r="J23" s="20" t="n">
        <v>66</v>
      </c>
      <c r="K23" s="21" t="n">
        <v>1</v>
      </c>
    </row>
    <row r="24">
      <c r="A24" s="15" t="inlineStr">
        <is>
          <t>Fornos</t>
        </is>
      </c>
      <c r="B24" s="16" t="n"/>
      <c r="C24" s="17" t="n">
        <v>2</v>
      </c>
      <c r="D24" s="17" t="n">
        <v>2</v>
      </c>
      <c r="E24" s="18" t="n">
        <v>0.02127659574468085</v>
      </c>
    </row>
    <row r="25">
      <c r="A25" s="15" t="inlineStr">
        <is>
          <t>Diversos</t>
        </is>
      </c>
      <c r="B25" s="16" t="n"/>
      <c r="C25" s="17" t="n">
        <v>3</v>
      </c>
      <c r="D25" s="17" t="n">
        <v>4</v>
      </c>
      <c r="E25" s="18" t="n">
        <v>0.0425531914893617</v>
      </c>
    </row>
    <row r="26">
      <c r="A26" s="19" t="inlineStr">
        <is>
          <t>TOTAL</t>
        </is>
      </c>
      <c r="B26" s="13" t="n"/>
      <c r="C26" s="20" t="n">
        <v>66</v>
      </c>
      <c r="D26" s="20" t="n">
        <v>94</v>
      </c>
      <c r="E26" s="21" t="n">
        <v>1</v>
      </c>
    </row>
    <row r="48" ht="22" customHeight="1">
      <c r="A48" s="12" t="inlineStr">
        <is>
          <t>ELEVAÇÕES COTADAS NA PRANCHA - FONTE: ABA ELEVAÇÕES</t>
        </is>
      </c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</row>
    <row r="68" ht="22" customHeight="1">
      <c r="A68" s="12" t="inlineStr">
        <is>
          <t>CONTROLE DE VALIDAÇÃO - DESTAQUES</t>
        </is>
      </c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>
      <c r="A69" s="14" t="inlineStr">
        <is>
          <t>Grupo</t>
        </is>
      </c>
      <c r="B69" s="14" t="inlineStr">
        <is>
          <t>Indicador</t>
        </is>
      </c>
      <c r="C69" s="13" t="n"/>
      <c r="D69" s="14" t="inlineStr">
        <is>
          <t>Calculado</t>
        </is>
      </c>
      <c r="E69" s="14" t="inlineStr">
        <is>
          <t>Referência</t>
        </is>
      </c>
      <c r="F69" s="14" t="inlineStr">
        <is>
          <t>Desvio</t>
        </is>
      </c>
      <c r="G69" s="14" t="inlineStr">
        <is>
          <t>Critério / observação</t>
        </is>
      </c>
      <c r="H69" s="13" t="n"/>
      <c r="I69" s="13" t="n"/>
      <c r="J69" s="13" t="n"/>
      <c r="K69" s="13" t="n"/>
      <c r="L69" s="13" t="n"/>
      <c r="M69" s="13" t="n"/>
      <c r="N69" s="13" t="n"/>
    </row>
    <row r="70" ht="24" customHeight="1">
      <c r="A70" s="22" t="inlineStr">
        <is>
          <t>Áreas</t>
        </is>
      </c>
      <c r="B70" s="23" t="inlineStr">
        <is>
          <t>O quadro de áreas fecha em si mesmo (m²)</t>
        </is>
      </c>
      <c r="C70" s="16" t="n"/>
      <c r="D70" s="24" t="n">
        <v>10788</v>
      </c>
      <c r="E70" s="24" t="n">
        <v>10788</v>
      </c>
      <c r="F70" s="24" t="n">
        <v>0</v>
      </c>
      <c r="G70" s="23" t="inlineStr">
        <is>
          <t>1.369 + 9.419 = 10.788 m², e 148,60 × 72,60 = 10.788,36 m². Cotas, coordenadas e quadro de áreas concordam entre si.</t>
        </is>
      </c>
      <c r="H70" s="16" t="n"/>
      <c r="I70" s="16" t="n"/>
      <c r="J70" s="16" t="n"/>
      <c r="K70" s="16" t="n"/>
      <c r="L70" s="16" t="n"/>
      <c r="M70" s="16" t="n"/>
      <c r="N70" s="16" t="n"/>
    </row>
    <row r="71" ht="24" customHeight="1">
      <c r="A71" s="22" t="inlineStr">
        <is>
          <t>Contagem</t>
        </is>
      </c>
      <c r="B71" s="23" t="inlineStr">
        <is>
          <t>Unidades físicas expandidas pelos sufixos</t>
        </is>
      </c>
      <c r="C71" s="16" t="n"/>
      <c r="D71" s="24" t="n">
        <v>94</v>
      </c>
      <c r="E71" s="24" t="n">
        <v>94</v>
      </c>
      <c r="F71" s="24" t="n">
        <v>0</v>
      </c>
      <c r="G71" s="23" t="inlineStr">
        <is>
          <t>As 66 tags da legenda expandem para 94 unidades físicas pelos sufixos A/B e A/B/C; só as bombas respondem por 34 delas.</t>
        </is>
      </c>
      <c r="H71" s="16" t="n"/>
      <c r="I71" s="16" t="n"/>
      <c r="J71" s="16" t="n"/>
      <c r="K71" s="16" t="n"/>
      <c r="L71" s="16" t="n"/>
      <c r="M71" s="16" t="n"/>
      <c r="N71" s="16" t="n"/>
    </row>
    <row r="72" ht="24" customHeight="1">
      <c r="A72" s="25" t="inlineStr">
        <is>
          <t>DIVERGÊNCIA</t>
        </is>
      </c>
      <c r="B72" s="26" t="inlineStr">
        <is>
          <t>Rótulos SIRGAS do eixo norte (mm)</t>
        </is>
      </c>
      <c r="C72" s="27" t="n"/>
      <c r="D72" s="28" t="n">
        <v>7492093680</v>
      </c>
      <c r="E72" s="28" t="n">
        <v>752034729</v>
      </c>
      <c r="F72" s="28" t="n">
        <v>6740058951</v>
      </c>
      <c r="G72" s="26" t="inlineStr">
        <is>
          <t>Os rótulos de N implicam uma constante dez vezes menor que a da Nota 2. A Nota 2 é o valor consistente; os rótulos parecem ter perdido um dígito. Confirmar.</t>
        </is>
      </c>
      <c r="H72" s="27" t="n"/>
      <c r="I72" s="27" t="n"/>
      <c r="J72" s="27" t="n"/>
      <c r="K72" s="27" t="n"/>
      <c r="L72" s="27" t="n"/>
      <c r="M72" s="27" t="n"/>
      <c r="N72" s="27" t="n"/>
    </row>
    <row r="73" ht="24" customHeight="1">
      <c r="A73" s="25" t="inlineStr">
        <is>
          <t>DIVERGÊNCIA</t>
        </is>
      </c>
      <c r="B73" s="26" t="inlineStr">
        <is>
          <t>Tag B-004 ausente da sequência de bombas</t>
        </is>
      </c>
      <c r="C73" s="27" t="n"/>
      <c r="D73" s="28" t="n">
        <v>17</v>
      </c>
      <c r="E73" s="28" t="n">
        <v>18</v>
      </c>
      <c r="F73" s="28" t="n">
        <v>-1</v>
      </c>
      <c r="G73" s="26" t="inlineStr">
        <is>
          <t>As bombas vão de B-001 a B-003 e depois de B-005 a B-018. A B-004 não aparece na prancha. Confirmar.</t>
        </is>
      </c>
      <c r="H73" s="27" t="n"/>
      <c r="I73" s="27" t="n"/>
      <c r="J73" s="27" t="n"/>
      <c r="K73" s="27" t="n"/>
      <c r="L73" s="27" t="n"/>
      <c r="M73" s="27" t="n"/>
      <c r="N73" s="27" t="n"/>
    </row>
    <row r="74" ht="24" customHeight="1">
      <c r="A74" s="25" t="inlineStr">
        <is>
          <t>DIVERGÊNCIA</t>
        </is>
      </c>
      <c r="B74" s="26" t="inlineStr">
        <is>
          <t>V-013 e V-014 com a mesma descrição</t>
        </is>
      </c>
      <c r="C74" s="27" t="n"/>
      <c r="D74" s="28" t="n">
        <v>2</v>
      </c>
      <c r="E74" s="28" t="n">
        <v>1</v>
      </c>
      <c r="F74" s="28" t="n">
        <v>1</v>
      </c>
      <c r="G74" s="26" t="inlineStr">
        <is>
          <t>Ambas trazem 'vaso de blowdown de condensado', sem nada que distinga as duas tags. Confirmar.</t>
        </is>
      </c>
      <c r="H74" s="27" t="n"/>
      <c r="I74" s="27" t="n"/>
      <c r="J74" s="27" t="n"/>
      <c r="K74" s="27" t="n"/>
      <c r="L74" s="27" t="n"/>
      <c r="M74" s="27" t="n"/>
      <c r="N74" s="27" t="n"/>
    </row>
  </sheetData>
  <mergeCells count="61">
    <mergeCell ref="A10:C11"/>
    <mergeCell ref="A24:B24"/>
    <mergeCell ref="H20:I20"/>
    <mergeCell ref="G72:N72"/>
    <mergeCell ref="B72:C72"/>
    <mergeCell ref="D5:F6"/>
    <mergeCell ref="A15:E15"/>
    <mergeCell ref="A48:N48"/>
    <mergeCell ref="D10:F11"/>
    <mergeCell ref="G71:N71"/>
    <mergeCell ref="J5:L6"/>
    <mergeCell ref="J4:L4"/>
    <mergeCell ref="A12:C12"/>
    <mergeCell ref="D7:F7"/>
    <mergeCell ref="H15:K15"/>
    <mergeCell ref="G70:N70"/>
    <mergeCell ref="B71:C71"/>
    <mergeCell ref="A1:N1"/>
    <mergeCell ref="J7:L7"/>
    <mergeCell ref="B70:C70"/>
    <mergeCell ref="A16:B16"/>
    <mergeCell ref="H21:I21"/>
    <mergeCell ref="A25:B25"/>
    <mergeCell ref="J10:L11"/>
    <mergeCell ref="D4:F4"/>
    <mergeCell ref="D12:F12"/>
    <mergeCell ref="G4:I4"/>
    <mergeCell ref="D9:F9"/>
    <mergeCell ref="J12:L12"/>
    <mergeCell ref="A4:C4"/>
    <mergeCell ref="A18:B18"/>
    <mergeCell ref="H17:I17"/>
    <mergeCell ref="G69:N69"/>
    <mergeCell ref="B69:C69"/>
    <mergeCell ref="A26:B26"/>
    <mergeCell ref="A21:B21"/>
    <mergeCell ref="B73:C73"/>
    <mergeCell ref="G74:N74"/>
    <mergeCell ref="G10:I11"/>
    <mergeCell ref="H16:I16"/>
    <mergeCell ref="A2:N2"/>
    <mergeCell ref="A9:C9"/>
    <mergeCell ref="G9:I9"/>
    <mergeCell ref="H19:I19"/>
    <mergeCell ref="G12:I12"/>
    <mergeCell ref="A17:B17"/>
    <mergeCell ref="A23:B23"/>
    <mergeCell ref="H22:I22"/>
    <mergeCell ref="A22:B22"/>
    <mergeCell ref="B74:C74"/>
    <mergeCell ref="G73:N73"/>
    <mergeCell ref="A20:B20"/>
    <mergeCell ref="A5:C6"/>
    <mergeCell ref="G5:I6"/>
    <mergeCell ref="A19:B19"/>
    <mergeCell ref="H18:I18"/>
    <mergeCell ref="H23:I23"/>
    <mergeCell ref="A68:N68"/>
    <mergeCell ref="J9:L9"/>
    <mergeCell ref="A7:C7"/>
    <mergeCell ref="G7:I7"/>
  </mergeCells>
  <printOptions horizontalCentered="1"/>
  <pageMargins left="0.3" right="0.3" top="0.4" bottom="0.4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0" customWidth="1" min="4" max="4"/>
    <col width="9" customWidth="1" min="5" max="5"/>
    <col width="24" customWidth="1" min="6" max="6"/>
    <col width="52" customWidth="1" min="7" max="7"/>
    <col width="30" customWidth="1" min="8" max="8"/>
    <col width="20" customWidth="1" min="9" max="9"/>
  </cols>
  <sheetData>
    <row r="1" ht="36" customHeight="1">
      <c r="A1" s="1" t="inlineStr">
        <is>
          <t>LISTA DE EQUIPAMENTOS - TRANSCRIÇÃO INTEGRAL DA LEGENDA DA PRANCHA</t>
        </is>
      </c>
    </row>
    <row r="2" ht="24" customHeight="1">
      <c r="A2" s="2" t="inlineStr">
        <is>
          <t>Fonte: prancha DE-5400.00-5700-190-TX3-102, Rev. 0 (03/08/2026) - LAY-OUT, UNIDADE U-5700 HIDW - ÁREAS. Unidade de Hidroisodesparafinação, Refino Boaventura. Escala 1/250, folha A0 (1189 × 841 mm).</t>
        </is>
      </c>
    </row>
    <row r="3" ht="26" customHeight="1">
      <c r="A3" s="29" t="inlineStr">
        <is>
          <t>Todas as tags impressas na legenda da prancha, na ordem em que aparecem. 'Unidades' é o número de equipamentos físicos que a tag representa (A/B = 2, A/B/C = 3). A coluna 'Idioma na prancha' assinala as oito entradas que a legenda traz em português; as demais descrições em português são tradução nossa do original em inglês.</t>
        </is>
      </c>
    </row>
    <row r="5" ht="30" customHeight="1">
      <c r="A5" s="14" t="inlineStr">
        <is>
          <t>Nº</t>
        </is>
      </c>
      <c r="B5" s="14" t="inlineStr">
        <is>
          <t>Tag</t>
        </is>
      </c>
      <c r="C5" s="14" t="inlineStr">
        <is>
          <t>Tag base</t>
        </is>
      </c>
      <c r="D5" s="14" t="inlineStr">
        <is>
          <t>Sufixo</t>
        </is>
      </c>
      <c r="E5" s="14" t="inlineStr">
        <is>
          <t>Unidades</t>
        </is>
      </c>
      <c r="F5" s="14" t="inlineStr">
        <is>
          <t>Categoria</t>
        </is>
      </c>
      <c r="G5" s="14" t="inlineStr">
        <is>
          <t>Descrição do serviço</t>
        </is>
      </c>
      <c r="H5" s="14" t="inlineStr">
        <is>
          <t>Grupo de processo</t>
        </is>
      </c>
      <c r="I5" s="14" t="inlineStr">
        <is>
          <t>Idioma na prancha</t>
        </is>
      </c>
    </row>
    <row r="6">
      <c r="A6" s="17" t="n">
        <v>1</v>
      </c>
      <c r="B6" s="15" t="inlineStr">
        <is>
          <t>R-001</t>
        </is>
      </c>
      <c r="C6" s="15" t="inlineStr">
        <is>
          <t>R-001</t>
        </is>
      </c>
      <c r="D6" s="15" t="inlineStr">
        <is>
          <t>-</t>
        </is>
      </c>
      <c r="E6" s="17" t="n">
        <v>1</v>
      </c>
      <c r="F6" s="15" t="inlineStr">
        <is>
          <t>Reatores</t>
        </is>
      </c>
      <c r="G6" s="15" t="inlineStr">
        <is>
          <t>Reator de desparafinação</t>
        </is>
      </c>
      <c r="H6" s="15" t="inlineStr">
        <is>
          <t>Reação e circuito de hidrogênio</t>
        </is>
      </c>
      <c r="I6" s="15" t="inlineStr">
        <is>
          <t>Inglês</t>
        </is>
      </c>
    </row>
    <row r="7">
      <c r="A7" s="17" t="n">
        <v>2</v>
      </c>
      <c r="B7" s="15" t="inlineStr">
        <is>
          <t>R-002</t>
        </is>
      </c>
      <c r="C7" s="15" t="inlineStr">
        <is>
          <t>R-002</t>
        </is>
      </c>
      <c r="D7" s="15" t="inlineStr">
        <is>
          <t>-</t>
        </is>
      </c>
      <c r="E7" s="17" t="n">
        <v>1</v>
      </c>
      <c r="F7" s="15" t="inlineStr">
        <is>
          <t>Reatores</t>
        </is>
      </c>
      <c r="G7" s="15" t="inlineStr">
        <is>
          <t>Reator de hidroacabamento</t>
        </is>
      </c>
      <c r="H7" s="15" t="inlineStr">
        <is>
          <t>Reação e circuito de hidrogênio</t>
        </is>
      </c>
      <c r="I7" s="15" t="inlineStr">
        <is>
          <t>Inglês</t>
        </is>
      </c>
    </row>
    <row r="8">
      <c r="A8" s="17" t="n">
        <v>3</v>
      </c>
      <c r="B8" s="15" t="inlineStr">
        <is>
          <t>V-001</t>
        </is>
      </c>
      <c r="C8" s="15" t="inlineStr">
        <is>
          <t>V-001</t>
        </is>
      </c>
      <c r="D8" s="15" t="inlineStr">
        <is>
          <t>-</t>
        </is>
      </c>
      <c r="E8" s="17" t="n">
        <v>1</v>
      </c>
      <c r="F8" s="15" t="inlineStr">
        <is>
          <t>Vasos</t>
        </is>
      </c>
      <c r="G8" s="15" t="inlineStr">
        <is>
          <t>Vaso pulmão de carga do reator</t>
        </is>
      </c>
      <c r="H8" s="15" t="inlineStr">
        <is>
          <t>Reação e circuito de hidrogênio</t>
        </is>
      </c>
      <c r="I8" s="15" t="inlineStr">
        <is>
          <t>Inglês</t>
        </is>
      </c>
    </row>
    <row r="9">
      <c r="A9" s="17" t="n">
        <v>4</v>
      </c>
      <c r="B9" s="15" t="inlineStr">
        <is>
          <t>V-002</t>
        </is>
      </c>
      <c r="C9" s="15" t="inlineStr">
        <is>
          <t>V-002</t>
        </is>
      </c>
      <c r="D9" s="15" t="inlineStr">
        <is>
          <t>-</t>
        </is>
      </c>
      <c r="E9" s="17" t="n">
        <v>1</v>
      </c>
      <c r="F9" s="15" t="inlineStr">
        <is>
          <t>Vasos</t>
        </is>
      </c>
      <c r="G9" s="15" t="inlineStr">
        <is>
          <t>Separador frio de alta pressão</t>
        </is>
      </c>
      <c r="H9" s="15" t="inlineStr">
        <is>
          <t>Reação e circuito de hidrogênio</t>
        </is>
      </c>
      <c r="I9" s="15" t="inlineStr">
        <is>
          <t>Inglês</t>
        </is>
      </c>
    </row>
    <row r="10">
      <c r="A10" s="17" t="n">
        <v>5</v>
      </c>
      <c r="B10" s="15" t="inlineStr">
        <is>
          <t>V-003</t>
        </is>
      </c>
      <c r="C10" s="15" t="inlineStr">
        <is>
          <t>V-003</t>
        </is>
      </c>
      <c r="D10" s="15" t="inlineStr">
        <is>
          <t>-</t>
        </is>
      </c>
      <c r="E10" s="17" t="n">
        <v>1</v>
      </c>
      <c r="F10" s="15" t="inlineStr">
        <is>
          <t>Vasos</t>
        </is>
      </c>
      <c r="G10" s="30" t="inlineStr">
        <is>
          <t>Vaso de knock-out do compressor de gás de reciclo</t>
        </is>
      </c>
      <c r="H10" s="15" t="inlineStr">
        <is>
          <t>Reação e circuito de hidrogênio</t>
        </is>
      </c>
      <c r="I10" s="15" t="inlineStr">
        <is>
          <t>Inglês</t>
        </is>
      </c>
    </row>
    <row r="11">
      <c r="A11" s="17" t="n">
        <v>6</v>
      </c>
      <c r="B11" s="15" t="inlineStr">
        <is>
          <t>V-004</t>
        </is>
      </c>
      <c r="C11" s="15" t="inlineStr">
        <is>
          <t>V-004</t>
        </is>
      </c>
      <c r="D11" s="15" t="inlineStr">
        <is>
          <t>-</t>
        </is>
      </c>
      <c r="E11" s="17" t="n">
        <v>1</v>
      </c>
      <c r="F11" s="15" t="inlineStr">
        <is>
          <t>Vasos</t>
        </is>
      </c>
      <c r="G11" s="15" t="inlineStr">
        <is>
          <t>Vaso de água de injeção</t>
        </is>
      </c>
      <c r="H11" s="15" t="inlineStr">
        <is>
          <t>Água e efluentes</t>
        </is>
      </c>
      <c r="I11" s="15" t="inlineStr">
        <is>
          <t>Inglês</t>
        </is>
      </c>
    </row>
    <row r="12">
      <c r="A12" s="17" t="n">
        <v>7</v>
      </c>
      <c r="B12" s="15" t="inlineStr">
        <is>
          <t>V-005</t>
        </is>
      </c>
      <c r="C12" s="15" t="inlineStr">
        <is>
          <t>V-005</t>
        </is>
      </c>
      <c r="D12" s="15" t="inlineStr">
        <is>
          <t>-</t>
        </is>
      </c>
      <c r="E12" s="17" t="n">
        <v>1</v>
      </c>
      <c r="F12" s="15" t="inlineStr">
        <is>
          <t>Vasos</t>
        </is>
      </c>
      <c r="G12" s="15" t="inlineStr">
        <is>
          <t>Desgaseificador de água ácida</t>
        </is>
      </c>
      <c r="H12" s="15" t="inlineStr">
        <is>
          <t>Água e efluentes</t>
        </is>
      </c>
      <c r="I12" s="15" t="inlineStr">
        <is>
          <t>Inglês</t>
        </is>
      </c>
    </row>
    <row r="13">
      <c r="A13" s="17" t="n">
        <v>8</v>
      </c>
      <c r="B13" s="15" t="inlineStr">
        <is>
          <t>V-006</t>
        </is>
      </c>
      <c r="C13" s="15" t="inlineStr">
        <is>
          <t>V-006</t>
        </is>
      </c>
      <c r="D13" s="15" t="inlineStr">
        <is>
          <t>-</t>
        </is>
      </c>
      <c r="E13" s="17" t="n">
        <v>1</v>
      </c>
      <c r="F13" s="15" t="inlineStr">
        <is>
          <t>Vasos</t>
        </is>
      </c>
      <c r="G13" s="15" t="inlineStr">
        <is>
          <t>Vaso de topo da retificadora</t>
        </is>
      </c>
      <c r="H13" s="15" t="inlineStr">
        <is>
          <t>Fracionamento e sistema de vácuo</t>
        </is>
      </c>
      <c r="I13" s="15" t="inlineStr">
        <is>
          <t>Inglês</t>
        </is>
      </c>
    </row>
    <row r="14">
      <c r="A14" s="17" t="n">
        <v>9</v>
      </c>
      <c r="B14" s="15" t="inlineStr">
        <is>
          <t>V-007</t>
        </is>
      </c>
      <c r="C14" s="15" t="inlineStr">
        <is>
          <t>V-007</t>
        </is>
      </c>
      <c r="D14" s="15" t="inlineStr">
        <is>
          <t>-</t>
        </is>
      </c>
      <c r="E14" s="17" t="n">
        <v>1</v>
      </c>
      <c r="F14" s="15" t="inlineStr">
        <is>
          <t>Vasos</t>
        </is>
      </c>
      <c r="G14" s="30" t="inlineStr">
        <is>
          <t>Vaso de sucção do 1º estágio de hidrogênio de reposição</t>
        </is>
      </c>
      <c r="H14" s="15" t="inlineStr">
        <is>
          <t>Reação e circuito de hidrogênio</t>
        </is>
      </c>
      <c r="I14" s="15" t="inlineStr">
        <is>
          <t>Inglês</t>
        </is>
      </c>
    </row>
    <row r="15">
      <c r="A15" s="17" t="n">
        <v>10</v>
      </c>
      <c r="B15" s="15" t="inlineStr">
        <is>
          <t>V-008A/B</t>
        </is>
      </c>
      <c r="C15" s="15" t="inlineStr">
        <is>
          <t>V-008</t>
        </is>
      </c>
      <c r="D15" s="15" t="inlineStr">
        <is>
          <t>A/B</t>
        </is>
      </c>
      <c r="E15" s="17" t="n">
        <v>2</v>
      </c>
      <c r="F15" s="15" t="inlineStr">
        <is>
          <t>Vasos</t>
        </is>
      </c>
      <c r="G15" s="30" t="inlineStr">
        <is>
          <t>Vaso de sucção do 2º estágio de hidrogênio de reposição</t>
        </is>
      </c>
      <c r="H15" s="15" t="inlineStr">
        <is>
          <t>Reação e circuito de hidrogênio</t>
        </is>
      </c>
      <c r="I15" s="15" t="inlineStr">
        <is>
          <t>Inglês</t>
        </is>
      </c>
    </row>
    <row r="16">
      <c r="A16" s="17" t="n">
        <v>11</v>
      </c>
      <c r="B16" s="15" t="inlineStr">
        <is>
          <t>V-009A/B</t>
        </is>
      </c>
      <c r="C16" s="15" t="inlineStr">
        <is>
          <t>V-009</t>
        </is>
      </c>
      <c r="D16" s="15" t="inlineStr">
        <is>
          <t>A/B</t>
        </is>
      </c>
      <c r="E16" s="17" t="n">
        <v>2</v>
      </c>
      <c r="F16" s="15" t="inlineStr">
        <is>
          <t>Vasos</t>
        </is>
      </c>
      <c r="G16" s="30" t="inlineStr">
        <is>
          <t>Vaso de sucção do 3º estágio de hidrogênio de reposição</t>
        </is>
      </c>
      <c r="H16" s="15" t="inlineStr">
        <is>
          <t>Reação e circuito de hidrogênio</t>
        </is>
      </c>
      <c r="I16" s="15" t="inlineStr">
        <is>
          <t>Inglês</t>
        </is>
      </c>
    </row>
    <row r="17">
      <c r="A17" s="17" t="n">
        <v>12</v>
      </c>
      <c r="B17" s="15" t="inlineStr">
        <is>
          <t>V-010</t>
        </is>
      </c>
      <c r="C17" s="15" t="inlineStr">
        <is>
          <t>V-010</t>
        </is>
      </c>
      <c r="D17" s="15" t="inlineStr">
        <is>
          <t>-</t>
        </is>
      </c>
      <c r="E17" s="17" t="n">
        <v>1</v>
      </c>
      <c r="F17" s="15" t="inlineStr">
        <is>
          <t>Vasos</t>
        </is>
      </c>
      <c r="G17" s="30" t="inlineStr">
        <is>
          <t>Vaso de topo da coluna de vácuo (hotwell (Y-001))</t>
        </is>
      </c>
      <c r="H17" s="15" t="inlineStr">
        <is>
          <t>Fracionamento e sistema de vácuo</t>
        </is>
      </c>
      <c r="I17" s="15" t="inlineStr">
        <is>
          <t>Inglês</t>
        </is>
      </c>
    </row>
    <row r="18">
      <c r="A18" s="17" t="n">
        <v>13</v>
      </c>
      <c r="B18" s="15" t="inlineStr">
        <is>
          <t>V-011</t>
        </is>
      </c>
      <c r="C18" s="15" t="inlineStr">
        <is>
          <t>V-011</t>
        </is>
      </c>
      <c r="D18" s="15" t="inlineStr">
        <is>
          <t>-</t>
        </is>
      </c>
      <c r="E18" s="17" t="n">
        <v>1</v>
      </c>
      <c r="F18" s="15" t="inlineStr">
        <is>
          <t>Vasos</t>
        </is>
      </c>
      <c r="G18" s="15" t="inlineStr">
        <is>
          <t>Vaso de blowdown</t>
        </is>
      </c>
      <c r="H18" s="15" t="inlineStr">
        <is>
          <t>Utilidades e sistemas de segurança</t>
        </is>
      </c>
      <c r="I18" s="15" t="inlineStr">
        <is>
          <t>Português (como impresso)</t>
        </is>
      </c>
    </row>
    <row r="19">
      <c r="A19" s="17" t="n">
        <v>14</v>
      </c>
      <c r="B19" s="15" t="inlineStr">
        <is>
          <t>V-012</t>
        </is>
      </c>
      <c r="C19" s="15" t="inlineStr">
        <is>
          <t>V-012</t>
        </is>
      </c>
      <c r="D19" s="15" t="inlineStr">
        <is>
          <t>-</t>
        </is>
      </c>
      <c r="E19" s="17" t="n">
        <v>1</v>
      </c>
      <c r="F19" s="15" t="inlineStr">
        <is>
          <t>Vasos</t>
        </is>
      </c>
      <c r="G19" s="15" t="inlineStr">
        <is>
          <t>Vaso de vapor</t>
        </is>
      </c>
      <c r="H19" s="15" t="inlineStr">
        <is>
          <t>Utilidades e sistemas de segurança</t>
        </is>
      </c>
      <c r="I19" s="15" t="inlineStr">
        <is>
          <t>Português (como impresso)</t>
        </is>
      </c>
    </row>
    <row r="20">
      <c r="A20" s="17" t="n">
        <v>15</v>
      </c>
      <c r="B20" s="15" t="inlineStr">
        <is>
          <t>V-013</t>
        </is>
      </c>
      <c r="C20" s="15" t="inlineStr">
        <is>
          <t>V-013</t>
        </is>
      </c>
      <c r="D20" s="15" t="inlineStr">
        <is>
          <t>-</t>
        </is>
      </c>
      <c r="E20" s="17" t="n">
        <v>1</v>
      </c>
      <c r="F20" s="15" t="inlineStr">
        <is>
          <t>Vasos</t>
        </is>
      </c>
      <c r="G20" s="15" t="inlineStr">
        <is>
          <t>Vaso de blowdown de condensado</t>
        </is>
      </c>
      <c r="H20" s="15" t="inlineStr">
        <is>
          <t>Utilidades e sistemas de segurança</t>
        </is>
      </c>
      <c r="I20" s="15" t="inlineStr">
        <is>
          <t>Português (como impresso)</t>
        </is>
      </c>
    </row>
    <row r="21">
      <c r="A21" s="17" t="n">
        <v>16</v>
      </c>
      <c r="B21" s="15" t="inlineStr">
        <is>
          <t>V-014</t>
        </is>
      </c>
      <c r="C21" s="15" t="inlineStr">
        <is>
          <t>V-014</t>
        </is>
      </c>
      <c r="D21" s="15" t="inlineStr">
        <is>
          <t>-</t>
        </is>
      </c>
      <c r="E21" s="17" t="n">
        <v>1</v>
      </c>
      <c r="F21" s="15" t="inlineStr">
        <is>
          <t>Vasos</t>
        </is>
      </c>
      <c r="G21" s="15" t="inlineStr">
        <is>
          <t>Vaso de blowdown de condensado</t>
        </is>
      </c>
      <c r="H21" s="15" t="inlineStr">
        <is>
          <t>Utilidades e sistemas de segurança</t>
        </is>
      </c>
      <c r="I21" s="15" t="inlineStr">
        <is>
          <t>Português (como impresso)</t>
        </is>
      </c>
    </row>
    <row r="22">
      <c r="A22" s="17" t="n">
        <v>17</v>
      </c>
      <c r="B22" s="15" t="inlineStr">
        <is>
          <t>V-015</t>
        </is>
      </c>
      <c r="C22" s="15" t="inlineStr">
        <is>
          <t>V-015</t>
        </is>
      </c>
      <c r="D22" s="15" t="inlineStr">
        <is>
          <t>-</t>
        </is>
      </c>
      <c r="E22" s="17" t="n">
        <v>1</v>
      </c>
      <c r="F22" s="15" t="inlineStr">
        <is>
          <t>Vasos</t>
        </is>
      </c>
      <c r="G22" s="15" t="inlineStr">
        <is>
          <t>Vaso de knock-out de gás combustível</t>
        </is>
      </c>
      <c r="H22" s="15" t="inlineStr">
        <is>
          <t>Utilidades e sistemas de segurança</t>
        </is>
      </c>
      <c r="I22" s="15" t="inlineStr">
        <is>
          <t>Português (como impresso)</t>
        </is>
      </c>
    </row>
    <row r="23">
      <c r="A23" s="17" t="n">
        <v>18</v>
      </c>
      <c r="B23" s="15" t="inlineStr">
        <is>
          <t>T-001</t>
        </is>
      </c>
      <c r="C23" s="15" t="inlineStr">
        <is>
          <t>T-001</t>
        </is>
      </c>
      <c r="D23" s="15" t="inlineStr">
        <is>
          <t>-</t>
        </is>
      </c>
      <c r="E23" s="17" t="n">
        <v>1</v>
      </c>
      <c r="F23" s="15" t="inlineStr">
        <is>
          <t>Torres</t>
        </is>
      </c>
      <c r="G23" s="15" t="inlineStr">
        <is>
          <t>Retificadora de produto</t>
        </is>
      </c>
      <c r="H23" s="15" t="inlineStr">
        <is>
          <t>Fracionamento e sistema de vácuo</t>
        </is>
      </c>
      <c r="I23" s="15" t="inlineStr">
        <is>
          <t>Inglês</t>
        </is>
      </c>
    </row>
    <row r="24">
      <c r="A24" s="17" t="n">
        <v>19</v>
      </c>
      <c r="B24" s="15" t="inlineStr">
        <is>
          <t>T-002</t>
        </is>
      </c>
      <c r="C24" s="15" t="inlineStr">
        <is>
          <t>T-002</t>
        </is>
      </c>
      <c r="D24" s="15" t="inlineStr">
        <is>
          <t>-</t>
        </is>
      </c>
      <c r="E24" s="17" t="n">
        <v>1</v>
      </c>
      <c r="F24" s="15" t="inlineStr">
        <is>
          <t>Torres</t>
        </is>
      </c>
      <c r="G24" s="15" t="inlineStr">
        <is>
          <t>Coluna de vácuo</t>
        </is>
      </c>
      <c r="H24" s="15" t="inlineStr">
        <is>
          <t>Fracionamento e sistema de vácuo</t>
        </is>
      </c>
      <c r="I24" s="15" t="inlineStr">
        <is>
          <t>Inglês</t>
        </is>
      </c>
    </row>
    <row r="25">
      <c r="A25" s="17" t="n">
        <v>20</v>
      </c>
      <c r="B25" s="15" t="inlineStr">
        <is>
          <t>T-003</t>
        </is>
      </c>
      <c r="C25" s="15" t="inlineStr">
        <is>
          <t>T-003</t>
        </is>
      </c>
      <c r="D25" s="15" t="inlineStr">
        <is>
          <t>-</t>
        </is>
      </c>
      <c r="E25" s="17" t="n">
        <v>1</v>
      </c>
      <c r="F25" s="15" t="inlineStr">
        <is>
          <t>Torres</t>
        </is>
      </c>
      <c r="G25" s="15" t="inlineStr">
        <is>
          <t>Retificadora lateral de óleo básico XLN</t>
        </is>
      </c>
      <c r="H25" s="15" t="inlineStr">
        <is>
          <t>Fracionamento e sistema de vácuo</t>
        </is>
      </c>
      <c r="I25" s="15" t="inlineStr">
        <is>
          <t>Inglês</t>
        </is>
      </c>
    </row>
    <row r="26">
      <c r="A26" s="17" t="n">
        <v>21</v>
      </c>
      <c r="B26" s="15" t="inlineStr">
        <is>
          <t>T-004</t>
        </is>
      </c>
      <c r="C26" s="15" t="inlineStr">
        <is>
          <t>T-004</t>
        </is>
      </c>
      <c r="D26" s="15" t="inlineStr">
        <is>
          <t>-</t>
        </is>
      </c>
      <c r="E26" s="17" t="n">
        <v>1</v>
      </c>
      <c r="F26" s="15" t="inlineStr">
        <is>
          <t>Torres</t>
        </is>
      </c>
      <c r="G26" s="15" t="inlineStr">
        <is>
          <t>Retificadora lateral de óleo básico LN</t>
        </is>
      </c>
      <c r="H26" s="15" t="inlineStr">
        <is>
          <t>Fracionamento e sistema de vácuo</t>
        </is>
      </c>
      <c r="I26" s="15" t="inlineStr">
        <is>
          <t>Inglês</t>
        </is>
      </c>
    </row>
    <row r="27">
      <c r="A27" s="17" t="n">
        <v>22</v>
      </c>
      <c r="B27" s="15" t="inlineStr">
        <is>
          <t>T-005</t>
        </is>
      </c>
      <c r="C27" s="15" t="inlineStr">
        <is>
          <t>T-005</t>
        </is>
      </c>
      <c r="D27" s="15" t="inlineStr">
        <is>
          <t>-</t>
        </is>
      </c>
      <c r="E27" s="17" t="n">
        <v>1</v>
      </c>
      <c r="F27" s="15" t="inlineStr">
        <is>
          <t>Torres</t>
        </is>
      </c>
      <c r="G27" s="15" t="inlineStr">
        <is>
          <t>Retificadora lateral de óleo básico MN</t>
        </is>
      </c>
      <c r="H27" s="15" t="inlineStr">
        <is>
          <t>Fracionamento e sistema de vácuo</t>
        </is>
      </c>
      <c r="I27" s="15" t="inlineStr">
        <is>
          <t>Inglês</t>
        </is>
      </c>
    </row>
    <row r="28">
      <c r="A28" s="17" t="n">
        <v>23</v>
      </c>
      <c r="B28" s="15" t="inlineStr">
        <is>
          <t>P-001</t>
        </is>
      </c>
      <c r="C28" s="15" t="inlineStr">
        <is>
          <t>P-001</t>
        </is>
      </c>
      <c r="D28" s="15" t="inlineStr">
        <is>
          <t>-</t>
        </is>
      </c>
      <c r="E28" s="17" t="n">
        <v>1</v>
      </c>
      <c r="F28" s="15" t="inlineStr">
        <is>
          <t>Trocadores (casco e tubo)</t>
        </is>
      </c>
      <c r="G28" s="30" t="inlineStr">
        <is>
          <t>Trocador carga / produto de óleo básico LN</t>
        </is>
      </c>
      <c r="H28" s="15" t="inlineStr">
        <is>
          <t>Produtos de óleo básico</t>
        </is>
      </c>
      <c r="I28" s="15" t="inlineStr">
        <is>
          <t>Inglês</t>
        </is>
      </c>
    </row>
    <row r="29">
      <c r="A29" s="17" t="n">
        <v>24</v>
      </c>
      <c r="B29" s="15" t="inlineStr">
        <is>
          <t>P-002</t>
        </is>
      </c>
      <c r="C29" s="15" t="inlineStr">
        <is>
          <t>P-002</t>
        </is>
      </c>
      <c r="D29" s="15" t="inlineStr">
        <is>
          <t>-</t>
        </is>
      </c>
      <c r="E29" s="17" t="n">
        <v>1</v>
      </c>
      <c r="F29" s="15" t="inlineStr">
        <is>
          <t>Trocadores (casco e tubo)</t>
        </is>
      </c>
      <c r="G29" s="30" t="inlineStr">
        <is>
          <t>Trocador carga / produto de óleo básico MN</t>
        </is>
      </c>
      <c r="H29" s="15" t="inlineStr">
        <is>
          <t>Produtos de óleo básico</t>
        </is>
      </c>
      <c r="I29" s="15" t="inlineStr">
        <is>
          <t>Inglês</t>
        </is>
      </c>
    </row>
    <row r="30">
      <c r="A30" s="17" t="n">
        <v>25</v>
      </c>
      <c r="B30" s="15" t="inlineStr">
        <is>
          <t>P-003A/B</t>
        </is>
      </c>
      <c r="C30" s="15" t="inlineStr">
        <is>
          <t>P-003</t>
        </is>
      </c>
      <c r="D30" s="15" t="inlineStr">
        <is>
          <t>A/B</t>
        </is>
      </c>
      <c r="E30" s="17" t="n">
        <v>2</v>
      </c>
      <c r="F30" s="15" t="inlineStr">
        <is>
          <t>Trocadores (casco e tubo)</t>
        </is>
      </c>
      <c r="G30" s="30" t="inlineStr">
        <is>
          <t>Trocador carga / refluxo circulante de óleo básico LN</t>
        </is>
      </c>
      <c r="H30" s="15" t="inlineStr">
        <is>
          <t>Produtos de óleo básico</t>
        </is>
      </c>
      <c r="I30" s="15" t="inlineStr">
        <is>
          <t>Inglês</t>
        </is>
      </c>
    </row>
    <row r="31">
      <c r="A31" s="17" t="n">
        <v>26</v>
      </c>
      <c r="B31" s="15" t="inlineStr">
        <is>
          <t>P-004A/B/C</t>
        </is>
      </c>
      <c r="C31" s="15" t="inlineStr">
        <is>
          <t>P-004</t>
        </is>
      </c>
      <c r="D31" s="15" t="inlineStr">
        <is>
          <t>A/B/C</t>
        </is>
      </c>
      <c r="E31" s="17" t="n">
        <v>3</v>
      </c>
      <c r="F31" s="15" t="inlineStr">
        <is>
          <t>Trocadores (casco e tubo)</t>
        </is>
      </c>
      <c r="G31" s="30" t="inlineStr">
        <is>
          <t>Trocadores carga / efluente do reator de desparafinação</t>
        </is>
      </c>
      <c r="H31" s="15" t="inlineStr">
        <is>
          <t>Reação e circuito de hidrogênio</t>
        </is>
      </c>
      <c r="I31" s="15" t="inlineStr">
        <is>
          <t>Inglês</t>
        </is>
      </c>
    </row>
    <row r="32">
      <c r="A32" s="17" t="n">
        <v>27</v>
      </c>
      <c r="B32" s="15" t="inlineStr">
        <is>
          <t>P-005A/B</t>
        </is>
      </c>
      <c r="C32" s="15" t="inlineStr">
        <is>
          <t>P-005</t>
        </is>
      </c>
      <c r="D32" s="15" t="inlineStr">
        <is>
          <t>A/B</t>
        </is>
      </c>
      <c r="E32" s="17" t="n">
        <v>2</v>
      </c>
      <c r="F32" s="15" t="inlineStr">
        <is>
          <t>Trocadores (casco e tubo)</t>
        </is>
      </c>
      <c r="G32" s="30" t="inlineStr">
        <is>
          <t>Trocadores efluente do reator / líquido do separador frio de alta pressão</t>
        </is>
      </c>
      <c r="H32" s="15" t="inlineStr">
        <is>
          <t>Reação e circuito de hidrogênio</t>
        </is>
      </c>
      <c r="I32" s="15" t="inlineStr">
        <is>
          <t>Inglês</t>
        </is>
      </c>
    </row>
    <row r="33">
      <c r="A33" s="17" t="n">
        <v>28</v>
      </c>
      <c r="B33" s="15" t="inlineStr">
        <is>
          <t>P-006</t>
        </is>
      </c>
      <c r="C33" s="15" t="inlineStr">
        <is>
          <t>P-006</t>
        </is>
      </c>
      <c r="D33" s="15" t="inlineStr">
        <is>
          <t>-</t>
        </is>
      </c>
      <c r="E33" s="17" t="n">
        <v>1</v>
      </c>
      <c r="F33" s="15" t="inlineStr">
        <is>
          <t>Trocadores (casco e tubo)</t>
        </is>
      </c>
      <c r="G33" s="30" t="inlineStr">
        <is>
          <t>Trocador carga da retificadora / fundo da coluna de vácuo</t>
        </is>
      </c>
      <c r="H33" s="15" t="inlineStr">
        <is>
          <t>Fracionamento e sistema de vácuo</t>
        </is>
      </c>
      <c r="I33" s="15" t="inlineStr">
        <is>
          <t>Inglês</t>
        </is>
      </c>
    </row>
    <row r="34">
      <c r="A34" s="17" t="n">
        <v>29</v>
      </c>
      <c r="B34" s="15" t="inlineStr">
        <is>
          <t>P-007</t>
        </is>
      </c>
      <c r="C34" s="15" t="inlineStr">
        <is>
          <t>P-007</t>
        </is>
      </c>
      <c r="D34" s="15" t="inlineStr">
        <is>
          <t>-</t>
        </is>
      </c>
      <c r="E34" s="17" t="n">
        <v>1</v>
      </c>
      <c r="F34" s="15" t="inlineStr">
        <is>
          <t>Trocadores (casco e tubo)</t>
        </is>
      </c>
      <c r="G34" s="30" t="inlineStr">
        <is>
          <t>Resfriador de acabamento do topo da retificadora</t>
        </is>
      </c>
      <c r="H34" s="15" t="inlineStr">
        <is>
          <t>Fracionamento e sistema de vácuo</t>
        </is>
      </c>
      <c r="I34" s="15" t="inlineStr">
        <is>
          <t>Inglês</t>
        </is>
      </c>
    </row>
    <row r="35">
      <c r="A35" s="17" t="n">
        <v>30</v>
      </c>
      <c r="B35" s="15" t="inlineStr">
        <is>
          <t>P-008</t>
        </is>
      </c>
      <c r="C35" s="15" t="inlineStr">
        <is>
          <t>P-008</t>
        </is>
      </c>
      <c r="D35" s="15" t="inlineStr">
        <is>
          <t>-</t>
        </is>
      </c>
      <c r="E35" s="17" t="n">
        <v>1</v>
      </c>
      <c r="F35" s="15" t="inlineStr">
        <is>
          <t>Trocadores (casco e tubo)</t>
        </is>
      </c>
      <c r="G35" s="30" t="inlineStr">
        <is>
          <t>Resfriador de acabamento do produto diesel</t>
        </is>
      </c>
      <c r="H35" s="15" t="inlineStr">
        <is>
          <t>Diesel e produtos leves</t>
        </is>
      </c>
      <c r="I35" s="15" t="inlineStr">
        <is>
          <t>Inglês</t>
        </is>
      </c>
    </row>
    <row r="36">
      <c r="A36" s="17" t="n">
        <v>31</v>
      </c>
      <c r="B36" s="15" t="inlineStr">
        <is>
          <t>P-009</t>
        </is>
      </c>
      <c r="C36" s="15" t="inlineStr">
        <is>
          <t>P-009</t>
        </is>
      </c>
      <c r="D36" s="15" t="inlineStr">
        <is>
          <t>-</t>
        </is>
      </c>
      <c r="E36" s="17" t="n">
        <v>1</v>
      </c>
      <c r="F36" s="15" t="inlineStr">
        <is>
          <t>Trocadores (casco e tubo)</t>
        </is>
      </c>
      <c r="G36" s="30" t="inlineStr">
        <is>
          <t>Gerador de vapor do refluxo circulante de óleo básico LN</t>
        </is>
      </c>
      <c r="H36" s="15" t="inlineStr">
        <is>
          <t>Produtos de óleo básico</t>
        </is>
      </c>
      <c r="I36" s="15" t="inlineStr">
        <is>
          <t>Inglês</t>
        </is>
      </c>
    </row>
    <row r="37">
      <c r="A37" s="17" t="n">
        <v>32</v>
      </c>
      <c r="B37" s="15" t="inlineStr">
        <is>
          <t>P-010</t>
        </is>
      </c>
      <c r="C37" s="15" t="inlineStr">
        <is>
          <t>P-010</t>
        </is>
      </c>
      <c r="D37" s="15" t="inlineStr">
        <is>
          <t>-</t>
        </is>
      </c>
      <c r="E37" s="17" t="n">
        <v>1</v>
      </c>
      <c r="F37" s="15" t="inlineStr">
        <is>
          <t>Trocadores (casco e tubo)</t>
        </is>
      </c>
      <c r="G37" s="30" t="inlineStr">
        <is>
          <t>Gerador de vapor do fundo da coluna de vácuo</t>
        </is>
      </c>
      <c r="H37" s="15" t="inlineStr">
        <is>
          <t>Fracionamento e sistema de vácuo</t>
        </is>
      </c>
      <c r="I37" s="15" t="inlineStr">
        <is>
          <t>Inglês</t>
        </is>
      </c>
    </row>
    <row r="38">
      <c r="A38" s="17" t="n">
        <v>33</v>
      </c>
      <c r="B38" s="15" t="inlineStr">
        <is>
          <t>P-011A/B</t>
        </is>
      </c>
      <c r="C38" s="15" t="inlineStr">
        <is>
          <t>P-011</t>
        </is>
      </c>
      <c r="D38" s="15" t="inlineStr">
        <is>
          <t>A/B</t>
        </is>
      </c>
      <c r="E38" s="17" t="n">
        <v>2</v>
      </c>
      <c r="F38" s="15" t="inlineStr">
        <is>
          <t>Trocadores (casco e tubo)</t>
        </is>
      </c>
      <c r="G38" s="30" t="inlineStr">
        <is>
          <t>Interresfriador do 1º estágio de hidrogênio de reposição</t>
        </is>
      </c>
      <c r="H38" s="15" t="inlineStr">
        <is>
          <t>Reação e circuito de hidrogênio</t>
        </is>
      </c>
      <c r="I38" s="15" t="inlineStr">
        <is>
          <t>Inglês</t>
        </is>
      </c>
    </row>
    <row r="39">
      <c r="A39" s="17" t="n">
        <v>34</v>
      </c>
      <c r="B39" s="15" t="inlineStr">
        <is>
          <t>P-012A/B</t>
        </is>
      </c>
      <c r="C39" s="15" t="inlineStr">
        <is>
          <t>P-012</t>
        </is>
      </c>
      <c r="D39" s="15" t="inlineStr">
        <is>
          <t>A/B</t>
        </is>
      </c>
      <c r="E39" s="17" t="n">
        <v>2</v>
      </c>
      <c r="F39" s="15" t="inlineStr">
        <is>
          <t>Trocadores (casco e tubo)</t>
        </is>
      </c>
      <c r="G39" s="30" t="inlineStr">
        <is>
          <t>Interresfriador do 2º estágio de hidrogênio de reposição</t>
        </is>
      </c>
      <c r="H39" s="15" t="inlineStr">
        <is>
          <t>Reação e circuito de hidrogênio</t>
        </is>
      </c>
      <c r="I39" s="15" t="inlineStr">
        <is>
          <t>Inglês</t>
        </is>
      </c>
    </row>
    <row r="40">
      <c r="A40" s="17" t="n">
        <v>35</v>
      </c>
      <c r="B40" s="15" t="inlineStr">
        <is>
          <t>P-013</t>
        </is>
      </c>
      <c r="C40" s="15" t="inlineStr">
        <is>
          <t>P-013</t>
        </is>
      </c>
      <c r="D40" s="15" t="inlineStr">
        <is>
          <t>-</t>
        </is>
      </c>
      <c r="E40" s="17" t="n">
        <v>1</v>
      </c>
      <c r="F40" s="15" t="inlineStr">
        <is>
          <t>Trocadores (casco e tubo)</t>
        </is>
      </c>
      <c r="G40" s="15" t="inlineStr">
        <is>
          <t>Resfriador de spillback (recirculação)</t>
        </is>
      </c>
      <c r="H40" s="15" t="inlineStr">
        <is>
          <t>Reação e circuito de hidrogênio</t>
        </is>
      </c>
      <c r="I40" s="15" t="inlineStr">
        <is>
          <t>Inglês</t>
        </is>
      </c>
    </row>
    <row r="41">
      <c r="A41" s="17" t="n">
        <v>36</v>
      </c>
      <c r="B41" s="15" t="inlineStr">
        <is>
          <t>P-014</t>
        </is>
      </c>
      <c r="C41" s="15" t="inlineStr">
        <is>
          <t>P-014</t>
        </is>
      </c>
      <c r="D41" s="15" t="inlineStr">
        <is>
          <t>-</t>
        </is>
      </c>
      <c r="E41" s="17" t="n">
        <v>1</v>
      </c>
      <c r="F41" s="15" t="inlineStr">
        <is>
          <t>Trocadores (resfriadores a ar)</t>
        </is>
      </c>
      <c r="G41" s="15" t="inlineStr">
        <is>
          <t>Resfriador a ar do efluente do reator</t>
        </is>
      </c>
      <c r="H41" s="15" t="inlineStr">
        <is>
          <t>Reação e circuito de hidrogênio</t>
        </is>
      </c>
      <c r="I41" s="15" t="inlineStr">
        <is>
          <t>Inglês</t>
        </is>
      </c>
    </row>
    <row r="42">
      <c r="A42" s="17" t="n">
        <v>37</v>
      </c>
      <c r="B42" s="15" t="inlineStr">
        <is>
          <t>P-015</t>
        </is>
      </c>
      <c r="C42" s="15" t="inlineStr">
        <is>
          <t>P-015</t>
        </is>
      </c>
      <c r="D42" s="15" t="inlineStr">
        <is>
          <t>-</t>
        </is>
      </c>
      <c r="E42" s="17" t="n">
        <v>1</v>
      </c>
      <c r="F42" s="15" t="inlineStr">
        <is>
          <t>Trocadores (resfriadores a ar)</t>
        </is>
      </c>
      <c r="G42" s="15" t="inlineStr">
        <is>
          <t>Resfriador a ar do topo da retificadora</t>
        </is>
      </c>
      <c r="H42" s="15" t="inlineStr">
        <is>
          <t>Fracionamento e sistema de vácuo</t>
        </is>
      </c>
      <c r="I42" s="15" t="inlineStr">
        <is>
          <t>Inglês</t>
        </is>
      </c>
    </row>
    <row r="43">
      <c r="A43" s="17" t="n">
        <v>38</v>
      </c>
      <c r="B43" s="15" t="inlineStr">
        <is>
          <t>P-016</t>
        </is>
      </c>
      <c r="C43" s="15" t="inlineStr">
        <is>
          <t>P-016</t>
        </is>
      </c>
      <c r="D43" s="15" t="inlineStr">
        <is>
          <t>-</t>
        </is>
      </c>
      <c r="E43" s="17" t="n">
        <v>1</v>
      </c>
      <c r="F43" s="15" t="inlineStr">
        <is>
          <t>Trocadores (resfriadores a ar)</t>
        </is>
      </c>
      <c r="G43" s="15" t="inlineStr">
        <is>
          <t>Resfriador a ar do produto diesel</t>
        </is>
      </c>
      <c r="H43" s="15" t="inlineStr">
        <is>
          <t>Diesel e produtos leves</t>
        </is>
      </c>
      <c r="I43" s="15" t="inlineStr">
        <is>
          <t>Inglês</t>
        </is>
      </c>
    </row>
    <row r="44">
      <c r="A44" s="17" t="n">
        <v>39</v>
      </c>
      <c r="B44" s="15" t="inlineStr">
        <is>
          <t>P-017</t>
        </is>
      </c>
      <c r="C44" s="15" t="inlineStr">
        <is>
          <t>P-017</t>
        </is>
      </c>
      <c r="D44" s="15" t="inlineStr">
        <is>
          <t>-</t>
        </is>
      </c>
      <c r="E44" s="17" t="n">
        <v>1</v>
      </c>
      <c r="F44" s="15" t="inlineStr">
        <is>
          <t>Trocadores (resfriadores a ar)</t>
        </is>
      </c>
      <c r="G44" s="30" t="inlineStr">
        <is>
          <t>Resfriador a ar do produto óleo básico XLN</t>
        </is>
      </c>
      <c r="H44" s="15" t="inlineStr">
        <is>
          <t>Produtos de óleo básico</t>
        </is>
      </c>
      <c r="I44" s="15" t="inlineStr">
        <is>
          <t>Inglês</t>
        </is>
      </c>
    </row>
    <row r="45">
      <c r="A45" s="17" t="n">
        <v>40</v>
      </c>
      <c r="B45" s="15" t="inlineStr">
        <is>
          <t>P-018</t>
        </is>
      </c>
      <c r="C45" s="15" t="inlineStr">
        <is>
          <t>P-018</t>
        </is>
      </c>
      <c r="D45" s="15" t="inlineStr">
        <is>
          <t>-</t>
        </is>
      </c>
      <c r="E45" s="17" t="n">
        <v>1</v>
      </c>
      <c r="F45" s="15" t="inlineStr">
        <is>
          <t>Trocadores (resfriadores a ar)</t>
        </is>
      </c>
      <c r="G45" s="30" t="inlineStr">
        <is>
          <t>Resfriador a ar do produto óleo básico LN</t>
        </is>
      </c>
      <c r="H45" s="15" t="inlineStr">
        <is>
          <t>Produtos de óleo básico</t>
        </is>
      </c>
      <c r="I45" s="15" t="inlineStr">
        <is>
          <t>Inglês</t>
        </is>
      </c>
    </row>
    <row r="46">
      <c r="A46" s="17" t="n">
        <v>41</v>
      </c>
      <c r="B46" s="15" t="inlineStr">
        <is>
          <t>P-019</t>
        </is>
      </c>
      <c r="C46" s="15" t="inlineStr">
        <is>
          <t>P-019</t>
        </is>
      </c>
      <c r="D46" s="15" t="inlineStr">
        <is>
          <t>-</t>
        </is>
      </c>
      <c r="E46" s="17" t="n">
        <v>1</v>
      </c>
      <c r="F46" s="15" t="inlineStr">
        <is>
          <t>Trocadores (resfriadores a ar)</t>
        </is>
      </c>
      <c r="G46" s="30" t="inlineStr">
        <is>
          <t>Resfriador a ar do produto óleo básico MN</t>
        </is>
      </c>
      <c r="H46" s="15" t="inlineStr">
        <is>
          <t>Produtos de óleo básico</t>
        </is>
      </c>
      <c r="I46" s="15" t="inlineStr">
        <is>
          <t>Inglês</t>
        </is>
      </c>
    </row>
    <row r="47">
      <c r="A47" s="17" t="n">
        <v>42</v>
      </c>
      <c r="B47" s="15" t="inlineStr">
        <is>
          <t>P-020</t>
        </is>
      </c>
      <c r="C47" s="15" t="inlineStr">
        <is>
          <t>P-020</t>
        </is>
      </c>
      <c r="D47" s="15" t="inlineStr">
        <is>
          <t>-</t>
        </is>
      </c>
      <c r="E47" s="17" t="n">
        <v>1</v>
      </c>
      <c r="F47" s="15" t="inlineStr">
        <is>
          <t>Trocadores (resfriadores a ar)</t>
        </is>
      </c>
      <c r="G47" s="30" t="inlineStr">
        <is>
          <t>Resfriador a ar do produto óleo básico HN</t>
        </is>
      </c>
      <c r="H47" s="15" t="inlineStr">
        <is>
          <t>Produtos de óleo básico</t>
        </is>
      </c>
      <c r="I47" s="15" t="inlineStr">
        <is>
          <t>Inglês</t>
        </is>
      </c>
    </row>
    <row r="48">
      <c r="A48" s="17" t="n">
        <v>43</v>
      </c>
      <c r="B48" s="15" t="inlineStr">
        <is>
          <t>C-001A/B</t>
        </is>
      </c>
      <c r="C48" s="15" t="inlineStr">
        <is>
          <t>C-001</t>
        </is>
      </c>
      <c r="D48" s="15" t="inlineStr">
        <is>
          <t>A/B</t>
        </is>
      </c>
      <c r="E48" s="17" t="n">
        <v>2</v>
      </c>
      <c r="F48" s="15" t="inlineStr">
        <is>
          <t>Compressores</t>
        </is>
      </c>
      <c r="G48" s="15" t="inlineStr">
        <is>
          <t>Compressores de gás de reciclo</t>
        </is>
      </c>
      <c r="H48" s="15" t="inlineStr">
        <is>
          <t>Reação e circuito de hidrogênio</t>
        </is>
      </c>
      <c r="I48" s="15" t="inlineStr">
        <is>
          <t>Inglês</t>
        </is>
      </c>
    </row>
    <row r="49">
      <c r="A49" s="17" t="n">
        <v>44</v>
      </c>
      <c r="B49" s="15" t="inlineStr">
        <is>
          <t>C-002A/B</t>
        </is>
      </c>
      <c r="C49" s="15" t="inlineStr">
        <is>
          <t>C-002</t>
        </is>
      </c>
      <c r="D49" s="15" t="inlineStr">
        <is>
          <t>A/B</t>
        </is>
      </c>
      <c r="E49" s="17" t="n">
        <v>2</v>
      </c>
      <c r="F49" s="15" t="inlineStr">
        <is>
          <t>Compressores</t>
        </is>
      </c>
      <c r="G49" s="15" t="inlineStr">
        <is>
          <t>Compressores de hidrogênio de reposição</t>
        </is>
      </c>
      <c r="H49" s="15" t="inlineStr">
        <is>
          <t>Reação e circuito de hidrogênio</t>
        </is>
      </c>
      <c r="I49" s="15" t="inlineStr">
        <is>
          <t>Inglês</t>
        </is>
      </c>
    </row>
    <row r="50">
      <c r="A50" s="17" t="n">
        <v>45</v>
      </c>
      <c r="B50" s="15" t="inlineStr">
        <is>
          <t>B-001A/B</t>
        </is>
      </c>
      <c r="C50" s="15" t="inlineStr">
        <is>
          <t>B-001</t>
        </is>
      </c>
      <c r="D50" s="15" t="inlineStr">
        <is>
          <t>A/B</t>
        </is>
      </c>
      <c r="E50" s="17" t="n">
        <v>2</v>
      </c>
      <c r="F50" s="15" t="inlineStr">
        <is>
          <t>Bombas</t>
        </is>
      </c>
      <c r="G50" s="15" t="inlineStr">
        <is>
          <t>Bombas de carga do reator</t>
        </is>
      </c>
      <c r="H50" s="15" t="inlineStr">
        <is>
          <t>Reação e circuito de hidrogênio</t>
        </is>
      </c>
      <c r="I50" s="15" t="inlineStr">
        <is>
          <t>Inglês</t>
        </is>
      </c>
    </row>
    <row r="51">
      <c r="A51" s="17" t="n">
        <v>46</v>
      </c>
      <c r="B51" s="15" t="inlineStr">
        <is>
          <t>B-002A/B</t>
        </is>
      </c>
      <c r="C51" s="15" t="inlineStr">
        <is>
          <t>B-002</t>
        </is>
      </c>
      <c r="D51" s="15" t="inlineStr">
        <is>
          <t>A/B</t>
        </is>
      </c>
      <c r="E51" s="17" t="n">
        <v>2</v>
      </c>
      <c r="F51" s="15" t="inlineStr">
        <is>
          <t>Bombas</t>
        </is>
      </c>
      <c r="G51" s="15" t="inlineStr">
        <is>
          <t>Bombas de água de injeção</t>
        </is>
      </c>
      <c r="H51" s="15" t="inlineStr">
        <is>
          <t>Água e efluentes</t>
        </is>
      </c>
      <c r="I51" s="15" t="inlineStr">
        <is>
          <t>Inglês</t>
        </is>
      </c>
    </row>
    <row r="52">
      <c r="A52" s="17" t="n">
        <v>47</v>
      </c>
      <c r="B52" s="15" t="inlineStr">
        <is>
          <t>B-003A/B</t>
        </is>
      </c>
      <c r="C52" s="15" t="inlineStr">
        <is>
          <t>B-003</t>
        </is>
      </c>
      <c r="D52" s="15" t="inlineStr">
        <is>
          <t>A/B</t>
        </is>
      </c>
      <c r="E52" s="17" t="n">
        <v>2</v>
      </c>
      <c r="F52" s="15" t="inlineStr">
        <is>
          <t>Bombas</t>
        </is>
      </c>
      <c r="G52" s="15" t="inlineStr">
        <is>
          <t>Bombas do desgaseificador de água ácida</t>
        </is>
      </c>
      <c r="H52" s="15" t="inlineStr">
        <is>
          <t>Água e efluentes</t>
        </is>
      </c>
      <c r="I52" s="15" t="inlineStr">
        <is>
          <t>Inglês</t>
        </is>
      </c>
    </row>
    <row r="53">
      <c r="A53" s="17" t="n">
        <v>48</v>
      </c>
      <c r="B53" s="15" t="inlineStr">
        <is>
          <t>B-005A/B</t>
        </is>
      </c>
      <c r="C53" s="15" t="inlineStr">
        <is>
          <t>B-005</t>
        </is>
      </c>
      <c r="D53" s="15" t="inlineStr">
        <is>
          <t>A/B</t>
        </is>
      </c>
      <c r="E53" s="17" t="n">
        <v>2</v>
      </c>
      <c r="F53" s="15" t="inlineStr">
        <is>
          <t>Bombas</t>
        </is>
      </c>
      <c r="G53" s="30" t="inlineStr">
        <is>
          <t>Bombas de líquido do topo da retificadora</t>
        </is>
      </c>
      <c r="H53" s="15" t="inlineStr">
        <is>
          <t>Fracionamento e sistema de vácuo</t>
        </is>
      </c>
      <c r="I53" s="15" t="inlineStr">
        <is>
          <t>Inglês</t>
        </is>
      </c>
    </row>
    <row r="54">
      <c r="A54" s="17" t="n">
        <v>49</v>
      </c>
      <c r="B54" s="15" t="inlineStr">
        <is>
          <t>B-006A/B</t>
        </is>
      </c>
      <c r="C54" s="15" t="inlineStr">
        <is>
          <t>B-006</t>
        </is>
      </c>
      <c r="D54" s="15" t="inlineStr">
        <is>
          <t>A/B</t>
        </is>
      </c>
      <c r="E54" s="17" t="n">
        <v>2</v>
      </c>
      <c r="F54" s="15" t="inlineStr">
        <is>
          <t>Bombas</t>
        </is>
      </c>
      <c r="G54" s="15" t="inlineStr">
        <is>
          <t>Bombas de diesel</t>
        </is>
      </c>
      <c r="H54" s="15" t="inlineStr">
        <is>
          <t>Diesel e produtos leves</t>
        </is>
      </c>
      <c r="I54" s="15" t="inlineStr">
        <is>
          <t>Inglês</t>
        </is>
      </c>
    </row>
    <row r="55">
      <c r="A55" s="17" t="n">
        <v>50</v>
      </c>
      <c r="B55" s="15" t="inlineStr">
        <is>
          <t>B-007A/B</t>
        </is>
      </c>
      <c r="C55" s="15" t="inlineStr">
        <is>
          <t>B-007</t>
        </is>
      </c>
      <c r="D55" s="15" t="inlineStr">
        <is>
          <t>A/B</t>
        </is>
      </c>
      <c r="E55" s="17" t="n">
        <v>2</v>
      </c>
      <c r="F55" s="15" t="inlineStr">
        <is>
          <t>Bombas</t>
        </is>
      </c>
      <c r="G55" s="15" t="inlineStr">
        <is>
          <t>Bombas de retorno de óleo básico XLN</t>
        </is>
      </c>
      <c r="H55" s="15" t="inlineStr">
        <is>
          <t>Produtos de óleo básico</t>
        </is>
      </c>
      <c r="I55" s="15" t="inlineStr">
        <is>
          <t>Inglês</t>
        </is>
      </c>
    </row>
    <row r="56">
      <c r="A56" s="17" t="n">
        <v>51</v>
      </c>
      <c r="B56" s="15" t="inlineStr">
        <is>
          <t>B-008A/B</t>
        </is>
      </c>
      <c r="C56" s="15" t="inlineStr">
        <is>
          <t>B-008</t>
        </is>
      </c>
      <c r="D56" s="15" t="inlineStr">
        <is>
          <t>A/B</t>
        </is>
      </c>
      <c r="E56" s="17" t="n">
        <v>2</v>
      </c>
      <c r="F56" s="15" t="inlineStr">
        <is>
          <t>Bombas</t>
        </is>
      </c>
      <c r="G56" s="15" t="inlineStr">
        <is>
          <t>Bombas de produto de óleo básico XLN</t>
        </is>
      </c>
      <c r="H56" s="15" t="inlineStr">
        <is>
          <t>Produtos de óleo básico</t>
        </is>
      </c>
      <c r="I56" s="15" t="inlineStr">
        <is>
          <t>Inglês</t>
        </is>
      </c>
    </row>
    <row r="57">
      <c r="A57" s="17" t="n">
        <v>52</v>
      </c>
      <c r="B57" s="15" t="inlineStr">
        <is>
          <t>B-009A/B</t>
        </is>
      </c>
      <c r="C57" s="15" t="inlineStr">
        <is>
          <t>B-009</t>
        </is>
      </c>
      <c r="D57" s="15" t="inlineStr">
        <is>
          <t>A/B</t>
        </is>
      </c>
      <c r="E57" s="17" t="n">
        <v>2</v>
      </c>
      <c r="F57" s="15" t="inlineStr">
        <is>
          <t>Bombas</t>
        </is>
      </c>
      <c r="G57" s="30" t="inlineStr">
        <is>
          <t>Bombas de refluxo circulante de óleo básico LN</t>
        </is>
      </c>
      <c r="H57" s="15" t="inlineStr">
        <is>
          <t>Produtos de óleo básico</t>
        </is>
      </c>
      <c r="I57" s="15" t="inlineStr">
        <is>
          <t>Inglês</t>
        </is>
      </c>
    </row>
    <row r="58">
      <c r="A58" s="17" t="n">
        <v>53</v>
      </c>
      <c r="B58" s="15" t="inlineStr">
        <is>
          <t>B-010A/B</t>
        </is>
      </c>
      <c r="C58" s="15" t="inlineStr">
        <is>
          <t>B-010</t>
        </is>
      </c>
      <c r="D58" s="15" t="inlineStr">
        <is>
          <t>A/B</t>
        </is>
      </c>
      <c r="E58" s="17" t="n">
        <v>2</v>
      </c>
      <c r="F58" s="15" t="inlineStr">
        <is>
          <t>Bombas</t>
        </is>
      </c>
      <c r="G58" s="15" t="inlineStr">
        <is>
          <t>Bombas de produto de óleo básico LN</t>
        </is>
      </c>
      <c r="H58" s="15" t="inlineStr">
        <is>
          <t>Produtos de óleo básico</t>
        </is>
      </c>
      <c r="I58" s="15" t="inlineStr">
        <is>
          <t>Inglês</t>
        </is>
      </c>
    </row>
    <row r="59">
      <c r="A59" s="17" t="n">
        <v>54</v>
      </c>
      <c r="B59" s="15" t="inlineStr">
        <is>
          <t>B-011A/B</t>
        </is>
      </c>
      <c r="C59" s="15" t="inlineStr">
        <is>
          <t>B-011</t>
        </is>
      </c>
      <c r="D59" s="15" t="inlineStr">
        <is>
          <t>A/B</t>
        </is>
      </c>
      <c r="E59" s="17" t="n">
        <v>2</v>
      </c>
      <c r="F59" s="15" t="inlineStr">
        <is>
          <t>Bombas</t>
        </is>
      </c>
      <c r="G59" s="15" t="inlineStr">
        <is>
          <t>Bombas de retorno de óleo básico MN</t>
        </is>
      </c>
      <c r="H59" s="15" t="inlineStr">
        <is>
          <t>Produtos de óleo básico</t>
        </is>
      </c>
      <c r="I59" s="15" t="inlineStr">
        <is>
          <t>Inglês</t>
        </is>
      </c>
    </row>
    <row r="60">
      <c r="A60" s="17" t="n">
        <v>55</v>
      </c>
      <c r="B60" s="15" t="inlineStr">
        <is>
          <t>B-012A/B</t>
        </is>
      </c>
      <c r="C60" s="15" t="inlineStr">
        <is>
          <t>B-012</t>
        </is>
      </c>
      <c r="D60" s="15" t="inlineStr">
        <is>
          <t>A/B</t>
        </is>
      </c>
      <c r="E60" s="17" t="n">
        <v>2</v>
      </c>
      <c r="F60" s="15" t="inlineStr">
        <is>
          <t>Bombas</t>
        </is>
      </c>
      <c r="G60" s="15" t="inlineStr">
        <is>
          <t>Bombas de produto de óleo básico MN</t>
        </is>
      </c>
      <c r="H60" s="15" t="inlineStr">
        <is>
          <t>Produtos de óleo básico</t>
        </is>
      </c>
      <c r="I60" s="15" t="inlineStr">
        <is>
          <t>Inglês</t>
        </is>
      </c>
    </row>
    <row r="61">
      <c r="A61" s="17" t="n">
        <v>56</v>
      </c>
      <c r="B61" s="15" t="inlineStr">
        <is>
          <t>B-013A/B</t>
        </is>
      </c>
      <c r="C61" s="15" t="inlineStr">
        <is>
          <t>B-013</t>
        </is>
      </c>
      <c r="D61" s="15" t="inlineStr">
        <is>
          <t>A/B</t>
        </is>
      </c>
      <c r="E61" s="17" t="n">
        <v>2</v>
      </c>
      <c r="F61" s="15" t="inlineStr">
        <is>
          <t>Bombas</t>
        </is>
      </c>
      <c r="G61" s="15" t="inlineStr">
        <is>
          <t>Bombas de fundo da coluna de vácuo</t>
        </is>
      </c>
      <c r="H61" s="15" t="inlineStr">
        <is>
          <t>Fracionamento e sistema de vácuo</t>
        </is>
      </c>
      <c r="I61" s="15" t="inlineStr">
        <is>
          <t>Inglês</t>
        </is>
      </c>
    </row>
    <row r="62">
      <c r="A62" s="17" t="n">
        <v>57</v>
      </c>
      <c r="B62" s="15" t="inlineStr">
        <is>
          <t>B-014A/B</t>
        </is>
      </c>
      <c r="C62" s="15" t="inlineStr">
        <is>
          <t>B-014</t>
        </is>
      </c>
      <c r="D62" s="15" t="inlineStr">
        <is>
          <t>A/B</t>
        </is>
      </c>
      <c r="E62" s="17" t="n">
        <v>2</v>
      </c>
      <c r="F62" s="15" t="inlineStr">
        <is>
          <t>Bombas</t>
        </is>
      </c>
      <c r="G62" s="30" t="inlineStr">
        <is>
          <t>Bombas de óleo residual da coluna de vácuo (Y-001)</t>
        </is>
      </c>
      <c r="H62" s="15" t="inlineStr">
        <is>
          <t>Fracionamento e sistema de vácuo</t>
        </is>
      </c>
      <c r="I62" s="15" t="inlineStr">
        <is>
          <t>Inglês</t>
        </is>
      </c>
    </row>
    <row r="63">
      <c r="A63" s="17" t="n">
        <v>58</v>
      </c>
      <c r="B63" s="15" t="inlineStr">
        <is>
          <t>B-015A/B</t>
        </is>
      </c>
      <c r="C63" s="15" t="inlineStr">
        <is>
          <t>B-015</t>
        </is>
      </c>
      <c r="D63" s="15" t="inlineStr">
        <is>
          <t>A/B</t>
        </is>
      </c>
      <c r="E63" s="17" t="n">
        <v>2</v>
      </c>
      <c r="F63" s="15" t="inlineStr">
        <is>
          <t>Bombas</t>
        </is>
      </c>
      <c r="G63" s="30" t="inlineStr">
        <is>
          <t>Bombas de água ácida da coluna de vácuo (Y-001)</t>
        </is>
      </c>
      <c r="H63" s="15" t="inlineStr">
        <is>
          <t>Fracionamento e sistema de vácuo</t>
        </is>
      </c>
      <c r="I63" s="15" t="inlineStr">
        <is>
          <t>Inglês</t>
        </is>
      </c>
    </row>
    <row r="64">
      <c r="A64" s="17" t="n">
        <v>59</v>
      </c>
      <c r="B64" s="15" t="inlineStr">
        <is>
          <t>B-016A/B</t>
        </is>
      </c>
      <c r="C64" s="15" t="inlineStr">
        <is>
          <t>B-016</t>
        </is>
      </c>
      <c r="D64" s="15" t="inlineStr">
        <is>
          <t>A/B</t>
        </is>
      </c>
      <c r="E64" s="17" t="n">
        <v>2</v>
      </c>
      <c r="F64" s="15" t="inlineStr">
        <is>
          <t>Bombas</t>
        </is>
      </c>
      <c r="G64" s="15" t="inlineStr">
        <is>
          <t>Bombas do vaso de blowdown</t>
        </is>
      </c>
      <c r="H64" s="15" t="inlineStr">
        <is>
          <t>Utilidades e sistemas de segurança</t>
        </is>
      </c>
      <c r="I64" s="15" t="inlineStr">
        <is>
          <t>Português (como impresso)</t>
        </is>
      </c>
    </row>
    <row r="65">
      <c r="A65" s="17" t="n">
        <v>60</v>
      </c>
      <c r="B65" s="15" t="inlineStr">
        <is>
          <t>B-017A/B</t>
        </is>
      </c>
      <c r="C65" s="15" t="inlineStr">
        <is>
          <t>B-017</t>
        </is>
      </c>
      <c r="D65" s="15" t="inlineStr">
        <is>
          <t>A/B</t>
        </is>
      </c>
      <c r="E65" s="17" t="n">
        <v>2</v>
      </c>
      <c r="F65" s="15" t="inlineStr">
        <is>
          <t>Bombas</t>
        </is>
      </c>
      <c r="G65" s="15" t="inlineStr">
        <is>
          <t>Bombas de pump-out</t>
        </is>
      </c>
      <c r="H65" s="15" t="inlineStr">
        <is>
          <t>Utilidades e sistemas de segurança</t>
        </is>
      </c>
      <c r="I65" s="15" t="inlineStr">
        <is>
          <t>Português (como impresso)</t>
        </is>
      </c>
    </row>
    <row r="66">
      <c r="A66" s="17" t="n">
        <v>61</v>
      </c>
      <c r="B66" s="15" t="inlineStr">
        <is>
          <t>B-018A/B</t>
        </is>
      </c>
      <c r="C66" s="15" t="inlineStr">
        <is>
          <t>B-018</t>
        </is>
      </c>
      <c r="D66" s="15" t="inlineStr">
        <is>
          <t>A/B</t>
        </is>
      </c>
      <c r="E66" s="17" t="n">
        <v>2</v>
      </c>
      <c r="F66" s="15" t="inlineStr">
        <is>
          <t>Bombas</t>
        </is>
      </c>
      <c r="G66" s="15" t="inlineStr">
        <is>
          <t>Bombas de condensado</t>
        </is>
      </c>
      <c r="H66" s="15" t="inlineStr">
        <is>
          <t>Utilidades e sistemas de segurança</t>
        </is>
      </c>
      <c r="I66" s="15" t="inlineStr">
        <is>
          <t>Português (como impresso)</t>
        </is>
      </c>
    </row>
    <row r="67">
      <c r="A67" s="17" t="n">
        <v>62</v>
      </c>
      <c r="B67" s="15" t="inlineStr">
        <is>
          <t>F-001</t>
        </is>
      </c>
      <c r="C67" s="15" t="inlineStr">
        <is>
          <t>F-001</t>
        </is>
      </c>
      <c r="D67" s="15" t="inlineStr">
        <is>
          <t>-</t>
        </is>
      </c>
      <c r="E67" s="17" t="n">
        <v>1</v>
      </c>
      <c r="F67" s="15" t="inlineStr">
        <is>
          <t>Fornos</t>
        </is>
      </c>
      <c r="G67" s="15" t="inlineStr">
        <is>
          <t>Forno de carga do reator</t>
        </is>
      </c>
      <c r="H67" s="15" t="inlineStr">
        <is>
          <t>Reação e circuito de hidrogênio</t>
        </is>
      </c>
      <c r="I67" s="15" t="inlineStr">
        <is>
          <t>Inglês</t>
        </is>
      </c>
    </row>
    <row r="68">
      <c r="A68" s="17" t="n">
        <v>63</v>
      </c>
      <c r="B68" s="15" t="inlineStr">
        <is>
          <t>F-002</t>
        </is>
      </c>
      <c r="C68" s="15" t="inlineStr">
        <is>
          <t>F-002</t>
        </is>
      </c>
      <c r="D68" s="15" t="inlineStr">
        <is>
          <t>-</t>
        </is>
      </c>
      <c r="E68" s="17" t="n">
        <v>1</v>
      </c>
      <c r="F68" s="15" t="inlineStr">
        <is>
          <t>Fornos</t>
        </is>
      </c>
      <c r="G68" s="15" t="inlineStr">
        <is>
          <t>Forno de carga da coluna de vácuo</t>
        </is>
      </c>
      <c r="H68" s="15" t="inlineStr">
        <is>
          <t>Fracionamento e sistema de vácuo</t>
        </is>
      </c>
      <c r="I68" s="15" t="inlineStr">
        <is>
          <t>Inglês</t>
        </is>
      </c>
    </row>
    <row r="69">
      <c r="A69" s="17" t="n">
        <v>64</v>
      </c>
      <c r="B69" s="15" t="inlineStr">
        <is>
          <t>FT-001A/B</t>
        </is>
      </c>
      <c r="C69" s="15" t="inlineStr">
        <is>
          <t>FT-001</t>
        </is>
      </c>
      <c r="D69" s="15" t="inlineStr">
        <is>
          <t>A/B</t>
        </is>
      </c>
      <c r="E69" s="17" t="n">
        <v>2</v>
      </c>
      <c r="F69" s="15" t="inlineStr">
        <is>
          <t>Diversos</t>
        </is>
      </c>
      <c r="G69" s="15" t="inlineStr">
        <is>
          <t>Filtro de carga</t>
        </is>
      </c>
      <c r="H69" s="15" t="inlineStr">
        <is>
          <t>Reação e circuito de hidrogênio</t>
        </is>
      </c>
      <c r="I69" s="15" t="inlineStr">
        <is>
          <t>Inglês</t>
        </is>
      </c>
    </row>
    <row r="70">
      <c r="A70" s="17" t="n">
        <v>65</v>
      </c>
      <c r="B70" s="15" t="inlineStr">
        <is>
          <t>Y-001</t>
        </is>
      </c>
      <c r="C70" s="15" t="inlineStr">
        <is>
          <t>Y-001</t>
        </is>
      </c>
      <c r="D70" s="15" t="inlineStr">
        <is>
          <t>-</t>
        </is>
      </c>
      <c r="E70" s="17" t="n">
        <v>1</v>
      </c>
      <c r="F70" s="15" t="inlineStr">
        <is>
          <t>Diversos</t>
        </is>
      </c>
      <c r="G70" s="15" t="inlineStr">
        <is>
          <t>Sistema de vácuo</t>
        </is>
      </c>
      <c r="H70" s="15" t="inlineStr">
        <is>
          <t>Fracionamento e sistema de vácuo</t>
        </is>
      </c>
      <c r="I70" s="15" t="inlineStr">
        <is>
          <t>Inglês</t>
        </is>
      </c>
    </row>
    <row r="71">
      <c r="A71" s="17" t="n">
        <v>66</v>
      </c>
      <c r="B71" s="15" t="inlineStr">
        <is>
          <t>Y-002</t>
        </is>
      </c>
      <c r="C71" s="15" t="inlineStr">
        <is>
          <t>Y-002</t>
        </is>
      </c>
      <c r="D71" s="15" t="inlineStr">
        <is>
          <t>-</t>
        </is>
      </c>
      <c r="E71" s="17" t="n">
        <v>1</v>
      </c>
      <c r="F71" s="15" t="inlineStr">
        <is>
          <t>Diversos</t>
        </is>
      </c>
      <c r="G71" s="15" t="inlineStr">
        <is>
          <t>Coalescedor de carga</t>
        </is>
      </c>
      <c r="H71" s="15" t="inlineStr">
        <is>
          <t>Reação e circuito de hidrogênio</t>
        </is>
      </c>
      <c r="I71" s="15" t="inlineStr">
        <is>
          <t>Inglês</t>
        </is>
      </c>
    </row>
    <row r="72">
      <c r="A72" s="31" t="inlineStr">
        <is>
          <t>TOTAL</t>
        </is>
      </c>
      <c r="B72" s="13" t="n"/>
      <c r="C72" s="31" t="n"/>
      <c r="D72" s="31" t="n"/>
      <c r="E72" s="20" t="n">
        <v>94</v>
      </c>
      <c r="F72" s="31" t="inlineStr">
        <is>
          <t>9 categorias</t>
        </is>
      </c>
      <c r="G72" s="31" t="n"/>
      <c r="H72" s="31" t="inlineStr">
        <is>
          <t>6 grupos</t>
        </is>
      </c>
      <c r="I72" s="31" t="n"/>
    </row>
  </sheetData>
  <mergeCells count="4">
    <mergeCell ref="A1:I1"/>
    <mergeCell ref="A72:B72"/>
    <mergeCell ref="A3:I3"/>
    <mergeCell ref="A2:I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1" customWidth="1" min="4" max="4"/>
    <col width="11" customWidth="1" min="5" max="5"/>
    <col width="86" customWidth="1" min="6" max="6"/>
  </cols>
  <sheetData>
    <row r="1" ht="36" customHeight="1">
      <c r="A1" s="1" t="inlineStr">
        <is>
          <t>RESUMO POR CATEGORIA DE EQUIPAMENTO</t>
        </is>
      </c>
    </row>
    <row r="2" ht="24" customHeight="1">
      <c r="A2" s="2" t="inlineStr">
        <is>
          <t>Fonte: prancha DE-5400.00-5700-190-TX3-102, Rev. 0 (03/08/2026) - LAY-OUT, UNIDADE U-5700 HIDW - ÁREAS. Unidade de Hidroisodesparafinação, Refino Boaventura. Escala 1/250, folha A0 (1189 × 841 mm).</t>
        </is>
      </c>
    </row>
    <row r="3" ht="18" customHeight="1">
      <c r="A3" s="29" t="inlineStr">
        <is>
          <t>Contagem de tags e de unidades por categoria, usando os títulos da legenda da prancha.</t>
        </is>
      </c>
    </row>
    <row r="5" ht="30" customHeight="1">
      <c r="A5" s="14" t="inlineStr">
        <is>
          <t>Categoria</t>
        </is>
      </c>
      <c r="B5" s="14" t="inlineStr">
        <is>
          <t>Título na legenda</t>
        </is>
      </c>
      <c r="C5" s="14" t="inlineStr">
        <is>
          <t>Tags</t>
        </is>
      </c>
      <c r="D5" s="14" t="inlineStr">
        <is>
          <t>Unidades</t>
        </is>
      </c>
      <c r="E5" s="14" t="inlineStr">
        <is>
          <t>% das unidades</t>
        </is>
      </c>
      <c r="F5" s="14" t="inlineStr">
        <is>
          <t>Tags do conjunto</t>
        </is>
      </c>
    </row>
    <row r="6">
      <c r="A6" s="15" t="inlineStr">
        <is>
          <t>Reatores</t>
        </is>
      </c>
      <c r="B6" s="15" t="inlineStr">
        <is>
          <t>REACTORS</t>
        </is>
      </c>
      <c r="C6" s="17" t="n">
        <v>2</v>
      </c>
      <c r="D6" s="17" t="n">
        <v>2</v>
      </c>
      <c r="E6" s="18" t="n">
        <v>0.02127659574468085</v>
      </c>
      <c r="F6" s="15" t="inlineStr">
        <is>
          <t>R-001, R-002</t>
        </is>
      </c>
    </row>
    <row r="7">
      <c r="A7" s="15" t="inlineStr">
        <is>
          <t>Vasos</t>
        </is>
      </c>
      <c r="B7" s="15" t="inlineStr">
        <is>
          <t>VESSELS</t>
        </is>
      </c>
      <c r="C7" s="17" t="n">
        <v>15</v>
      </c>
      <c r="D7" s="17" t="n">
        <v>17</v>
      </c>
      <c r="E7" s="18" t="n">
        <v>0.1808510638297872</v>
      </c>
      <c r="F7" s="30" t="inlineStr">
        <is>
          <t>V-001, V-002, V-003, V-004, V-005, V-006, V-007, V-008A/B, V-009A/B, V-010, V-011, V-012, V-013, V-014, V-015</t>
        </is>
      </c>
    </row>
    <row r="8">
      <c r="A8" s="15" t="inlineStr">
        <is>
          <t>Torres</t>
        </is>
      </c>
      <c r="B8" s="15" t="inlineStr">
        <is>
          <t>TOWER</t>
        </is>
      </c>
      <c r="C8" s="17" t="n">
        <v>5</v>
      </c>
      <c r="D8" s="17" t="n">
        <v>5</v>
      </c>
      <c r="E8" s="18" t="n">
        <v>0.05319148936170213</v>
      </c>
      <c r="F8" s="15" t="inlineStr">
        <is>
          <t>T-001, T-002, T-003, T-004, T-005</t>
        </is>
      </c>
    </row>
    <row r="9">
      <c r="A9" s="15" t="inlineStr">
        <is>
          <t>Trocadores (casco e tubo)</t>
        </is>
      </c>
      <c r="B9" s="15" t="inlineStr">
        <is>
          <t>EXCHANGERS S&amp;T</t>
        </is>
      </c>
      <c r="C9" s="17" t="n">
        <v>13</v>
      </c>
      <c r="D9" s="17" t="n">
        <v>19</v>
      </c>
      <c r="E9" s="18" t="n">
        <v>0.2021276595744681</v>
      </c>
      <c r="F9" s="30" t="inlineStr">
        <is>
          <t>P-001, P-002, P-003A/B, P-004A/B/C, P-005A/B, P-006, P-007, P-008, P-009, P-010, P-011A/B, P-012A/B, P-013</t>
        </is>
      </c>
    </row>
    <row r="10">
      <c r="A10" s="15" t="inlineStr">
        <is>
          <t>Trocadores (resfriadores a ar)</t>
        </is>
      </c>
      <c r="B10" s="15" t="inlineStr">
        <is>
          <t>EXCHANGER AC</t>
        </is>
      </c>
      <c r="C10" s="17" t="n">
        <v>7</v>
      </c>
      <c r="D10" s="17" t="n">
        <v>7</v>
      </c>
      <c r="E10" s="18" t="n">
        <v>0.07446808510638298</v>
      </c>
      <c r="F10" s="30" t="inlineStr">
        <is>
          <t>P-014, P-015, P-016, P-017, P-018, P-019, P-020</t>
        </is>
      </c>
    </row>
    <row r="11">
      <c r="A11" s="15" t="inlineStr">
        <is>
          <t>Compressores</t>
        </is>
      </c>
      <c r="B11" s="15" t="inlineStr">
        <is>
          <t>COMPRESSORS</t>
        </is>
      </c>
      <c r="C11" s="17" t="n">
        <v>2</v>
      </c>
      <c r="D11" s="17" t="n">
        <v>4</v>
      </c>
      <c r="E11" s="18" t="n">
        <v>0.0425531914893617</v>
      </c>
      <c r="F11" s="15" t="inlineStr">
        <is>
          <t>C-001A/B, C-002A/B</t>
        </is>
      </c>
    </row>
    <row r="12">
      <c r="A12" s="15" t="inlineStr">
        <is>
          <t>Bombas</t>
        </is>
      </c>
      <c r="B12" s="15" t="inlineStr">
        <is>
          <t>PUMPS</t>
        </is>
      </c>
      <c r="C12" s="17" t="n">
        <v>17</v>
      </c>
      <c r="D12" s="17" t="n">
        <v>34</v>
      </c>
      <c r="E12" s="18" t="n">
        <v>0.3617021276595745</v>
      </c>
      <c r="F12" s="30" t="inlineStr">
        <is>
          <t>B-001A/B, B-002A/B, B-003A/B, B-005A/B, B-006A/B, B-007A/B, B-008A/B, B-009A/B, B-010A/B, B-011A/B, B-012A/B, B-013A/B, B-014A/B, B-015A/B, B-016A/B, B-017A/B, B-018A/B</t>
        </is>
      </c>
    </row>
    <row r="13">
      <c r="A13" s="15" t="inlineStr">
        <is>
          <t>Fornos</t>
        </is>
      </c>
      <c r="B13" s="15" t="inlineStr">
        <is>
          <t>FURNACES</t>
        </is>
      </c>
      <c r="C13" s="17" t="n">
        <v>2</v>
      </c>
      <c r="D13" s="17" t="n">
        <v>2</v>
      </c>
      <c r="E13" s="18" t="n">
        <v>0.02127659574468085</v>
      </c>
      <c r="F13" s="15" t="inlineStr">
        <is>
          <t>F-001, F-002</t>
        </is>
      </c>
    </row>
    <row r="14">
      <c r="A14" s="15" t="inlineStr">
        <is>
          <t>Diversos</t>
        </is>
      </c>
      <c r="B14" s="15" t="inlineStr">
        <is>
          <t>MISCELLANEOUS</t>
        </is>
      </c>
      <c r="C14" s="17" t="n">
        <v>3</v>
      </c>
      <c r="D14" s="17" t="n">
        <v>4</v>
      </c>
      <c r="E14" s="18" t="n">
        <v>0.0425531914893617</v>
      </c>
      <c r="F14" s="15" t="inlineStr">
        <is>
          <t>FT-001A/B, Y-001, Y-002</t>
        </is>
      </c>
    </row>
    <row r="15">
      <c r="A15" s="31" t="inlineStr">
        <is>
          <t>TOTAL</t>
        </is>
      </c>
      <c r="B15" s="13" t="n"/>
      <c r="C15" s="20" t="n">
        <v>66</v>
      </c>
      <c r="D15" s="20" t="n">
        <v>94</v>
      </c>
      <c r="E15" s="21" t="n">
        <v>1</v>
      </c>
      <c r="F15" s="31" t="n"/>
    </row>
  </sheetData>
  <mergeCells count="4">
    <mergeCell ref="A3:F3"/>
    <mergeCell ref="A2:F2"/>
    <mergeCell ref="A1:F1"/>
    <mergeCell ref="A15:B15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96" customWidth="1" min="5" max="5"/>
  </cols>
  <sheetData>
    <row r="1" ht="36" customHeight="1">
      <c r="A1" s="1" t="inlineStr">
        <is>
          <t>GRUPOS DE PROCESSO</t>
        </is>
      </c>
    </row>
    <row r="2" ht="24" customHeight="1">
      <c r="A2" s="2" t="inlineStr">
        <is>
          <t>Fonte: prancha DE-5400.00-5700-190-TX3-102, Rev. 0 (03/08/2026) - LAY-OUT, UNIDADE U-5700 HIDW - ÁREAS. Unidade de Hidroisodesparafinação, Refino Boaventura. Escala 1/250, folha A0 (1189 × 841 mm).</t>
        </is>
      </c>
    </row>
    <row r="3" ht="26" customHeight="1">
      <c r="A3" s="29" t="inlineStr">
        <is>
          <t>Agrupamento por serviço de processo. Esta classificação é uma leitura NOSSA das descrições dos equipamentos - a prancha não agrupa os equipamentos dessa forma. É um apoio ao planejamento, não uma transcrição.</t>
        </is>
      </c>
    </row>
    <row r="5" ht="30" customHeight="1">
      <c r="A5" s="14" t="inlineStr">
        <is>
          <t>Grupo de processo</t>
        </is>
      </c>
      <c r="B5" s="14" t="inlineStr">
        <is>
          <t>Tags</t>
        </is>
      </c>
      <c r="C5" s="14" t="inlineStr">
        <is>
          <t>Unidades</t>
        </is>
      </c>
      <c r="D5" s="14" t="inlineStr">
        <is>
          <t>% das tags</t>
        </is>
      </c>
      <c r="E5" s="14" t="inlineStr">
        <is>
          <t>Tags do conjunto</t>
        </is>
      </c>
    </row>
    <row r="6">
      <c r="A6" s="15" t="inlineStr">
        <is>
          <t>Reação e circuito de hidrogênio</t>
        </is>
      </c>
      <c r="B6" s="17" t="n">
        <v>20</v>
      </c>
      <c r="C6" s="17" t="n">
        <v>31</v>
      </c>
      <c r="D6" s="18" t="n">
        <v>0.303030303030303</v>
      </c>
      <c r="E6" s="30" t="inlineStr">
        <is>
          <t>R-001, R-002, V-001, V-002, V-003, V-007, V-008A/B, V-009A/B, P-004A/B/C, P-005A/B, P-011A/B, P-012A/B, P-013, P-014, C-001A/B, C-002A/B, B-001A/B, F-001, FT-001A/B, Y-002</t>
        </is>
      </c>
    </row>
    <row r="7">
      <c r="A7" s="15" t="inlineStr">
        <is>
          <t>Fracionamento e sistema de vácuo</t>
        </is>
      </c>
      <c r="B7" s="17" t="n">
        <v>17</v>
      </c>
      <c r="C7" s="17" t="n">
        <v>21</v>
      </c>
      <c r="D7" s="18" t="n">
        <v>0.2575757575757576</v>
      </c>
      <c r="E7" s="30" t="inlineStr">
        <is>
          <t>V-006, V-010, T-001, T-002, T-003, T-004, T-005, P-006, P-007, P-010, P-015, B-005A/B, B-013A/B, B-014A/B, B-015A/B, F-002, Y-001</t>
        </is>
      </c>
    </row>
    <row r="8">
      <c r="A8" s="15" t="inlineStr">
        <is>
          <t>Produtos de óleo básico</t>
        </is>
      </c>
      <c r="B8" s="17" t="n">
        <v>14</v>
      </c>
      <c r="C8" s="17" t="n">
        <v>21</v>
      </c>
      <c r="D8" s="18" t="n">
        <v>0.2121212121212121</v>
      </c>
      <c r="E8" s="30" t="inlineStr">
        <is>
          <t>P-001, P-002, P-003A/B, P-009, P-017, P-018, P-019, P-020, B-007A/B, B-008A/B, B-009A/B, B-010A/B, B-011A/B, B-012A/B</t>
        </is>
      </c>
    </row>
    <row r="9">
      <c r="A9" s="15" t="inlineStr">
        <is>
          <t>Diesel e produtos leves</t>
        </is>
      </c>
      <c r="B9" s="17" t="n">
        <v>3</v>
      </c>
      <c r="C9" s="17" t="n">
        <v>4</v>
      </c>
      <c r="D9" s="18" t="n">
        <v>0.04545454545454546</v>
      </c>
      <c r="E9" s="15" t="inlineStr">
        <is>
          <t>P-008, P-016, B-006A/B</t>
        </is>
      </c>
    </row>
    <row r="10">
      <c r="A10" s="15" t="inlineStr">
        <is>
          <t>Água e efluentes</t>
        </is>
      </c>
      <c r="B10" s="17" t="n">
        <v>4</v>
      </c>
      <c r="C10" s="17" t="n">
        <v>6</v>
      </c>
      <c r="D10" s="18" t="n">
        <v>0.06060606060606061</v>
      </c>
      <c r="E10" s="15" t="inlineStr">
        <is>
          <t>V-004, V-005, B-002A/B, B-003A/B</t>
        </is>
      </c>
    </row>
    <row r="11">
      <c r="A11" s="15" t="inlineStr">
        <is>
          <t>Utilidades e sistemas de segurança</t>
        </is>
      </c>
      <c r="B11" s="17" t="n">
        <v>8</v>
      </c>
      <c r="C11" s="17" t="n">
        <v>11</v>
      </c>
      <c r="D11" s="18" t="n">
        <v>0.1212121212121212</v>
      </c>
      <c r="E11" s="30" t="inlineStr">
        <is>
          <t>V-011, V-012, V-013, V-014, V-015, B-016A/B, B-017A/B, B-018A/B</t>
        </is>
      </c>
    </row>
    <row r="12">
      <c r="A12" s="31" t="inlineStr">
        <is>
          <t>TOTAL</t>
        </is>
      </c>
      <c r="B12" s="20" t="n">
        <v>66</v>
      </c>
      <c r="C12" s="20" t="n">
        <v>94</v>
      </c>
      <c r="D12" s="21" t="n">
        <v>1</v>
      </c>
      <c r="E12" s="31" t="n"/>
    </row>
  </sheetData>
  <mergeCells count="3">
    <mergeCell ref="A2:E2"/>
    <mergeCell ref="A1:E1"/>
    <mergeCell ref="A3:E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4" customWidth="1" min="4" max="4"/>
    <col width="20" customWidth="1" min="5" max="5"/>
  </cols>
  <sheetData>
    <row r="1" ht="36" customHeight="1">
      <c r="A1" s="1" t="inlineStr">
        <is>
          <t>ELEVAÇÕES COTADAS NA PRANCHA</t>
        </is>
      </c>
    </row>
    <row r="2" ht="24" customHeight="1">
      <c r="A2" s="2" t="inlineStr">
        <is>
          <t>Fonte: prancha DE-5400.00-5700-190-TX3-102, Rev. 0 (03/08/2026) - LAY-OUT, UNIDADE U-5700 HIDW - ÁREAS. Unidade de Hidroisodesparafinação, Refino Boaventura. Escala 1/250, folha A0 (1189 × 841 mm).</t>
        </is>
      </c>
    </row>
    <row r="3" ht="26" customHeight="1">
      <c r="A3" s="29" t="inlineStr">
        <is>
          <t>Os 38 rótulos de elevação encontrados na prancha, reduzidos a 28 valores distintos. A prancha desenha os rótulos de equipamento em planta como arte vetorial, e não como texto, de modo que cada elevação NÃO pode ser associada automaticamente a uma tag - os valores são catalogados como níveis, sem atribuição a equipamento. A Nota 2 estabelece EL. 0,00 (PDMS) = EL. 26,140 acima do nível do mar (marégrafo de Imbituba, SC).</t>
        </is>
      </c>
    </row>
    <row r="5" ht="30" customHeight="1">
      <c r="A5" s="14" t="inlineStr">
        <is>
          <t>Nº</t>
        </is>
      </c>
      <c r="B5" s="14" t="inlineStr">
        <is>
          <t>Elevação
(m, PDMS)</t>
        </is>
      </c>
      <c r="C5" s="14" t="inlineStr">
        <is>
          <t>Elevação
(m, nível do mar)</t>
        </is>
      </c>
      <c r="D5" s="14" t="inlineStr">
        <is>
          <t>Rótulos na
prancha</t>
        </is>
      </c>
      <c r="E5" s="14" t="inlineStr">
        <is>
          <t>Acima do nível
mais baixo (m)</t>
        </is>
      </c>
    </row>
    <row r="6">
      <c r="A6" s="17" t="n">
        <v>1</v>
      </c>
      <c r="B6" s="32" t="n">
        <v>19.25</v>
      </c>
      <c r="C6" s="32" t="n">
        <v>45.39</v>
      </c>
      <c r="D6" s="17" t="n">
        <v>2</v>
      </c>
      <c r="E6" s="32" t="n">
        <v>0</v>
      </c>
    </row>
    <row r="7">
      <c r="A7" s="17" t="n">
        <v>2</v>
      </c>
      <c r="B7" s="32" t="n">
        <v>20.3</v>
      </c>
      <c r="C7" s="32" t="n">
        <v>46.44</v>
      </c>
      <c r="D7" s="17" t="n">
        <v>1</v>
      </c>
      <c r="E7" s="32" t="n">
        <v>1.05</v>
      </c>
    </row>
    <row r="8">
      <c r="A8" s="17" t="n">
        <v>3</v>
      </c>
      <c r="B8" s="32" t="n">
        <v>20.928</v>
      </c>
      <c r="C8" s="32" t="n">
        <v>47.068</v>
      </c>
      <c r="D8" s="17" t="n">
        <v>1</v>
      </c>
      <c r="E8" s="32" t="n">
        <v>1.678</v>
      </c>
    </row>
    <row r="9">
      <c r="A9" s="17" t="n">
        <v>4</v>
      </c>
      <c r="B9" s="32" t="n">
        <v>21.65</v>
      </c>
      <c r="C9" s="32" t="n">
        <v>47.79</v>
      </c>
      <c r="D9" s="17" t="n">
        <v>1</v>
      </c>
      <c r="E9" s="32" t="n">
        <v>2.4</v>
      </c>
    </row>
    <row r="10">
      <c r="A10" s="17" t="n">
        <v>5</v>
      </c>
      <c r="B10" s="32" t="n">
        <v>21.85</v>
      </c>
      <c r="C10" s="32" t="n">
        <v>47.99</v>
      </c>
      <c r="D10" s="17" t="n">
        <v>1</v>
      </c>
      <c r="E10" s="32" t="n">
        <v>2.6</v>
      </c>
    </row>
    <row r="11">
      <c r="A11" s="17" t="n">
        <v>6</v>
      </c>
      <c r="B11" s="32" t="n">
        <v>22.4</v>
      </c>
      <c r="C11" s="32" t="n">
        <v>48.54</v>
      </c>
      <c r="D11" s="17" t="n">
        <v>1</v>
      </c>
      <c r="E11" s="32" t="n">
        <v>3.15</v>
      </c>
    </row>
    <row r="12">
      <c r="A12" s="17" t="n">
        <v>7</v>
      </c>
      <c r="B12" s="32" t="n">
        <v>23.83</v>
      </c>
      <c r="C12" s="32" t="n">
        <v>49.97</v>
      </c>
      <c r="D12" s="17" t="n">
        <v>1</v>
      </c>
      <c r="E12" s="32" t="n">
        <v>4.58</v>
      </c>
    </row>
    <row r="13">
      <c r="A13" s="17" t="n">
        <v>8</v>
      </c>
      <c r="B13" s="32" t="n">
        <v>24.65</v>
      </c>
      <c r="C13" s="32" t="n">
        <v>50.79</v>
      </c>
      <c r="D13" s="17" t="n">
        <v>1</v>
      </c>
      <c r="E13" s="32" t="n">
        <v>5.4</v>
      </c>
    </row>
    <row r="14">
      <c r="A14" s="17" t="n">
        <v>9</v>
      </c>
      <c r="B14" s="32" t="n">
        <v>24.75</v>
      </c>
      <c r="C14" s="32" t="n">
        <v>50.89</v>
      </c>
      <c r="D14" s="17" t="n">
        <v>1</v>
      </c>
      <c r="E14" s="32" t="n">
        <v>5.5</v>
      </c>
    </row>
    <row r="15">
      <c r="A15" s="17" t="n">
        <v>10</v>
      </c>
      <c r="B15" s="32" t="n">
        <v>25.35</v>
      </c>
      <c r="C15" s="32" t="n">
        <v>51.49</v>
      </c>
      <c r="D15" s="17" t="n">
        <v>1</v>
      </c>
      <c r="E15" s="32" t="n">
        <v>6.1</v>
      </c>
    </row>
    <row r="16">
      <c r="A16" s="17" t="n">
        <v>11</v>
      </c>
      <c r="B16" s="32" t="n">
        <v>25.915</v>
      </c>
      <c r="C16" s="32" t="n">
        <v>52.055</v>
      </c>
      <c r="D16" s="17" t="n">
        <v>1</v>
      </c>
      <c r="E16" s="32" t="n">
        <v>6.665</v>
      </c>
    </row>
    <row r="17">
      <c r="A17" s="17" t="n">
        <v>12</v>
      </c>
      <c r="B17" s="32" t="n">
        <v>29.065</v>
      </c>
      <c r="C17" s="32" t="n">
        <v>55.205</v>
      </c>
      <c r="D17" s="17" t="n">
        <v>1</v>
      </c>
      <c r="E17" s="32" t="n">
        <v>9.815</v>
      </c>
    </row>
    <row r="18">
      <c r="A18" s="17" t="n">
        <v>13</v>
      </c>
      <c r="B18" s="32" t="n">
        <v>29.47</v>
      </c>
      <c r="C18" s="32" t="n">
        <v>55.61</v>
      </c>
      <c r="D18" s="17" t="n">
        <v>1</v>
      </c>
      <c r="E18" s="32" t="n">
        <v>10.22</v>
      </c>
    </row>
    <row r="19">
      <c r="A19" s="17" t="n">
        <v>14</v>
      </c>
      <c r="B19" s="32" t="n">
        <v>29.92</v>
      </c>
      <c r="C19" s="32" t="n">
        <v>56.06</v>
      </c>
      <c r="D19" s="17" t="n">
        <v>1</v>
      </c>
      <c r="E19" s="32" t="n">
        <v>10.67</v>
      </c>
    </row>
    <row r="20">
      <c r="A20" s="17" t="n">
        <v>15</v>
      </c>
      <c r="B20" s="32" t="n">
        <v>30.41</v>
      </c>
      <c r="C20" s="32" t="n">
        <v>56.55</v>
      </c>
      <c r="D20" s="17" t="n">
        <v>1</v>
      </c>
      <c r="E20" s="32" t="n">
        <v>11.16</v>
      </c>
    </row>
    <row r="21">
      <c r="A21" s="17" t="n">
        <v>16</v>
      </c>
      <c r="B21" s="32" t="n">
        <v>30.51</v>
      </c>
      <c r="C21" s="32" t="n">
        <v>56.65000000000001</v>
      </c>
      <c r="D21" s="17" t="n">
        <v>2</v>
      </c>
      <c r="E21" s="32" t="n">
        <v>11.26</v>
      </c>
    </row>
    <row r="22">
      <c r="A22" s="17" t="n">
        <v>17</v>
      </c>
      <c r="B22" s="32" t="n">
        <v>30.91</v>
      </c>
      <c r="C22" s="32" t="n">
        <v>57.05</v>
      </c>
      <c r="D22" s="17" t="n">
        <v>1</v>
      </c>
      <c r="E22" s="32" t="n">
        <v>11.66</v>
      </c>
    </row>
    <row r="23">
      <c r="A23" s="17" t="n">
        <v>18</v>
      </c>
      <c r="B23" s="32" t="n">
        <v>31.89</v>
      </c>
      <c r="C23" s="32" t="n">
        <v>58.03</v>
      </c>
      <c r="D23" s="17" t="n">
        <v>1</v>
      </c>
      <c r="E23" s="32" t="n">
        <v>12.64</v>
      </c>
    </row>
    <row r="24">
      <c r="A24" s="17" t="n">
        <v>19</v>
      </c>
      <c r="B24" s="32" t="n">
        <v>33.155</v>
      </c>
      <c r="C24" s="32" t="n">
        <v>59.295</v>
      </c>
      <c r="D24" s="17" t="n">
        <v>4</v>
      </c>
      <c r="E24" s="32" t="n">
        <v>13.905</v>
      </c>
    </row>
    <row r="25">
      <c r="A25" s="17" t="n">
        <v>20</v>
      </c>
      <c r="B25" s="32" t="n">
        <v>35.59</v>
      </c>
      <c r="C25" s="32" t="n">
        <v>61.73</v>
      </c>
      <c r="D25" s="17" t="n">
        <v>1</v>
      </c>
      <c r="E25" s="32" t="n">
        <v>16.34</v>
      </c>
    </row>
    <row r="26">
      <c r="A26" s="17" t="n">
        <v>21</v>
      </c>
      <c r="B26" s="32" t="n">
        <v>36.45</v>
      </c>
      <c r="C26" s="32" t="n">
        <v>62.59</v>
      </c>
      <c r="D26" s="17" t="n">
        <v>6</v>
      </c>
      <c r="E26" s="32" t="n">
        <v>17.2</v>
      </c>
    </row>
    <row r="27">
      <c r="A27" s="17" t="n">
        <v>22</v>
      </c>
      <c r="B27" s="32" t="n">
        <v>37.31</v>
      </c>
      <c r="C27" s="32" t="n">
        <v>63.45</v>
      </c>
      <c r="D27" s="17" t="n">
        <v>1</v>
      </c>
      <c r="E27" s="32" t="n">
        <v>18.06</v>
      </c>
    </row>
    <row r="28">
      <c r="A28" s="17" t="n">
        <v>23</v>
      </c>
      <c r="B28" s="32" t="n">
        <v>37.79</v>
      </c>
      <c r="C28" s="32" t="n">
        <v>63.93</v>
      </c>
      <c r="D28" s="17" t="n">
        <v>1</v>
      </c>
      <c r="E28" s="32" t="n">
        <v>18.54</v>
      </c>
    </row>
    <row r="29">
      <c r="A29" s="17" t="n">
        <v>24</v>
      </c>
      <c r="B29" s="32" t="n">
        <v>38.15</v>
      </c>
      <c r="C29" s="32" t="n">
        <v>64.28999999999999</v>
      </c>
      <c r="D29" s="17" t="n">
        <v>1</v>
      </c>
      <c r="E29" s="32" t="n">
        <v>18.9</v>
      </c>
    </row>
    <row r="30">
      <c r="A30" s="17" t="n">
        <v>25</v>
      </c>
      <c r="B30" s="32" t="n">
        <v>39.09</v>
      </c>
      <c r="C30" s="32" t="n">
        <v>65.23</v>
      </c>
      <c r="D30" s="17" t="n">
        <v>1</v>
      </c>
      <c r="E30" s="32" t="n">
        <v>19.84</v>
      </c>
    </row>
    <row r="31">
      <c r="A31" s="17" t="n">
        <v>26</v>
      </c>
      <c r="B31" s="32" t="n">
        <v>44.85</v>
      </c>
      <c r="C31" s="32" t="n">
        <v>70.99000000000001</v>
      </c>
      <c r="D31" s="17" t="n">
        <v>1</v>
      </c>
      <c r="E31" s="32" t="n">
        <v>25.6</v>
      </c>
    </row>
    <row r="32">
      <c r="A32" s="17" t="n">
        <v>27</v>
      </c>
      <c r="B32" s="32" t="n">
        <v>82.732</v>
      </c>
      <c r="C32" s="32" t="n">
        <v>108.872</v>
      </c>
      <c r="D32" s="17" t="n">
        <v>1</v>
      </c>
      <c r="E32" s="32" t="n">
        <v>63.482</v>
      </c>
    </row>
    <row r="33">
      <c r="A33" s="17" t="n">
        <v>28</v>
      </c>
      <c r="B33" s="32" t="n">
        <v>84.59</v>
      </c>
      <c r="C33" s="32" t="n">
        <v>110.73</v>
      </c>
      <c r="D33" s="17" t="n">
        <v>1</v>
      </c>
      <c r="E33" s="32" t="n">
        <v>65.34</v>
      </c>
    </row>
    <row r="34">
      <c r="A34" s="31" t="inlineStr">
        <is>
          <t>TOTAL</t>
        </is>
      </c>
      <c r="B34" s="13" t="n"/>
      <c r="C34" s="31" t="n"/>
      <c r="D34" s="31" t="n"/>
      <c r="E34" s="20" t="n">
        <v>38</v>
      </c>
      <c r="F34" s="33" t="n">
        <v>65.34</v>
      </c>
    </row>
  </sheetData>
  <mergeCells count="4">
    <mergeCell ref="A2:E2"/>
    <mergeCell ref="A1:E1"/>
    <mergeCell ref="A34:B34"/>
    <mergeCell ref="A3:E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8" customWidth="1" min="3" max="3"/>
    <col width="12" customWidth="1" min="4" max="4"/>
    <col width="58" customWidth="1" min="5" max="5"/>
  </cols>
  <sheetData>
    <row r="1" ht="36" customHeight="1">
      <c r="A1" s="1" t="inlineStr">
        <is>
          <t>ÁREAS, DIMENSÕES E COORDENADAS</t>
        </is>
      </c>
    </row>
    <row r="2" ht="24" customHeight="1">
      <c r="A2" s="2" t="inlineStr">
        <is>
          <t>Fonte: prancha DE-5400.00-5700-190-TX3-102, Rev. 0 (03/08/2026) - LAY-OUT, UNIDADE U-5700 HIDW - ÁREAS. Unidade de Hidroisodesparafinação, Refino Boaventura. Escala 1/250, folha A0 (1189 × 841 mm).</t>
        </is>
      </c>
    </row>
    <row r="3" ht="26" customHeight="1">
      <c r="A3" s="29" t="inlineStr">
        <is>
          <t>Valores lidos do QUADRO DE ÁREAS, das linhas de cota e dos rótulos de coordenada. As linhas marcadas como DERIVADO são cálculo próprio, apresentado como conferência.</t>
        </is>
      </c>
    </row>
    <row r="5" ht="30" customHeight="1">
      <c r="A5" s="14" t="inlineStr">
        <is>
          <t>Grupo</t>
        </is>
      </c>
      <c r="B5" s="14" t="inlineStr">
        <is>
          <t>Item</t>
        </is>
      </c>
      <c r="C5" s="14" t="inlineStr">
        <is>
          <t>Valor</t>
        </is>
      </c>
      <c r="D5" s="14" t="inlineStr">
        <is>
          <t>Unidade</t>
        </is>
      </c>
      <c r="E5" s="14" t="inlineStr">
        <is>
          <t>Origem</t>
        </is>
      </c>
    </row>
    <row r="6">
      <c r="A6" s="15" t="inlineStr">
        <is>
          <t>Quadro de áreas</t>
        </is>
      </c>
      <c r="B6" s="15" t="inlineStr">
        <is>
          <t>Área total construída</t>
        </is>
      </c>
      <c r="C6" s="32" t="n">
        <v>10788</v>
      </c>
      <c r="D6" s="15" t="inlineStr">
        <is>
          <t>m²</t>
        </is>
      </c>
      <c r="E6" s="15" t="inlineStr">
        <is>
          <t>PRANCHA - quadro de áreas</t>
        </is>
      </c>
    </row>
    <row r="7">
      <c r="A7" s="15" t="inlineStr">
        <is>
          <t>Quadro de áreas</t>
        </is>
      </c>
      <c r="B7" s="15" t="inlineStr">
        <is>
          <t>Casa de compressores</t>
        </is>
      </c>
      <c r="C7" s="32" t="n">
        <v>1369</v>
      </c>
      <c r="D7" s="15" t="inlineStr">
        <is>
          <t>m²</t>
        </is>
      </c>
      <c r="E7" s="15" t="inlineStr">
        <is>
          <t>PRANCHA - área construída por edificação</t>
        </is>
      </c>
    </row>
    <row r="8">
      <c r="A8" s="15" t="inlineStr">
        <is>
          <t>Quadro de áreas</t>
        </is>
      </c>
      <c r="B8" s="30" t="inlineStr">
        <is>
          <t>Arranjo de equipamentos - hidroisodesparafinação</t>
        </is>
      </c>
      <c r="C8" s="32" t="n">
        <v>9419</v>
      </c>
      <c r="D8" s="15" t="inlineStr">
        <is>
          <t>m²</t>
        </is>
      </c>
      <c r="E8" s="15" t="inlineStr">
        <is>
          <t>PRANCHA - área construída por edificação</t>
        </is>
      </c>
    </row>
    <row r="9">
      <c r="A9" s="15" t="inlineStr">
        <is>
          <t>Cota</t>
        </is>
      </c>
      <c r="B9" s="15" t="inlineStr">
        <is>
          <t>Comprimento do lote (leste-oeste)</t>
        </is>
      </c>
      <c r="C9" s="32" t="n">
        <v>148.6</v>
      </c>
      <c r="D9" s="15" t="inlineStr">
        <is>
          <t>m</t>
        </is>
      </c>
      <c r="E9" s="15" t="inlineStr">
        <is>
          <t>PRANCHA - linha de cota</t>
        </is>
      </c>
    </row>
    <row r="10">
      <c r="A10" s="15" t="inlineStr">
        <is>
          <t>Cota</t>
        </is>
      </c>
      <c r="B10" s="15" t="inlineStr">
        <is>
          <t>Largura do lote (norte-sul)</t>
        </is>
      </c>
      <c r="C10" s="32" t="n">
        <v>72.59999999999999</v>
      </c>
      <c r="D10" s="15" t="inlineStr">
        <is>
          <t>m</t>
        </is>
      </c>
      <c r="E10" s="15" t="inlineStr">
        <is>
          <t>PRANCHA - linha de cota</t>
        </is>
      </c>
    </row>
    <row r="11">
      <c r="A11" s="15" t="inlineStr">
        <is>
          <t>Cota</t>
        </is>
      </c>
      <c r="B11" s="15" t="inlineStr">
        <is>
          <t>Comprimento da casa de compressores</t>
        </is>
      </c>
      <c r="C11" s="32" t="n">
        <v>74.93000000000001</v>
      </c>
      <c r="D11" s="15" t="inlineStr">
        <is>
          <t>m</t>
        </is>
      </c>
      <c r="E11" s="15" t="inlineStr">
        <is>
          <t>PRANCHA - linha de cota</t>
        </is>
      </c>
    </row>
    <row r="12">
      <c r="A12" s="15" t="inlineStr">
        <is>
          <t>Cota</t>
        </is>
      </c>
      <c r="B12" s="15" t="inlineStr">
        <is>
          <t>Largura da casa de compressores</t>
        </is>
      </c>
      <c r="C12" s="32" t="n">
        <v>18.27</v>
      </c>
      <c r="D12" s="15" t="inlineStr">
        <is>
          <t>m</t>
        </is>
      </c>
      <c r="E12" s="15" t="inlineStr">
        <is>
          <t>PRANCHA - linha de cota</t>
        </is>
      </c>
    </row>
    <row r="13">
      <c r="A13" s="15" t="inlineStr">
        <is>
          <t>Coordenadas (PDMS)</t>
        </is>
      </c>
      <c r="B13" s="15" t="inlineStr">
        <is>
          <t>Limite do lote - oeste (E)</t>
        </is>
      </c>
      <c r="C13" s="32" t="n">
        <v>4927840</v>
      </c>
      <c r="D13" s="15" t="inlineStr">
        <is>
          <t>mm</t>
        </is>
      </c>
      <c r="E13" s="15" t="inlineStr">
        <is>
          <t>PRANCHA - rótulo de coordenada</t>
        </is>
      </c>
    </row>
    <row r="14">
      <c r="A14" s="15" t="inlineStr">
        <is>
          <t>Coordenadas (PDMS)</t>
        </is>
      </c>
      <c r="B14" s="15" t="inlineStr">
        <is>
          <t>Limite do lote - leste (E)</t>
        </is>
      </c>
      <c r="C14" s="32" t="n">
        <v>5076440</v>
      </c>
      <c r="D14" s="15" t="inlineStr">
        <is>
          <t>mm</t>
        </is>
      </c>
      <c r="E14" s="15" t="inlineStr">
        <is>
          <t>PRANCHA - rótulo de coordenada</t>
        </is>
      </c>
    </row>
    <row r="15">
      <c r="A15" s="15" t="inlineStr">
        <is>
          <t>Coordenadas (PDMS)</t>
        </is>
      </c>
      <c r="B15" s="15" t="inlineStr">
        <is>
          <t>Limite do lote - sul (N)</t>
        </is>
      </c>
      <c r="C15" s="32" t="n">
        <v>3164900</v>
      </c>
      <c r="D15" s="15" t="inlineStr">
        <is>
          <t>mm</t>
        </is>
      </c>
      <c r="E15" s="15" t="inlineStr">
        <is>
          <t>PRANCHA - rótulo de coordenada</t>
        </is>
      </c>
    </row>
    <row r="16">
      <c r="A16" s="15" t="inlineStr">
        <is>
          <t>Coordenadas (PDMS)</t>
        </is>
      </c>
      <c r="B16" s="15" t="inlineStr">
        <is>
          <t>Limite do lote - norte (N)</t>
        </is>
      </c>
      <c r="C16" s="32" t="n">
        <v>3237500</v>
      </c>
      <c r="D16" s="15" t="inlineStr">
        <is>
          <t>mm</t>
        </is>
      </c>
      <c r="E16" s="15" t="inlineStr">
        <is>
          <t>PRANCHA - rótulo de coordenada</t>
        </is>
      </c>
    </row>
    <row r="17">
      <c r="A17" s="15" t="inlineStr">
        <is>
          <t>Coordenadas (PDMS)</t>
        </is>
      </c>
      <c r="B17" s="15" t="inlineStr">
        <is>
          <t>Limite do sítio - oeste (E)</t>
        </is>
      </c>
      <c r="C17" s="32" t="n">
        <v>4918040</v>
      </c>
      <c r="D17" s="15" t="inlineStr">
        <is>
          <t>mm</t>
        </is>
      </c>
      <c r="E17" s="30" t="inlineStr">
        <is>
          <t>PRANCHA - E=4918040 / E=719873474 (SIRGAS)</t>
        </is>
      </c>
    </row>
    <row r="18">
      <c r="A18" s="15" t="inlineStr">
        <is>
          <t>Coordenadas (PDMS)</t>
        </is>
      </c>
      <c r="B18" s="15" t="inlineStr">
        <is>
          <t>Avenida T - sul (N)</t>
        </is>
      </c>
      <c r="C18" s="32" t="n">
        <v>3139290</v>
      </c>
      <c r="D18" s="15" t="inlineStr">
        <is>
          <t>mm</t>
        </is>
      </c>
      <c r="E18" s="30" t="inlineStr">
        <is>
          <t>PRANCHA - N=3139290 / N=752034729 (SIRGAS)</t>
        </is>
      </c>
    </row>
    <row r="19">
      <c r="A19" s="15" t="inlineStr">
        <is>
          <t>Coordenadas (PDMS)</t>
        </is>
      </c>
      <c r="B19" s="15" t="inlineStr">
        <is>
          <t>Avenida S - norte (N)</t>
        </is>
      </c>
      <c r="C19" s="32" t="n">
        <v>3249290</v>
      </c>
      <c r="D19" s="15" t="inlineStr">
        <is>
          <t>mm</t>
        </is>
      </c>
      <c r="E19" s="30" t="inlineStr">
        <is>
          <t>PRANCHA - N=3249290 / N=752144729 (SIRGAS)</t>
        </is>
      </c>
    </row>
    <row r="20">
      <c r="A20" s="15" t="inlineStr">
        <is>
          <t>Referencial (Nota 2)</t>
        </is>
      </c>
      <c r="B20" s="15" t="inlineStr">
        <is>
          <t>E (PDMS) = 0 m corresponde a E (global)</t>
        </is>
      </c>
      <c r="C20" s="32" t="n">
        <v>714955.434</v>
      </c>
      <c r="D20" s="15" t="inlineStr">
        <is>
          <t>m</t>
        </is>
      </c>
      <c r="E20" s="15" t="inlineStr">
        <is>
          <t>PRANCHA - Nota 2</t>
        </is>
      </c>
    </row>
    <row r="21">
      <c r="A21" s="15" t="inlineStr">
        <is>
          <t>Referencial (Nota 2)</t>
        </is>
      </c>
      <c r="B21" s="15" t="inlineStr">
        <is>
          <t>N (PDMS) = 0 m corresponde a N (global)</t>
        </is>
      </c>
      <c r="C21" s="32" t="n">
        <v>7488954.39</v>
      </c>
      <c r="D21" s="15" t="inlineStr">
        <is>
          <t>m</t>
        </is>
      </c>
      <c r="E21" s="15" t="inlineStr">
        <is>
          <t>PRANCHA - Nota 2</t>
        </is>
      </c>
    </row>
    <row r="22">
      <c r="A22" s="15" t="inlineStr">
        <is>
          <t>Referencial (Nota 2)</t>
        </is>
      </c>
      <c r="B22" s="30" t="inlineStr">
        <is>
          <t>Elevação 0,00 (PDMS) acima do nível do mar</t>
        </is>
      </c>
      <c r="C22" s="32" t="n">
        <v>26.14</v>
      </c>
      <c r="D22" s="15" t="inlineStr">
        <is>
          <t>m</t>
        </is>
      </c>
      <c r="E22" s="30" t="inlineStr">
        <is>
          <t>PRANCHA - Nota 2, marégrafo de Imbituba, SC</t>
        </is>
      </c>
    </row>
    <row r="23">
      <c r="A23" s="15" t="inlineStr">
        <is>
          <t>DERIVADO</t>
        </is>
      </c>
      <c r="B23" s="15" t="inlineStr">
        <is>
          <t>Área do lote pelas linhas de cota</t>
        </is>
      </c>
      <c r="C23" s="32" t="n">
        <v>10788.36</v>
      </c>
      <c r="D23" s="15" t="inlineStr">
        <is>
          <t>m²</t>
        </is>
      </c>
      <c r="E23" s="30" t="inlineStr">
        <is>
          <t>DERIVADO - 148,60 × 72,60; confere com os 10.788 m² do quadro de áreas</t>
        </is>
      </c>
    </row>
    <row r="24">
      <c r="A24" s="15" t="inlineStr">
        <is>
          <t>DERIVADO</t>
        </is>
      </c>
      <c r="B24" s="15" t="inlineStr">
        <is>
          <t>Área da casa de compressores pelas cotas</t>
        </is>
      </c>
      <c r="C24" s="32" t="n">
        <v>1368.97</v>
      </c>
      <c r="D24" s="15" t="inlineStr">
        <is>
          <t>m²</t>
        </is>
      </c>
      <c r="E24" s="30" t="inlineStr">
        <is>
          <t>DERIVADO - 74,93 × 18,27; confere com os 1.369 m² do quadro de áreas</t>
        </is>
      </c>
    </row>
    <row r="25">
      <c r="A25" s="15" t="inlineStr">
        <is>
          <t>DERIVADO</t>
        </is>
      </c>
      <c r="B25" s="15" t="inlineStr">
        <is>
          <t>Comprimento do lote pelas coordenadas</t>
        </is>
      </c>
      <c r="C25" s="32" t="n">
        <v>148.6</v>
      </c>
      <c r="D25" s="15" t="inlineStr">
        <is>
          <t>m</t>
        </is>
      </c>
      <c r="E25" s="30" t="inlineStr">
        <is>
          <t>DERIVADO - (5076440 - 4927840) mm; confere com a cota de 148,60 m</t>
        </is>
      </c>
    </row>
    <row r="26">
      <c r="A26" s="15" t="inlineStr">
        <is>
          <t>DERIVADO</t>
        </is>
      </c>
      <c r="B26" s="15" t="inlineStr">
        <is>
          <t>Largura do lote pelas coordenadas</t>
        </is>
      </c>
      <c r="C26" s="32" t="n">
        <v>72.59999999999999</v>
      </c>
      <c r="D26" s="15" t="inlineStr">
        <is>
          <t>m</t>
        </is>
      </c>
      <c r="E26" s="30" t="inlineStr">
        <is>
          <t>DERIVADO - (3237500 - 3164900) mm; confere com a cota de 72,60 m</t>
        </is>
      </c>
    </row>
    <row r="27">
      <c r="A27" s="15" t="inlineStr">
        <is>
          <t>DERIVADO</t>
        </is>
      </c>
      <c r="B27" s="30" t="inlineStr">
        <is>
          <t>Área do arranjo (lote menos casa de compressores)</t>
        </is>
      </c>
      <c r="C27" s="32" t="n">
        <v>9419</v>
      </c>
      <c r="D27" s="15" t="inlineStr">
        <is>
          <t>m²</t>
        </is>
      </c>
      <c r="E27" s="30" t="inlineStr">
        <is>
          <t>DERIVADO - 10.788 - 1.369; confere com os 9.419 m² do quadro de áreas</t>
        </is>
      </c>
    </row>
    <row r="28">
      <c r="A28" s="15" t="inlineStr">
        <is>
          <t>DERIVADO</t>
        </is>
      </c>
      <c r="B28" s="15" t="inlineStr">
        <is>
          <t>Densidade construída</t>
        </is>
      </c>
      <c r="C28" s="32" t="n">
        <v>114.8</v>
      </c>
      <c r="D28" s="15" t="inlineStr">
        <is>
          <t>m²/unidade</t>
        </is>
      </c>
      <c r="E28" s="30" t="inlineStr">
        <is>
          <t>DERIVADO - área total construída dividida pelas 94 unidades físicas</t>
        </is>
      </c>
    </row>
  </sheetData>
  <mergeCells count="3">
    <mergeCell ref="A2:E2"/>
    <mergeCell ref="A1:E1"/>
    <mergeCell ref="A3:E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6" customWidth="1" min="3" max="3"/>
  </cols>
  <sheetData>
    <row r="1" ht="36" customHeight="1">
      <c r="A1" s="1" t="inlineStr">
        <is>
          <t>ENTORNO - VIAS, TUBOVIAS E ÁREAS RESERVADAS</t>
        </is>
      </c>
    </row>
    <row r="2" ht="24" customHeight="1">
      <c r="A2" s="2" t="inlineStr">
        <is>
          <t>Fonte: prancha DE-5400.00-5700-190-TX3-102, Rev. 0 (03/08/2026) - LAY-OUT, UNIDADE U-5700 HIDW - ÁREAS. Unidade de Hidroisodesparafinação, Refino Boaventura. Escala 1/250, folha A0 (1189 × 841 mm).</t>
        </is>
      </c>
    </row>
    <row r="3" ht="18" customHeight="1">
      <c r="A3" s="29" t="inlineStr">
        <is>
          <t>Ruas, avenidas, tubovias e áreas reservadas nomeadas na prancha.</t>
        </is>
      </c>
    </row>
    <row r="5" ht="30" customHeight="1">
      <c r="A5" s="14" t="inlineStr">
        <is>
          <t>Tipo</t>
        </is>
      </c>
      <c r="B5" s="14" t="inlineStr">
        <is>
          <t>Identificação</t>
        </is>
      </c>
      <c r="C5" s="14" t="inlineStr">
        <is>
          <t>Observação</t>
        </is>
      </c>
    </row>
    <row r="6">
      <c r="A6" s="15" t="inlineStr">
        <is>
          <t>Avenida</t>
        </is>
      </c>
      <c r="B6" s="15" t="inlineStr">
        <is>
          <t>Avenida S</t>
        </is>
      </c>
      <c r="C6" s="30" t="inlineStr">
        <is>
          <t>Limite norte do lote; carrega N=3249290 / N=752144729 (SIRGAS).</t>
        </is>
      </c>
    </row>
    <row r="7">
      <c r="A7" s="15" t="inlineStr">
        <is>
          <t>Avenida</t>
        </is>
      </c>
      <c r="B7" s="15" t="inlineStr">
        <is>
          <t>Avenida T</t>
        </is>
      </c>
      <c r="C7" s="30" t="inlineStr">
        <is>
          <t>Limite sul do lote; carrega N=3139290 / N=752034729 (SIRGAS).</t>
        </is>
      </c>
    </row>
    <row r="8">
      <c r="A8" s="15" t="inlineStr">
        <is>
          <t>Avenida</t>
        </is>
      </c>
      <c r="B8" s="15" t="inlineStr">
        <is>
          <t>Avenida R</t>
        </is>
      </c>
      <c r="C8" s="15" t="inlineStr">
        <is>
          <t>Nomeada na planta chave.</t>
        </is>
      </c>
    </row>
    <row r="9">
      <c r="A9" s="15" t="inlineStr">
        <is>
          <t>Avenida</t>
        </is>
      </c>
      <c r="B9" s="15" t="inlineStr">
        <is>
          <t>Avenida Q1</t>
        </is>
      </c>
      <c r="C9" s="30" t="inlineStr">
        <is>
          <t>Nomeada na planta chave, em quatro trechos distintos.</t>
        </is>
      </c>
    </row>
    <row r="10">
      <c r="A10" s="15" t="inlineStr">
        <is>
          <t>Avenida</t>
        </is>
      </c>
      <c r="B10" s="15" t="inlineStr">
        <is>
          <t>Avenida O</t>
        </is>
      </c>
      <c r="C10" s="15" t="inlineStr">
        <is>
          <t>Nomeada na planta chave.</t>
        </is>
      </c>
    </row>
    <row r="11">
      <c r="A11" s="15" t="inlineStr">
        <is>
          <t>Rua</t>
        </is>
      </c>
      <c r="B11" s="15" t="inlineStr">
        <is>
          <t>Rua 9A</t>
        </is>
      </c>
      <c r="C11" s="30" t="inlineStr">
        <is>
          <t>Corre pelo lado oeste do lote, junto à casa de compressores.</t>
        </is>
      </c>
    </row>
    <row r="12">
      <c r="A12" s="15" t="inlineStr">
        <is>
          <t>Rua</t>
        </is>
      </c>
      <c r="B12" s="30" t="inlineStr">
        <is>
          <t>Rua 03 / Rua 04A / Rua 07 / Rua 09 / Rua 09A</t>
        </is>
      </c>
      <c r="C12" s="15" t="inlineStr">
        <is>
          <t>Nomeadas na planta chave.</t>
        </is>
      </c>
    </row>
    <row r="13">
      <c r="A13" s="15" t="inlineStr">
        <is>
          <t>Rua</t>
        </is>
      </c>
      <c r="B13" s="30" t="inlineStr">
        <is>
          <t>Rua 21A / Rua 21B / Rua 23 / Rua 23A / Rua 23 - eixo 400</t>
        </is>
      </c>
      <c r="C13" s="15" t="inlineStr">
        <is>
          <t>Nomeadas na planta chave.</t>
        </is>
      </c>
    </row>
    <row r="14">
      <c r="A14" s="15" t="inlineStr">
        <is>
          <t>Tubovia</t>
        </is>
      </c>
      <c r="B14" s="15" t="inlineStr">
        <is>
          <t>Tubovia NS01 / NS02 / NS04 / NS05</t>
        </is>
      </c>
      <c r="C14" s="30" t="inlineStr">
        <is>
          <t>Tubovias norte-sul nomeadas na planta chave.</t>
        </is>
      </c>
    </row>
    <row r="15">
      <c r="A15" s="15" t="inlineStr">
        <is>
          <t>Tubovia</t>
        </is>
      </c>
      <c r="B15" s="15" t="inlineStr">
        <is>
          <t>Tubovia WE01</t>
        </is>
      </c>
      <c r="C15" s="30" t="inlineStr">
        <is>
          <t>Tubovia leste-oeste, em vários trechos na planta chave.</t>
        </is>
      </c>
    </row>
    <row r="16">
      <c r="A16" s="15" t="inlineStr">
        <is>
          <t>Subestação</t>
        </is>
      </c>
      <c r="B16" s="15" t="inlineStr">
        <is>
          <t>SE-5156 / SE-6311</t>
        </is>
      </c>
      <c r="C16" s="15" t="inlineStr">
        <is>
          <t>Subestações nomeadas na planta chave.</t>
        </is>
      </c>
    </row>
    <row r="17">
      <c r="A17" s="15" t="inlineStr">
        <is>
          <t>Área reservada</t>
        </is>
      </c>
      <c r="B17" s="15" t="inlineStr">
        <is>
          <t>Área para o skid de gás do F-001</t>
        </is>
      </c>
      <c r="C17" s="30" t="inlineStr">
        <is>
          <t>Área prevista para o skid de gás do forno de carga do reator.</t>
        </is>
      </c>
    </row>
    <row r="18">
      <c r="A18" s="15" t="inlineStr">
        <is>
          <t>Área reservada</t>
        </is>
      </c>
      <c r="B18" s="15" t="inlineStr">
        <is>
          <t>Área para o skid de gás do F-002</t>
        </is>
      </c>
      <c r="C18" s="30" t="inlineStr">
        <is>
          <t>Área prevista para o skid de gás do forno de carga da coluna de vácuo.</t>
        </is>
      </c>
    </row>
    <row r="19">
      <c r="A19" s="15" t="inlineStr">
        <is>
          <t>Área reservada</t>
        </is>
      </c>
      <c r="B19" s="30" t="inlineStr">
        <is>
          <t>Caixa de escada para manutenção da ponte rolante</t>
        </is>
      </c>
      <c r="C19" s="30" t="inlineStr">
        <is>
          <t>Área prevista para a caixa de escada que atende a manutenção da ponte rolante.</t>
        </is>
      </c>
    </row>
    <row r="20">
      <c r="A20" s="15" t="inlineStr">
        <is>
          <t>Área reservada</t>
        </is>
      </c>
      <c r="B20" s="15" t="inlineStr">
        <is>
          <t>Área de laydown dos condensadores</t>
        </is>
      </c>
      <c r="C20" s="30" t="inlineStr">
        <is>
          <t>Área de laydown destinada aos condensadores.</t>
        </is>
      </c>
    </row>
    <row r="21">
      <c r="A21" s="15" t="inlineStr">
        <is>
          <t>Edificação</t>
        </is>
      </c>
      <c r="B21" s="15" t="inlineStr">
        <is>
          <t>Casa de compressores</t>
        </is>
      </c>
      <c r="C21" s="30" t="inlineStr">
        <is>
          <t>1.369 m², 74,93 × 18,27 m, na extremidade oeste do lote.</t>
        </is>
      </c>
    </row>
    <row r="22">
      <c r="A22" s="15" t="inlineStr">
        <is>
          <t>Edificação</t>
        </is>
      </c>
      <c r="B22" s="30" t="inlineStr">
        <is>
          <t>Arranjo de equipamentos - hidroisodesparafinação</t>
        </is>
      </c>
      <c r="C22" s="30" t="inlineStr">
        <is>
          <t>9.419 m², a área de processo a céu aberto que ocupa o restante do lote.</t>
        </is>
      </c>
    </row>
    <row r="23">
      <c r="A23" s="15" t="inlineStr">
        <is>
          <t>Nível de referência</t>
        </is>
      </c>
      <c r="B23" s="15" t="inlineStr">
        <is>
          <t>+15,50 e +19,15</t>
        </is>
      </c>
      <c r="C23" s="15" t="inlineStr">
        <is>
          <t>Níveis anotados na planta chave.</t>
        </is>
      </c>
    </row>
    <row r="24">
      <c r="A24" s="15" t="inlineStr">
        <is>
          <t>Outros</t>
        </is>
      </c>
      <c r="B24" s="15" t="inlineStr">
        <is>
          <t>ULF / PLAT.</t>
        </is>
      </c>
      <c r="C24" s="30" t="inlineStr">
        <is>
          <t>Anotações junto às bombas de carga do reator B-001A/B.</t>
        </is>
      </c>
    </row>
    <row r="25">
      <c r="A25" s="15" t="inlineStr">
        <is>
          <t>Outros</t>
        </is>
      </c>
      <c r="B25" s="15" t="inlineStr">
        <is>
          <t>B06 / Canteiro (Área 2)</t>
        </is>
      </c>
      <c r="C25" s="30" t="inlineStr">
        <is>
          <t>Áreas de canteiro nomeadas na planta chave.</t>
        </is>
      </c>
    </row>
  </sheetData>
  <mergeCells count="3">
    <mergeCell ref="A1:C1"/>
    <mergeCell ref="A3:C3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6" customWidth="1" min="3" max="3"/>
  </cols>
  <sheetData>
    <row r="1" ht="36" customHeight="1">
      <c r="A1" s="1" t="inlineStr">
        <is>
          <t>DADOS DA PRANCHA, CARIMBO E NOTAS GERAIS</t>
        </is>
      </c>
    </row>
    <row r="2" ht="24" customHeight="1">
      <c r="A2" s="2" t="inlineStr">
        <is>
          <t>Fonte: prancha DE-5400.00-5700-190-TX3-102, Rev. 0 (03/08/2026) - LAY-OUT, UNIDADE U-5700 HIDW - ÁREAS. Unidade de Hidroisodesparafinação, Refino Boaventura. Escala 1/250, folha A0 (1189 × 841 mm).</t>
        </is>
      </c>
    </row>
    <row r="3" ht="18" customHeight="1">
      <c r="A3" s="29" t="inlineStr">
        <is>
          <t>Carimbo, notas gerais e documentos vinculados, transcritos da prancha.</t>
        </is>
      </c>
    </row>
    <row r="5" ht="30" customHeight="1">
      <c r="A5" s="14" t="inlineStr">
        <is>
          <t>Grupo</t>
        </is>
      </c>
      <c r="B5" s="14" t="inlineStr">
        <is>
          <t>Campo</t>
        </is>
      </c>
      <c r="C5" s="14" t="inlineStr">
        <is>
          <t>Conteúdo transcrito da prancha</t>
        </is>
      </c>
    </row>
    <row r="6">
      <c r="A6" s="15" t="inlineStr">
        <is>
          <t>Identificação</t>
        </is>
      </c>
      <c r="B6" s="15" t="inlineStr">
        <is>
          <t>Número do documento</t>
        </is>
      </c>
      <c r="C6" s="15" t="inlineStr">
        <is>
          <t>DE-5400.00-5700-190-TX3-102</t>
        </is>
      </c>
    </row>
    <row r="7">
      <c r="A7" s="15" t="inlineStr">
        <is>
          <t>Identificação</t>
        </is>
      </c>
      <c r="B7" s="15" t="inlineStr">
        <is>
          <t>Revisão</t>
        </is>
      </c>
      <c r="C7" s="30" t="inlineStr">
        <is>
          <t>0 - EMISSÃO ORIGINAL - PARA INFORMAÇÃO, 03/08/2026</t>
        </is>
      </c>
    </row>
    <row r="8">
      <c r="A8" s="15" t="inlineStr">
        <is>
          <t>Identificação</t>
        </is>
      </c>
      <c r="B8" s="15" t="inlineStr">
        <is>
          <t>Título</t>
        </is>
      </c>
      <c r="C8" s="15" t="inlineStr">
        <is>
          <t>LAY-OUT - UNIDADE U-5700 - HIDW / ÁREAS</t>
        </is>
      </c>
    </row>
    <row r="9">
      <c r="A9" s="15" t="inlineStr">
        <is>
          <t>Identificação</t>
        </is>
      </c>
      <c r="B9" s="15" t="inlineStr">
        <is>
          <t>Área</t>
        </is>
      </c>
      <c r="C9" s="15" t="inlineStr">
        <is>
          <t>Unidade de Hidroisodesparafinação U-5700</t>
        </is>
      </c>
    </row>
    <row r="10">
      <c r="A10" s="15" t="inlineStr">
        <is>
          <t>Identificação</t>
        </is>
      </c>
      <c r="B10" s="15" t="inlineStr">
        <is>
          <t>Programa / Cliente</t>
        </is>
      </c>
      <c r="C10" s="15" t="inlineStr">
        <is>
          <t>Refino Boaventura / TR - Boaventura</t>
        </is>
      </c>
    </row>
    <row r="11">
      <c r="A11" s="15" t="inlineStr">
        <is>
          <t>Identificação</t>
        </is>
      </c>
      <c r="B11" s="15" t="inlineStr">
        <is>
          <t>Proprietário do documento</t>
        </is>
      </c>
      <c r="C11" s="30" t="inlineStr">
        <is>
          <t>Petrobras - SRGE/SI-III (classificação INTERNA)</t>
        </is>
      </c>
    </row>
    <row r="12">
      <c r="A12" s="15" t="inlineStr">
        <is>
          <t>Identificação</t>
        </is>
      </c>
      <c r="B12" s="15" t="inlineStr">
        <is>
          <t>Razão social</t>
        </is>
      </c>
      <c r="C12" s="15" t="inlineStr">
        <is>
          <t>Consórcio TEM Boaventura</t>
        </is>
      </c>
    </row>
    <row r="13">
      <c r="A13" s="15" t="inlineStr">
        <is>
          <t>Identificação</t>
        </is>
      </c>
      <c r="B13" s="15" t="inlineStr">
        <is>
          <t>Número do contrato</t>
        </is>
      </c>
      <c r="C13" s="15" t="inlineStr">
        <is>
          <t>ICJ 5900.0131990.25.2</t>
        </is>
      </c>
    </row>
    <row r="14">
      <c r="A14" s="15" t="inlineStr">
        <is>
          <t>Identificação</t>
        </is>
      </c>
      <c r="B14" s="15" t="inlineStr">
        <is>
          <t>Responsável técnico</t>
        </is>
      </c>
      <c r="C14" s="15" t="inlineStr">
        <is>
          <t>Antenor de Castro - CREA 17974D-MG</t>
        </is>
      </c>
    </row>
    <row r="15">
      <c r="A15" s="15" t="inlineStr">
        <is>
          <t>Identificação</t>
        </is>
      </c>
      <c r="B15" s="15" t="inlineStr">
        <is>
          <t>Executou / Verificou / Aprovou</t>
        </is>
      </c>
      <c r="C15" s="30" t="inlineStr">
        <is>
          <t>Luciana Melo / Thiago Oliveira / Francisco Riggio</t>
        </is>
      </c>
    </row>
    <row r="16">
      <c r="A16" s="15" t="inlineStr">
        <is>
          <t>Identificação</t>
        </is>
      </c>
      <c r="B16" s="15" t="inlineStr">
        <is>
          <t>Folha, formato e escala</t>
        </is>
      </c>
      <c r="C16" s="30" t="inlineStr">
        <is>
          <t>01 de 01 - A0 (1189 × 841 mm) - escala 1/250</t>
        </is>
      </c>
    </row>
    <row r="17">
      <c r="A17" s="15" t="inlineStr">
        <is>
          <t>Nota 1</t>
        </is>
      </c>
      <c r="B17" s="15" t="inlineStr">
        <is>
          <t>Unidades</t>
        </is>
      </c>
      <c r="C17" s="30" t="inlineStr">
        <is>
          <t>Coordenadas em milímetros; dimensões e elevações em metros.</t>
        </is>
      </c>
    </row>
    <row r="18">
      <c r="A18" s="15" t="inlineStr">
        <is>
          <t>Nota 2</t>
        </is>
      </c>
      <c r="B18" s="15" t="inlineStr">
        <is>
          <t>Sistema de coordenadas</t>
        </is>
      </c>
      <c r="C18" s="30" t="inlineStr">
        <is>
          <t>Sistema PDMS, com a seguinte equivalência ao sistema geodésico brasileiro, datum horizontal SIRGAS 2000: E (PDMS) = 0 m corresponde a E (global) = 714.955,434 m; N (PDMS) = 0 m corresponde a N (global) = 7.488.954,390 m. Elevação 0,00 (PDMS) = EL. 26,140 acima do nível do mar - marégrafo de Imbituba, SC.</t>
        </is>
      </c>
    </row>
    <row r="19">
      <c r="A19" s="15" t="inlineStr">
        <is>
          <t>Documento de referência</t>
        </is>
      </c>
      <c r="B19" s="15" t="inlineStr">
        <is>
          <t>Arranjo de equipamentos</t>
        </is>
      </c>
      <c r="C19" s="30" t="inlineStr">
        <is>
          <t>DE-5400.00-5700-942-TX3-002 - Planta de arranjo de equipamentos - U-5700 - HIDW.</t>
        </is>
      </c>
    </row>
    <row r="20">
      <c r="A20" s="15" t="inlineStr">
        <is>
          <t>Elementos gráficos</t>
        </is>
      </c>
      <c r="B20" s="15" t="inlineStr">
        <is>
          <t>Escala gráfica</t>
        </is>
      </c>
      <c r="C20" s="15" t="inlineStr">
        <is>
          <t>Escala gráfica em metros, de -10 a 50 m.</t>
        </is>
      </c>
    </row>
    <row r="21">
      <c r="A21" s="15" t="inlineStr">
        <is>
          <t>Elementos gráficos</t>
        </is>
      </c>
      <c r="B21" s="15" t="inlineStr">
        <is>
          <t>Planta chave</t>
        </is>
      </c>
      <c r="C21" s="30" t="inlineStr">
        <is>
          <t>Planta chave com as áreas de intervenção destacadas.</t>
        </is>
      </c>
    </row>
    <row r="22">
      <c r="A22" s="15" t="inlineStr">
        <is>
          <t>Elementos gráficos</t>
        </is>
      </c>
      <c r="B22" s="15" t="inlineStr">
        <is>
          <t>Rosa dos ventos</t>
        </is>
      </c>
      <c r="C22" s="15" t="inlineStr">
        <is>
          <t>Indicações NV, VP1, VP2, NE, NP e E.</t>
        </is>
      </c>
    </row>
    <row r="23">
      <c r="A23" s="15" t="inlineStr">
        <is>
          <t>Escopo</t>
        </is>
      </c>
      <c r="B23" s="15" t="inlineStr">
        <is>
          <t>Natureza da prancha</t>
        </is>
      </c>
      <c r="C23" s="30" t="inlineStr">
        <is>
          <t>Trata-se de um lay-out / plot plan. Fixa posições, elevações e áreas. Não traz quantitativos de material, dimensões de equipamento nem listas de materiais.</t>
        </is>
      </c>
    </row>
  </sheetData>
  <mergeCells count="3">
    <mergeCell ref="A1:C1"/>
    <mergeCell ref="A3:C3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16" customWidth="1" min="4" max="4"/>
    <col width="12" customWidth="1" min="5" max="5"/>
    <col width="90" customWidth="1" min="6" max="6"/>
  </cols>
  <sheetData>
    <row r="1" ht="36" customHeight="1">
      <c r="A1" s="1" t="inlineStr">
        <is>
          <t>CONTROLES DE CONSISTÊNCIA</t>
        </is>
      </c>
    </row>
    <row r="2" ht="24" customHeight="1">
      <c r="A2" s="2" t="inlineStr">
        <is>
          <t>Fonte: prancha DE-5400.00-5700-190-TX3-102, Rev. 0 (03/08/2026) - LAY-OUT, UNIDADE U-5700 HIDW - ÁREAS. Unidade de Hidroisodesparafinação, Refino Boaventura. Escala 1/250, folha A0 (1189 × 841 mm).</t>
        </is>
      </c>
    </row>
    <row r="3" ht="26" customHeight="1">
      <c r="A3" s="29" t="inlineStr">
        <is>
          <t>Conferências entre o quadro de áreas, as linhas de cota e os rótulos de coordenada, além de observações editoriais sobre a legenda. Toda divergência está sinalizada.</t>
        </is>
      </c>
    </row>
    <row r="5" ht="30" customHeight="1">
      <c r="A5" s="14" t="inlineStr">
        <is>
          <t>Grupo</t>
        </is>
      </c>
      <c r="B5" s="14" t="inlineStr">
        <is>
          <t>Indicador</t>
        </is>
      </c>
      <c r="C5" s="14" t="inlineStr">
        <is>
          <t>Calculado</t>
        </is>
      </c>
      <c r="D5" s="14" t="inlineStr">
        <is>
          <t>Referência</t>
        </is>
      </c>
      <c r="E5" s="14" t="inlineStr">
        <is>
          <t>Desvio</t>
        </is>
      </c>
      <c r="F5" s="14" t="inlineStr">
        <is>
          <t>Critério / observação</t>
        </is>
      </c>
    </row>
    <row r="6">
      <c r="A6" s="15" t="inlineStr">
        <is>
          <t>Áreas</t>
        </is>
      </c>
      <c r="B6" s="15" t="inlineStr">
        <is>
          <t>Área do lote pelas cotas (m²)</t>
        </is>
      </c>
      <c r="C6" s="32" t="n">
        <v>10788.36</v>
      </c>
      <c r="D6" s="32" t="n">
        <v>10788</v>
      </c>
      <c r="E6" s="32" t="n">
        <v>0.36</v>
      </c>
      <c r="F6" s="30" t="inlineStr">
        <is>
          <t>148,60 × 72,60 = 10.788,36 m² contra os 10.788 m² impressos no quadro de áreas. Apenas arredondamento.</t>
        </is>
      </c>
    </row>
    <row r="7">
      <c r="A7" s="15" t="inlineStr">
        <is>
          <t>Áreas</t>
        </is>
      </c>
      <c r="B7" s="30" t="inlineStr">
        <is>
          <t>Área da casa de compressores pelas cotas (m²)</t>
        </is>
      </c>
      <c r="C7" s="32" t="n">
        <v>1368.97</v>
      </c>
      <c r="D7" s="32" t="n">
        <v>1369</v>
      </c>
      <c r="E7" s="32" t="n">
        <v>-0.03</v>
      </c>
      <c r="F7" s="30" t="inlineStr">
        <is>
          <t>74,93 × 18,27 = 1.368,97 m² contra os 1.369 m² impressos. Apenas arredondamento.</t>
        </is>
      </c>
    </row>
    <row r="8">
      <c r="A8" s="15" t="inlineStr">
        <is>
          <t>Áreas</t>
        </is>
      </c>
      <c r="B8" s="15" t="inlineStr">
        <is>
          <t>Soma das duas edificações (m²)</t>
        </is>
      </c>
      <c r="C8" s="32" t="n">
        <v>10788</v>
      </c>
      <c r="D8" s="32" t="n">
        <v>10788</v>
      </c>
      <c r="E8" s="32" t="n">
        <v>0</v>
      </c>
      <c r="F8" s="30" t="inlineStr">
        <is>
          <t>1.369 + 9.419 = 10.788 m², exatamente a área total construída. O quadro de áreas fecha em si mesmo.</t>
        </is>
      </c>
    </row>
    <row r="9">
      <c r="A9" s="15" t="inlineStr">
        <is>
          <t>Coordenadas</t>
        </is>
      </c>
      <c r="B9" s="30" t="inlineStr">
        <is>
          <t>Comprimento do lote pelas coordenadas (m)</t>
        </is>
      </c>
      <c r="C9" s="32" t="n">
        <v>148.6</v>
      </c>
      <c r="D9" s="32" t="n">
        <v>148.6</v>
      </c>
      <c r="E9" s="32" t="n">
        <v>0</v>
      </c>
      <c r="F9" s="30" t="inlineStr">
        <is>
          <t>(5076440 - 4927840) mm = 148,60 m, exatamente a linha de cota. Coordenadas e cotas conferem.</t>
        </is>
      </c>
    </row>
    <row r="10">
      <c r="A10" s="15" t="inlineStr">
        <is>
          <t>Coordenadas</t>
        </is>
      </c>
      <c r="B10" s="15" t="inlineStr">
        <is>
          <t>Largura do lote pelas coordenadas (m)</t>
        </is>
      </c>
      <c r="C10" s="32" t="n">
        <v>72.59999999999999</v>
      </c>
      <c r="D10" s="32" t="n">
        <v>72.59999999999999</v>
      </c>
      <c r="E10" s="32" t="n">
        <v>0</v>
      </c>
      <c r="F10" s="30" t="inlineStr">
        <is>
          <t>(3237500 - 3164900) mm = 72,60 m, exatamente a linha de cota.</t>
        </is>
      </c>
    </row>
    <row r="11">
      <c r="A11" s="15" t="inlineStr">
        <is>
          <t>Coordenadas</t>
        </is>
      </c>
      <c r="B11" s="15" t="inlineStr">
        <is>
          <t>Conversão SIRGAS no eixo E (mm)</t>
        </is>
      </c>
      <c r="C11" s="32" t="n">
        <v>719873474</v>
      </c>
      <c r="D11" s="32" t="n">
        <v>719873474</v>
      </c>
      <c r="E11" s="32" t="n">
        <v>0</v>
      </c>
      <c r="F11" s="30" t="inlineStr">
        <is>
          <t>E = 4918040 mm somado aos 714.955,434 m da Nota 2 resulta em 719873474 mm, exatamente o rótulo SIRGAS impresso na prancha. A conversão da coordenada leste está correta.</t>
        </is>
      </c>
    </row>
    <row r="12">
      <c r="A12" s="34" t="inlineStr">
        <is>
          <t>DIVERGÊNCIA</t>
        </is>
      </c>
      <c r="B12" s="34" t="inlineStr">
        <is>
          <t>Conversão SIRGAS no eixo N (mm)</t>
        </is>
      </c>
      <c r="C12" s="35" t="n">
        <v>7492093680</v>
      </c>
      <c r="D12" s="35" t="n">
        <v>752034729</v>
      </c>
      <c r="E12" s="35" t="n">
        <v>6740058951</v>
      </c>
      <c r="F12" s="36" t="inlineStr">
        <is>
          <t>A Nota 2 estabelece que N (PDMS) = 0 m corresponde a N (global) = 7.488.954,390 m, de modo que N = 3139290 mm deveria resultar em 7492093680 mm. A prancha imprime N = 752034729 mm, o que implica uma constante de 748.895,439 m - exatamente um décimo da que consta na Nota 2. O mesmo deslocamento aparece no rótulo da Avenida S. As coordenadas norte SIRGAS 2000 nesta região são da ordem de 7,49 milhões de metros, de forma que a Nota 2 é o valor consistente e os rótulos de N parecem ter perdido um dígito. CONFIRMAR COM O PROJETISTA.</t>
        </is>
      </c>
    </row>
    <row r="13">
      <c r="A13" s="15" t="inlineStr">
        <is>
          <t>Contagem</t>
        </is>
      </c>
      <c r="B13" s="15" t="inlineStr">
        <is>
          <t>Tags na legenda</t>
        </is>
      </c>
      <c r="C13" s="32" t="n">
        <v>66</v>
      </c>
      <c r="D13" s="32" t="n">
        <v>66</v>
      </c>
      <c r="E13" s="32" t="n">
        <v>0</v>
      </c>
      <c r="F13" s="30" t="inlineStr">
        <is>
          <t>66 tags distribuídas nos nove títulos da legenda: 2 reatores, 15 vasos, 5 torres, 13 trocadores casco e tubo, 7 resfriadores a ar, 2 compressores, 17 bombas, 2 fornos e 3 diversos.</t>
        </is>
      </c>
    </row>
    <row r="14">
      <c r="A14" s="15" t="inlineStr">
        <is>
          <t>Contagem</t>
        </is>
      </c>
      <c r="B14" s="30" t="inlineStr">
        <is>
          <t>Unidades físicas expandidas pelos sufixos</t>
        </is>
      </c>
      <c r="C14" s="32" t="n">
        <v>94</v>
      </c>
      <c r="D14" s="32" t="n">
        <v>94</v>
      </c>
      <c r="E14" s="32" t="n">
        <v>0</v>
      </c>
      <c r="F14" s="30" t="inlineStr">
        <is>
          <t>As 66 tags expandem para 94 unidades físicas: 34 bombas, 19 trocadores casco e tubo, 17 vasos, 7 resfriadores a ar, 5 torres, 4 compressores, 4 diversos, 2 reatores e 2 fornos.</t>
        </is>
      </c>
    </row>
    <row r="15">
      <c r="A15" s="34" t="inlineStr">
        <is>
          <t>DIVERGÊNCIA</t>
        </is>
      </c>
      <c r="B15" s="34" t="inlineStr">
        <is>
          <t>Salto na sequência de tags das bombas</t>
        </is>
      </c>
      <c r="C15" s="35" t="n">
        <v>17</v>
      </c>
      <c r="D15" s="35" t="n">
        <v>18</v>
      </c>
      <c r="E15" s="35" t="n">
        <v>-1</v>
      </c>
      <c r="F15" s="36" t="inlineStr">
        <is>
          <t>A lista de bombas vai de B-001 a B-003 e salta para B-005, seguindo até B-018. A tag B-004 não aparece em nenhum lugar da prancha. Ou foi excluída do projeto, ou está faltando nesta legenda. CONFIRMAR COM O PROJETISTA.</t>
        </is>
      </c>
    </row>
    <row r="16">
      <c r="A16" s="34" t="inlineStr">
        <is>
          <t>DIVERGÊNCIA</t>
        </is>
      </c>
      <c r="B16" s="34" t="inlineStr">
        <is>
          <t>V-013 e V-014 com a mesma descrição</t>
        </is>
      </c>
      <c r="C16" s="35" t="n">
        <v>2</v>
      </c>
      <c r="D16" s="35" t="n">
        <v>1</v>
      </c>
      <c r="E16" s="35" t="n">
        <v>1</v>
      </c>
      <c r="F16" s="36" t="inlineStr">
        <is>
          <t>As duas tags estão impressas como 'VASO DE BLOWDOWN DE CONDENSADO', sem nada que as distinga. Dois serviços idênticos são plausíveis, mas a redação não dá ao leitor como diferenciá-los. CONFIRMAR COM O PROJETISTA.</t>
        </is>
      </c>
    </row>
    <row r="17">
      <c r="A17" s="15" t="inlineStr">
        <is>
          <t>Redação da legenda</t>
        </is>
      </c>
      <c r="B17" s="15" t="inlineStr">
        <is>
          <t>Entradas impressas em português</t>
        </is>
      </c>
      <c r="C17" s="32" t="n">
        <v>8</v>
      </c>
      <c r="D17" s="32" t="n">
        <v>8</v>
      </c>
      <c r="E17" s="32" t="n">
        <v>0</v>
      </c>
      <c r="F17" s="30" t="inlineStr">
        <is>
          <t>A legenda está em inglês, exceto V-011 a V-015 e B-016 a B-018, impressas em português. Nesta edição em português, as demais descrições são tradução nossa; a coluna 'Idioma na prancha' da Lista de Equipamentos identifica quais são originais.</t>
        </is>
      </c>
    </row>
    <row r="18">
      <c r="A18" s="15" t="inlineStr">
        <is>
          <t>Redação da legenda</t>
        </is>
      </c>
      <c r="B18" s="15" t="inlineStr">
        <is>
          <t>Grafia na legenda</t>
        </is>
      </c>
      <c r="C18" s="32" t="n">
        <v>2</v>
      </c>
      <c r="D18" s="32" t="n">
        <v>2</v>
      </c>
      <c r="E18" s="32" t="n">
        <v>0</v>
      </c>
      <c r="F18" s="30" t="inlineStr">
        <is>
          <t>Duas entradas trazem erros de digitação: P-014 aparece como 'REACTOR EFLUENT AIR COOLER' (o correto seria EFFLUENT) e P-006 como 'VACCUM COLUMN BOTTOMS EXCHANGER' (o correto seria VACUUM). Ambas estão reproduzidas corretamente nesta planilha.</t>
        </is>
      </c>
    </row>
    <row r="19">
      <c r="A19" s="15" t="inlineStr">
        <is>
          <t>Elevações</t>
        </is>
      </c>
      <c r="B19" s="15" t="inlineStr">
        <is>
          <t>Rótulos de elevação</t>
        </is>
      </c>
      <c r="C19" s="32" t="n">
        <v>38</v>
      </c>
      <c r="D19" s="32" t="n">
        <v>38</v>
      </c>
      <c r="E19" s="32" t="n">
        <v>0</v>
      </c>
      <c r="F19" s="30" t="inlineStr">
        <is>
          <t>38 rótulos reduzem-se a 28 valores distintos, de EL. 19,250 a EL. 84,590 - um envelope vertical de 65,34 m. A EL. 36,450 aparece 6 vezes e a EL. 33,155, 4 vezes, o que indica níveis de plataforma compartilhados entre as estruturas.</t>
        </is>
      </c>
    </row>
    <row r="20">
      <c r="A20" s="15" t="inlineStr">
        <is>
          <t>Escopo</t>
        </is>
      </c>
      <c r="B20" s="15" t="inlineStr">
        <is>
          <t>Associação entre elevação e tag</t>
        </is>
      </c>
      <c r="C20" s="32" t="n">
        <v>0</v>
      </c>
      <c r="D20" s="32" t="n">
        <v>0</v>
      </c>
      <c r="E20" s="32" t="n">
        <v>0</v>
      </c>
      <c r="F20" s="30" t="inlineStr">
        <is>
          <t>Os rótulos de equipamento em planta são arte vetorial, e não texto selecionável, de modo que as elevações não podem ser associadas automaticamente a cada tag. Elas estão catalogadas como níveis. Amarrar cada elevação ao seu equipamento exige leitura visual da prancha ou o arquivo CAD nativo.</t>
        </is>
      </c>
    </row>
    <row r="21">
      <c r="A21" s="15" t="inlineStr">
        <is>
          <t>Escopo</t>
        </is>
      </c>
      <c r="B21" s="15" t="inlineStr">
        <is>
          <t>Natureza da prancha</t>
        </is>
      </c>
      <c r="C21" s="32" t="n">
        <v>0</v>
      </c>
      <c r="D21" s="32" t="n">
        <v>0</v>
      </c>
      <c r="E21" s="32" t="n">
        <v>0</v>
      </c>
      <c r="F21" s="30" t="inlineStr">
        <is>
          <t>Esta é uma prancha de lay-out: traz posições, elevações e áreas, não quantitativos de material. Dimensões, pesos e listas de materiais dos equipamentos devem vir das folhas de dados e da planta de arranjo DE-5400.00-5700-942-TX3-002.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 ht="36" customHeight="1">
      <c r="A1" s="1" t="inlineStr">
        <is>
          <t>LEIA-ME - ANÁLISE DO LAY-OUT DA U-5700 HIDW</t>
        </is>
      </c>
    </row>
    <row r="2" ht="24" customHeight="1">
      <c r="A2" s="2" t="inlineStr">
        <is>
          <t>Fonte: prancha DE-5400.00-5700-190-TX3-102, Rev. 0 (03/08/2026) - LAY-OUT, UNIDADE U-5700 HIDW - ÁREAS. Unidade de Hidroisodesparafinação, Refino Boaventura. Escala 1/250, folha A0 (1189 × 841 mm).</t>
        </is>
      </c>
    </row>
    <row r="5" ht="30" customHeight="1">
      <c r="A5" s="14" t="inlineStr">
        <is>
          <t>Tópico</t>
        </is>
      </c>
      <c r="B5" s="14" t="inlineStr">
        <is>
          <t>Conteúdo transcrito da prancha</t>
        </is>
      </c>
    </row>
    <row r="6" ht="58" customHeight="1">
      <c r="A6" s="30" t="inlineStr">
        <is>
          <t>Objetivo</t>
        </is>
      </c>
      <c r="B6" s="30" t="inlineStr">
        <is>
          <t>Transformar a prancha DE-5400.00-5700-190-TX3-102 (lay-out da unidade de hidroisodesparafinação U-5700) em um cadastro auditável de equipamentos com painel gerencial, cobrindo todas as tags da legenda e ainda as áreas, elevações, coordenadas e o entorno impressos na folha.</t>
        </is>
      </c>
    </row>
    <row r="7" ht="58" customHeight="1">
      <c r="A7" s="30" t="inlineStr">
        <is>
          <t>Fonte primária</t>
        </is>
      </c>
      <c r="B7" s="30" t="inlineStr">
        <is>
          <t>A legenda de equipamentos da prancha, seu quadro de áreas, as linhas de cota, os rótulos de coordenada, as notas gerais e o carimbo. Nada aqui vem de fora da folha.</t>
        </is>
      </c>
    </row>
    <row r="8" ht="58" customHeight="1">
      <c r="A8" s="30" t="inlineStr">
        <is>
          <t>O que uma prancha de lay-out traz e o que não traz</t>
        </is>
      </c>
      <c r="B8" s="30" t="inlineStr">
        <is>
          <t>Esta prancha fixa ONDE cada equipamento fica e em QUE elevação, e quanta área a unidade ocupa. Não traz dimensões de equipamento, pesos nem quantitativos de material. Para isso, recorra às folhas de dados e à planta de arranjo DE-5400.00-5700-942-TX3-002, listada como documento de referência.</t>
        </is>
      </c>
    </row>
    <row r="9" ht="58" customHeight="1">
      <c r="A9" s="30" t="inlineStr">
        <is>
          <t>Tags e unidades físicas</t>
        </is>
      </c>
      <c r="B9" s="30" t="inlineStr">
        <is>
          <t>Uma tag como B-001A/B representa duas bombas, e P-004A/B/C, três trocadores. A planilha reporta as duas contagens: 66 tags e 94 unidades físicas. Use tags para documentação e P&amp;ID; use unidades para suprimentos, montagem e planejamento de manutenção.</t>
        </is>
      </c>
    </row>
    <row r="10" ht="58" customHeight="1">
      <c r="A10" s="30" t="inlineStr">
        <is>
          <t>Grupos de processo</t>
        </is>
      </c>
      <c r="B10" s="30" t="inlineStr">
        <is>
          <t>A aba 'Grupos de Processo' classifica os equipamentos em seis serviços - reação e circuito de hidrogênio, fracionamento e vácuo, produtos de óleo básico, diesel, água e efluentes, e utilidades. Esse agrupamento é uma leitura NOSSA das descrições; a prancha não agrupa os equipamentos dessa forma. É apoio ao planejamento, não transcrição.</t>
        </is>
      </c>
    </row>
    <row r="11" ht="58" customHeight="1">
      <c r="A11" s="30" t="inlineStr">
        <is>
          <t>Elevações</t>
        </is>
      </c>
      <c r="B11" s="30" t="inlineStr">
        <is>
          <t>Os 38 rótulos de elevação estão catalogados como níveis distintos na aba 'Elevações'. Eles NÃO são atribuídos a equipamentos: a prancha desenha os rótulos em planta como arte vetorial, e não como texto, de modo que uma associação automática seria adivinhação. A EL. 36,450 (6 rótulos) e a EL. 33,155 (4 rótulos) destacam-se como níveis de plataforma compartilhados.</t>
        </is>
      </c>
    </row>
    <row r="12" ht="58" customHeight="1">
      <c r="A12" s="30" t="inlineStr">
        <is>
          <t>Controle crítico</t>
        </is>
      </c>
      <c r="B12" s="30" t="inlineStr">
        <is>
          <t>Três pontos estão sinalizados em âmbar na aba Validações: os rótulos SIRGAS do eixo norte implicam uma constante dez vezes menor que a da Nota 2; a tag B-004 está ausente da sequência de bombas; e V-013 e V-014 trazem descrições idênticas. Nenhum deles altera a contagem de equipamentos, mas os três merecem confirmação com o projetista.</t>
        </is>
      </c>
    </row>
    <row r="13" ht="58" customHeight="1">
      <c r="A13" s="30" t="inlineStr">
        <is>
          <t>Idioma</t>
        </is>
      </c>
      <c r="B13" s="30" t="inlineStr">
        <is>
          <t>A legenda da prancha está em inglês, exceto oito entradas (V-011 a V-015 e B-016 a B-018), impressas em português. Esta é a edição em português: as descrições em inglês da prancha foram traduzidas, e a coluna 'Idioma na prancha' identifica quais entradas já eram originalmente em português. Uma edição em inglês desta mesma planilha é entregue em conjunto.</t>
        </is>
      </c>
    </row>
    <row r="14" ht="58" customHeight="1">
      <c r="A14" s="30" t="inlineStr">
        <is>
          <t>Unidades</t>
        </is>
      </c>
      <c r="B14" s="30" t="inlineStr">
        <is>
          <t>m = metro; m² = metro quadrado; mm = milímetro; EL. = elevação em metros. As coordenadas estão em milímetros, conforme a Nota 1. Elevações PDMS convertem-se para o nível do mar somando 26,140 m.</t>
        </is>
      </c>
    </row>
    <row r="15" ht="58" customHeight="1">
      <c r="A15" s="30" t="inlineStr">
        <is>
          <t>Limite de uso</t>
        </is>
      </c>
      <c r="B15" s="30" t="inlineStr">
        <is>
          <t>Documento de planejamento, orçamento e controle. Qualquer uso para execução ou suprimentos deve ser validado pelo responsável técnico do projeto.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2026-09-01T12:15:59Z</dcterms:created>
  <dcterms:modified xsi:type="dcterms:W3CDTF">2026-09-01T12:15:59Z</dcterms:modified>
</cp:coreProperties>
</file>