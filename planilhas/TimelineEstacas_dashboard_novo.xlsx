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imeline Estacas" sheetId="2" state="visible" r:id="rId4"/>
    <sheet name="Planilha6" sheetId="3" state="hidden" r:id="rId5"/>
    <sheet name="Programação Estaca" sheetId="4" state="hidden" r:id="rId6"/>
    <sheet name="Planilha1" sheetId="5" state="hidden" r:id="rId7"/>
    <sheet name="Planilha2" sheetId="6" state="hidden" r:id="rId8"/>
    <sheet name="Planilha3" sheetId="7" state="hidden" r:id="rId9"/>
    <sheet name="Planilha4" sheetId="8" state="hidden" r:id="rId10"/>
    <sheet name="Dados Dashboard" sheetId="9" state="visible" r:id="rId11"/>
    <sheet name="Listas" sheetId="10" state="hidden" r:id="rId12"/>
    <sheet name="Leia-me" sheetId="11" state="visible" r:id="rId13"/>
  </sheets>
  <definedNames>
    <definedName function="false" hidden="true" localSheetId="8" name="_xlnm._FilterDatabase" vbProcedure="false">'Dados Dashboard'!$A$1:$R$240</definedName>
    <definedName function="false" hidden="false" localSheetId="0" name="_xlnm.Print_Area" vbProcedure="false">Dashboard!$B$2:$L$98</definedName>
    <definedName function="false" hidden="true" localSheetId="2" name="_xlnm._FilterDatabase" vbProcedure="false">Planilha6!$C$3:$C$121</definedName>
    <definedName function="false" hidden="false" name="A_R" vbProcedure="false">#REF!</definedName>
    <definedName function="false" hidden="false" name="DISC" vbProcedure="false">#REF!</definedName>
    <definedName function="false" hidden="false" name="Disciplina_lista" vbProcedure="false">OFFSET(#REF!,0,0,COUNTA(#REF!))</definedName>
    <definedName function="false" hidden="false" name="ishikawa_lista" vbProcedure="false">OFFSET(#REF!,0,0,COUNTA(#REF!))</definedName>
    <definedName function="false" hidden="false" name="iwp" vbProcedure="false">#REF!</definedName>
    <definedName function="false" hidden="false" name="Local_lista" vbProcedure="false">OFFSET(#REF!,0,0,COUNTA(#REF!))</definedName>
    <definedName function="false" hidden="false" name="médiadiasúteis" vbProcedure="false">#REF!</definedName>
    <definedName function="false" hidden="false" name="ppc" vbProcedure="false">#REF!</definedName>
    <definedName function="false" hidden="false" name="RESP" vbProcedure="false">#REF!</definedName>
    <definedName function="false" hidden="false" name="responsavel_lista" vbProcedure="false">OFFSET(#REF!,0,0,COUNTA(#REF!))</definedName>
    <definedName function="false" hidden="false" name="TAB.6M" vbProcedure="false">#REF!</definedName>
    <definedName function="false" hidden="false" name="tab.CWP" vbProcedure="false">#REF!</definedName>
    <definedName function="false" hidden="false" name="TAB.disciplina" vbProcedure="false">#REF!</definedName>
    <definedName function="false" hidden="false" name="tab.IWP" vbProcedure="false">#REF!</definedName>
    <definedName function="false" hidden="false" name="TAB.local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<sst xmlns="http://schemas.openxmlformats.org/spreadsheetml/2006/main" count="491" uniqueCount="334">
  <si>
    <t xml:space="preserve">DASHBOARD | TIMELINE DE ESTACAS</t>
  </si>
  <si>
    <t xml:space="preserve">AUXILIARES — NÃO EDITAR</t>
  </si>
  <si>
    <t xml:space="preserve">Avanço físico do estaqueamento, produtividade por equipamento, ensaios PIT e ocorrências de campo. Todos os números vêm da aba "Timeline Estacas".</t>
  </si>
  <si>
    <t xml:space="preserve">Semana mínima</t>
  </si>
  <si>
    <t xml:space="preserve">Semana máxima</t>
  </si>
  <si>
    <t xml:space="preserve">FILTROS DE ANÁLISE</t>
  </si>
  <si>
    <t xml:space="preserve">Última semana com produção</t>
  </si>
  <si>
    <t xml:space="preserve">Semana selecionada</t>
  </si>
  <si>
    <t xml:space="preserve">Data inicial</t>
  </si>
  <si>
    <t xml:space="preserve">Data final</t>
  </si>
  <si>
    <t xml:space="preserve">Data de referência (hoje)</t>
  </si>
  <si>
    <t xml:space="preserve">Primeiro dia com produção</t>
  </si>
  <si>
    <t xml:space="preserve">TODAS</t>
  </si>
  <si>
    <t xml:space="preserve">Dias úteis decorridos</t>
  </si>
  <si>
    <t xml:space="preserve">AVANÇO FÍSICO DO ESTAQUEAMENTO  •  ACUMULADO DO ESCOPO (não depende dos filtros)</t>
  </si>
  <si>
    <t xml:space="preserve">Estacas Realizadas</t>
  </si>
  <si>
    <t xml:space="preserve">Estacas Programadas (escopo)</t>
  </si>
  <si>
    <t xml:space="preserve">Saldo a Executar</t>
  </si>
  <si>
    <t xml:space="preserve">% de Avanço Físico</t>
  </si>
  <si>
    <t xml:space="preserve">Dias com Produção</t>
  </si>
  <si>
    <t xml:space="preserve">Ritmo Médio (estacas/dia produtivo)</t>
  </si>
  <si>
    <t xml:space="preserve">Ritmo Efetivo (estacas/dia útil)</t>
  </si>
  <si>
    <t xml:space="preserve">Previsão de Término (ritmo efetivo)</t>
  </si>
  <si>
    <t xml:space="preserve">DESEMPENHO NO RECORTE SELECIONADO  •  responde aos filtros acima</t>
  </si>
  <si>
    <t xml:space="preserve">Média por Dia Produtivo</t>
  </si>
  <si>
    <t xml:space="preserve">Dias com Ocorrência</t>
  </si>
  <si>
    <t xml:space="preserve">Estacas Equip 1</t>
  </si>
  <si>
    <t xml:space="preserve">Estacas Equip 2</t>
  </si>
  <si>
    <t xml:space="preserve">Ensaios PIT Programados</t>
  </si>
  <si>
    <t xml:space="preserve">PIT Vencidos (até hoje)</t>
  </si>
  <si>
    <t xml:space="preserve">PRODUÇÃO POR FRENTE (RECORTE)</t>
  </si>
  <si>
    <t xml:space="preserve">AVANÇO DO ESCOPO</t>
  </si>
  <si>
    <t xml:space="preserve">Frente / Atividade</t>
  </si>
  <si>
    <t xml:space="preserve">Quantidade</t>
  </si>
  <si>
    <t xml:space="preserve">Situação</t>
  </si>
  <si>
    <t xml:space="preserve">Estacas</t>
  </si>
  <si>
    <t xml:space="preserve">Realizadas</t>
  </si>
  <si>
    <t xml:space="preserve">A executar</t>
  </si>
  <si>
    <t xml:space="preserve">Ensaios PIT</t>
  </si>
  <si>
    <t xml:space="preserve">PCE</t>
  </si>
  <si>
    <t xml:space="preserve">Escavação</t>
  </si>
  <si>
    <t xml:space="preserve">Bloco</t>
  </si>
  <si>
    <t xml:space="preserve">TENDÊNCIA SEMANAL E CURVA DE AVANÇO</t>
  </si>
  <si>
    <t xml:space="preserve">Semana</t>
  </si>
  <si>
    <t xml:space="preserve">Estacas realizadas</t>
  </si>
  <si>
    <t xml:space="preserve">Acumulado</t>
  </si>
  <si>
    <t xml:space="preserve">Ocorrências</t>
  </si>
  <si>
    <t xml:space="preserve">OCORRÊNCIAS E ALERTAS DE CAMPO  •  lista atualizada automaticamente</t>
  </si>
  <si>
    <t xml:space="preserve">Data</t>
  </si>
  <si>
    <t xml:space="preserve">Ocorrência registrada na Timeline</t>
  </si>
  <si>
    <t xml:space="preserve">CONSISTÊNCIA DOS DADOS</t>
  </si>
  <si>
    <t xml:space="preserve">Registros de Estaca</t>
  </si>
  <si>
    <t xml:space="preserve">Registros Duplicados</t>
  </si>
  <si>
    <t xml:space="preserve">Estacas Distintas</t>
  </si>
  <si>
    <t xml:space="preserve">Último Dia com Produção</t>
  </si>
  <si>
    <t xml:space="preserve">PREMISSAS E ORIGEM DOS NÚMEROS  •  Fonte única: aba "Timeline Estacas" (lançamento diário da obra); a aba "Dados Dashboard" é 100% calculada a partir dela — não digite nada nela.  • Estacas Realizadas = contagem dos números de estaca lançados em "Equip 1" e "Equip 2"; quando os dois equipamentos produzem no mesmo dia, a linha conta 2 estacas (o cálculo anterior contava 1 por linha e subestimava a produção).  • Estacas Programadas = total de estacas da aba "Programação Estaca" (escopo contratual).  • Ritmo Médio = Estacas Realizadas ÷ Dias com Produção (produtividade quando a frente opera).  • Ritmo Efetivo = Estacas Realizadas ÷ dias úteis decorridos entre o primeiro e o último dia de produção; já embute as paradas por manutenção, e é ele que alimenta a Previsão de Término (estimativa, deve ser relida a cada atualização).  • PIT Vencido = ensaio cuja data programada (execução + 14 dias) já passou da Data de Referência.  • PCE, Escavação, Bloco e m³ Concreto ainda não possuem lançamentos na origem, por isso aparecem zerados.</t>
  </si>
  <si>
    <t xml:space="preserve">DATA</t>
  </si>
  <si>
    <t xml:space="preserve">DIA SEMANA</t>
  </si>
  <si>
    <t xml:space="preserve">DIAS A PARTIR A.S.</t>
  </si>
  <si>
    <t xml:space="preserve">SEMANA PROGRAMAÇÃO</t>
  </si>
  <si>
    <t xml:space="preserve">SEM</t>
  </si>
  <si>
    <t xml:space="preserve">Equip 1</t>
  </si>
  <si>
    <t xml:space="preserve">EIXO</t>
  </si>
  <si>
    <t xml:space="preserve">Equip 2</t>
  </si>
  <si>
    <t xml:space="preserve">PIT</t>
  </si>
  <si>
    <t xml:space="preserve">ESCAVAÇÃO</t>
  </si>
  <si>
    <t xml:space="preserve">BLOCO</t>
  </si>
  <si>
    <t xml:space="preserve">OBSERVAÇÃO </t>
  </si>
  <si>
    <t xml:space="preserve">m³ Concreto</t>
  </si>
  <si>
    <t xml:space="preserve">Teste inicial do equipamento </t>
  </si>
  <si>
    <t xml:space="preserve">A</t>
  </si>
  <si>
    <t xml:space="preserve">Bomba entupida</t>
  </si>
  <si>
    <t xml:space="preserve">Manutenção do trado</t>
  </si>
  <si>
    <t xml:space="preserve">B</t>
  </si>
  <si>
    <t xml:space="preserve">Desmontagem / Manutenção do trado</t>
  </si>
  <si>
    <t xml:space="preserve">Teste equipamento Rei Hélice - 7min perfuração</t>
  </si>
  <si>
    <t xml:space="preserve">Equipamento em manutenção (mangote)</t>
  </si>
  <si>
    <t xml:space="preserve">Equipamento em manutenção | Liberado 16h</t>
  </si>
  <si>
    <t xml:space="preserve">Teste 2º equipamento (7min de perfuração)</t>
  </si>
  <si>
    <t xml:space="preserve">TOTAL EXECUTADAS</t>
  </si>
  <si>
    <t xml:space="preserve">Equip 1 / Equip 2</t>
  </si>
  <si>
    <t xml:space="preserve">Saldo a executar</t>
  </si>
  <si>
    <t xml:space="preserve">TOTAL PROGRAMADAS (ESCOPO)</t>
  </si>
  <si>
    <t xml:space="preserve">% AVANÇO FÍSICO</t>
  </si>
  <si>
    <t xml:space="preserve">EPR-001</t>
  </si>
  <si>
    <t xml:space="preserve">EPR-002</t>
  </si>
  <si>
    <t xml:space="preserve">EPR-003</t>
  </si>
  <si>
    <t xml:space="preserve">EPR-004</t>
  </si>
  <si>
    <t xml:space="preserve">EPR-005</t>
  </si>
  <si>
    <t xml:space="preserve">EPR-006</t>
  </si>
  <si>
    <t xml:space="preserve">EPR-007</t>
  </si>
  <si>
    <t xml:space="preserve">EPR-008</t>
  </si>
  <si>
    <t xml:space="preserve">EPR-009</t>
  </si>
  <si>
    <t xml:space="preserve">EPR-010</t>
  </si>
  <si>
    <t xml:space="preserve">EPR-011</t>
  </si>
  <si>
    <t xml:space="preserve">EPR-012</t>
  </si>
  <si>
    <t xml:space="preserve">EPR-013</t>
  </si>
  <si>
    <t xml:space="preserve">EPR-014</t>
  </si>
  <si>
    <t xml:space="preserve">EPR-015</t>
  </si>
  <si>
    <t xml:space="preserve">EPR-016</t>
  </si>
  <si>
    <t xml:space="preserve">EPR-018</t>
  </si>
  <si>
    <t xml:space="preserve">EPR-019</t>
  </si>
  <si>
    <t xml:space="preserve">EPR-020</t>
  </si>
  <si>
    <t xml:space="preserve">EPR-022</t>
  </si>
  <si>
    <t xml:space="preserve">EPR-023</t>
  </si>
  <si>
    <t xml:space="preserve">EPR-024</t>
  </si>
  <si>
    <t xml:space="preserve">EPR-025</t>
  </si>
  <si>
    <t xml:space="preserve">EPR-026</t>
  </si>
  <si>
    <t xml:space="preserve">EPR-027</t>
  </si>
  <si>
    <t xml:space="preserve">EPR-028</t>
  </si>
  <si>
    <t xml:space="preserve">EPR-030</t>
  </si>
  <si>
    <t xml:space="preserve">EPR-031</t>
  </si>
  <si>
    <t xml:space="preserve">EPR-032</t>
  </si>
  <si>
    <t xml:space="preserve">EPR-034</t>
  </si>
  <si>
    <t xml:space="preserve">EPR-035</t>
  </si>
  <si>
    <t xml:space="preserve">EPR-036</t>
  </si>
  <si>
    <t xml:space="preserve">EPR-038</t>
  </si>
  <si>
    <t xml:space="preserve">EPR-039</t>
  </si>
  <si>
    <t xml:space="preserve">EPR-040</t>
  </si>
  <si>
    <t xml:space="preserve">EPR-042</t>
  </si>
  <si>
    <t xml:space="preserve">EPR-043</t>
  </si>
  <si>
    <t xml:space="preserve">EPR-044</t>
  </si>
  <si>
    <t xml:space="preserve">EPR-046</t>
  </si>
  <si>
    <t xml:space="preserve">EPR-047</t>
  </si>
  <si>
    <t xml:space="preserve">EPR-048</t>
  </si>
  <si>
    <t xml:space="preserve">EPR-051</t>
  </si>
  <si>
    <t xml:space="preserve">EPR-054</t>
  </si>
  <si>
    <t xml:space="preserve">EPR-055</t>
  </si>
  <si>
    <t xml:space="preserve">EPR-058</t>
  </si>
  <si>
    <t xml:space="preserve">EPR-059</t>
  </si>
  <si>
    <t xml:space="preserve">EPR-063</t>
  </si>
  <si>
    <t xml:space="preserve">EPR-066</t>
  </si>
  <si>
    <t xml:space="preserve">EPR-067</t>
  </si>
  <si>
    <t xml:space="preserve">EPR-070</t>
  </si>
  <si>
    <t xml:space="preserve">EPR-071</t>
  </si>
  <si>
    <t xml:space="preserve">EPR-074</t>
  </si>
  <si>
    <t xml:space="preserve">EPR-078</t>
  </si>
  <si>
    <t xml:space="preserve">EPR-079</t>
  </si>
  <si>
    <t xml:space="preserve">EPR-082</t>
  </si>
  <si>
    <t xml:space="preserve">EPR-083</t>
  </si>
  <si>
    <t xml:space="preserve">EPR-086</t>
  </si>
  <si>
    <t xml:space="preserve">EPR-087</t>
  </si>
  <si>
    <t xml:space="preserve">EPR-088</t>
  </si>
  <si>
    <t xml:space="preserve">EPR-090</t>
  </si>
  <si>
    <t xml:space="preserve">EPR-091</t>
  </si>
  <si>
    <t xml:space="preserve">EPR-092</t>
  </si>
  <si>
    <t xml:space="preserve">EPR-093</t>
  </si>
  <si>
    <t xml:space="preserve">EPR-094</t>
  </si>
  <si>
    <t xml:space="preserve">EPR-095</t>
  </si>
  <si>
    <t xml:space="preserve">EPR-096</t>
  </si>
  <si>
    <t xml:space="preserve">EPR-097</t>
  </si>
  <si>
    <t xml:space="preserve">EPR-098</t>
  </si>
  <si>
    <t xml:space="preserve">EPR-099</t>
  </si>
  <si>
    <t xml:space="preserve">EPR-100</t>
  </si>
  <si>
    <t xml:space="preserve">EPR-101</t>
  </si>
  <si>
    <t xml:space="preserve">EPR-102</t>
  </si>
  <si>
    <t xml:space="preserve">EPR-103</t>
  </si>
  <si>
    <t xml:space="preserve">EPR-104</t>
  </si>
  <si>
    <t xml:space="preserve">EPR-105</t>
  </si>
  <si>
    <t xml:space="preserve">EPR-106</t>
  </si>
  <si>
    <t xml:space="preserve">EPR-107</t>
  </si>
  <si>
    <t xml:space="preserve">EPR-108</t>
  </si>
  <si>
    <t xml:space="preserve">EPR-114</t>
  </si>
  <si>
    <t xml:space="preserve">EPR-115</t>
  </si>
  <si>
    <t xml:space="preserve">EPR-116</t>
  </si>
  <si>
    <t xml:space="preserve">EPR-118</t>
  </si>
  <si>
    <t xml:space="preserve">EPR-137</t>
  </si>
  <si>
    <t xml:space="preserve">EPR-141</t>
  </si>
  <si>
    <t xml:space="preserve">EPR-145</t>
  </si>
  <si>
    <t xml:space="preserve">EPR-151</t>
  </si>
  <si>
    <t xml:space="preserve">EPR-154</t>
  </si>
  <si>
    <t xml:space="preserve">EPR-159</t>
  </si>
  <si>
    <t xml:space="preserve">EPR-161</t>
  </si>
  <si>
    <t xml:space="preserve">EPR-162</t>
  </si>
  <si>
    <t xml:space="preserve">EPR-163</t>
  </si>
  <si>
    <t xml:space="preserve">EPR-164</t>
  </si>
  <si>
    <t xml:space="preserve">EPR-165</t>
  </si>
  <si>
    <t xml:space="preserve">EPR-167</t>
  </si>
  <si>
    <t xml:space="preserve">EPR-169</t>
  </si>
  <si>
    <t xml:space="preserve">EPR-171</t>
  </si>
  <si>
    <t xml:space="preserve">EPR-173</t>
  </si>
  <si>
    <t xml:space="preserve">EPR-185</t>
  </si>
  <si>
    <t xml:space="preserve">EPR-186</t>
  </si>
  <si>
    <t xml:space="preserve">EPR-187</t>
  </si>
  <si>
    <t xml:space="preserve">EPR-189</t>
  </si>
  <si>
    <t xml:space="preserve">EPR-191</t>
  </si>
  <si>
    <t xml:space="preserve">EPR-193</t>
  </si>
  <si>
    <t xml:space="preserve">EPR-195</t>
  </si>
  <si>
    <t xml:space="preserve">EPR-197</t>
  </si>
  <si>
    <t xml:space="preserve">Estaca</t>
  </si>
  <si>
    <t xml:space="preserve">Data Programada</t>
  </si>
  <si>
    <t xml:space="preserve">preliminar e terraplenagem</t>
  </si>
  <si>
    <t xml:space="preserve">contrapiso</t>
  </si>
  <si>
    <t xml:space="preserve">fundação</t>
  </si>
  <si>
    <t xml:space="preserve">alvenaria</t>
  </si>
  <si>
    <t xml:space="preserve">cobertura</t>
  </si>
  <si>
    <t xml:space="preserve">acabamentos</t>
  </si>
  <si>
    <t xml:space="preserve">ATIVIDADES PRINCIPAIS</t>
  </si>
  <si>
    <t xml:space="preserve">REAL </t>
  </si>
  <si>
    <t xml:space="preserve">CORRETO</t>
  </si>
  <si>
    <t xml:space="preserve">FUNDAÇÃO</t>
  </si>
  <si>
    <t xml:space="preserve">DRENAGEM </t>
  </si>
  <si>
    <t xml:space="preserve">BASE EQUIPAMENTOS </t>
  </si>
  <si>
    <t xml:space="preserve">TANCAGEM </t>
  </si>
  <si>
    <t xml:space="preserve">PROJETO</t>
  </si>
  <si>
    <t xml:space="preserve">TERRAPLENAGEM</t>
  </si>
  <si>
    <t xml:space="preserve">ESTAQUEAMENTO</t>
  </si>
  <si>
    <t xml:space="preserve">PREPARO</t>
  </si>
  <si>
    <t xml:space="preserve">ARRUAMENTO</t>
  </si>
  <si>
    <t xml:space="preserve">ARRASAMENTO</t>
  </si>
  <si>
    <t xml:space="preserve">CAIXAS</t>
  </si>
  <si>
    <t xml:space="preserve">BASE TANQUES</t>
  </si>
  <si>
    <t xml:space="preserve">TUBOS</t>
  </si>
  <si>
    <t xml:space="preserve">FORMA / ARMADURA</t>
  </si>
  <si>
    <t xml:space="preserve">BASE PIPERACK</t>
  </si>
  <si>
    <t xml:space="preserve">PILAR</t>
  </si>
  <si>
    <t xml:space="preserve">REATERRO</t>
  </si>
  <si>
    <t xml:space="preserve">CHUMBADORES/INSERTS</t>
  </si>
  <si>
    <t xml:space="preserve">DRENAGEM</t>
  </si>
  <si>
    <t xml:space="preserve">VIGAS LATERAIS</t>
  </si>
  <si>
    <t xml:space="preserve">CONCRETAGEM</t>
  </si>
  <si>
    <t xml:space="preserve">CONCRETAGEM PISO</t>
  </si>
  <si>
    <t xml:space="preserve">VIGAS DE EIXO</t>
  </si>
  <si>
    <t xml:space="preserve">CURA</t>
  </si>
  <si>
    <t xml:space="preserve">DIQUE</t>
  </si>
  <si>
    <t xml:space="preserve">DESFORMA</t>
  </si>
  <si>
    <t xml:space="preserve">GROUT</t>
  </si>
  <si>
    <t xml:space="preserve">CQ</t>
  </si>
  <si>
    <t xml:space="preserve">HIDW</t>
  </si>
  <si>
    <t xml:space="preserve">HCC</t>
  </si>
  <si>
    <t xml:space="preserve">Atividades preliminares</t>
  </si>
  <si>
    <t xml:space="preserve">Movimentação de terra</t>
  </si>
  <si>
    <t xml:space="preserve">Canteiro avançado / infra-estrutura</t>
  </si>
  <si>
    <t xml:space="preserve">Terraplenagem</t>
  </si>
  <si>
    <t xml:space="preserve">escavação</t>
  </si>
  <si>
    <t xml:space="preserve">aterro</t>
  </si>
  <si>
    <t xml:space="preserve">compactação</t>
  </si>
  <si>
    <t xml:space="preserve">Estaqueamento</t>
  </si>
  <si>
    <t xml:space="preserve">cravação</t>
  </si>
  <si>
    <t xml:space="preserve">concretagem </t>
  </si>
  <si>
    <t xml:space="preserve">armadura</t>
  </si>
  <si>
    <t xml:space="preserve">Cura</t>
  </si>
  <si>
    <t xml:space="preserve">Arrasamento</t>
  </si>
  <si>
    <t xml:space="preserve">Escavação </t>
  </si>
  <si>
    <t xml:space="preserve">Arrasamento mecânico</t>
  </si>
  <si>
    <t xml:space="preserve">Finalização manual </t>
  </si>
  <si>
    <t xml:space="preserve">armação </t>
  </si>
  <si>
    <t xml:space="preserve">forma</t>
  </si>
  <si>
    <t xml:space="preserve">concretagem</t>
  </si>
  <si>
    <t xml:space="preserve">forma do cálice</t>
  </si>
  <si>
    <t xml:space="preserve">Pré moldados</t>
  </si>
  <si>
    <t xml:space="preserve">Insert no cálice</t>
  </si>
  <si>
    <t xml:space="preserve">posicionamento do pilar</t>
  </si>
  <si>
    <t xml:space="preserve">QUANTIDADE ESTACAS</t>
  </si>
  <si>
    <t xml:space="preserve">estacas </t>
  </si>
  <si>
    <t xml:space="preserve">produção</t>
  </si>
  <si>
    <t xml:space="preserve">fator</t>
  </si>
  <si>
    <t xml:space="preserve">5700-170</t>
  </si>
  <si>
    <t xml:space="preserve">sequencia estacas</t>
  </si>
  <si>
    <t xml:space="preserve">Outubro a Dezembro</t>
  </si>
  <si>
    <t xml:space="preserve">Área</t>
  </si>
  <si>
    <t xml:space="preserve">Drenagem </t>
  </si>
  <si>
    <t xml:space="preserve">canaletas e caixas</t>
  </si>
  <si>
    <t xml:space="preserve">tubos </t>
  </si>
  <si>
    <t xml:space="preserve">EPC</t>
  </si>
  <si>
    <t xml:space="preserve">EPC-03</t>
  </si>
  <si>
    <t xml:space="preserve">U-5700</t>
  </si>
  <si>
    <t xml:space="preserve">SE-2600</t>
  </si>
  <si>
    <t xml:space="preserve">U-6310</t>
  </si>
  <si>
    <t xml:space="preserve">U-6312</t>
  </si>
  <si>
    <t xml:space="preserve">SE-6321</t>
  </si>
  <si>
    <t xml:space="preserve">U-6411</t>
  </si>
  <si>
    <t xml:space="preserve">EPC-04</t>
  </si>
  <si>
    <t xml:space="preserve">U-2400</t>
  </si>
  <si>
    <t xml:space="preserve">SE-2400</t>
  </si>
  <si>
    <t xml:space="preserve">EIXO EQUIP 1</t>
  </si>
  <si>
    <t xml:space="preserve">EIXO EQUIP 2</t>
  </si>
  <si>
    <t xml:space="preserve">OBSERVAÇÃO</t>
  </si>
  <si>
    <t xml:space="preserve">Registros Operacionais</t>
  </si>
  <si>
    <t xml:space="preserve">Observação Registrada</t>
  </si>
  <si>
    <t xml:space="preserve">Estaca Equip 1</t>
  </si>
  <si>
    <t xml:space="preserve">Estaca Equip 2</t>
  </si>
  <si>
    <t xml:space="preserve">PIT Programado</t>
  </si>
  <si>
    <t xml:space="preserve">PIT Vencido</t>
  </si>
  <si>
    <t xml:space="preserve">m³ Concreto (num)</t>
  </si>
  <si>
    <t xml:space="preserve">Ordem Ocorrência</t>
  </si>
  <si>
    <t xml:space="preserve">Registro Duplicado</t>
  </si>
  <si>
    <t xml:space="preserve">Dia com Produção</t>
  </si>
  <si>
    <t xml:space="preserve">Data com Produção</t>
  </si>
  <si>
    <t xml:space="preserve">PCE Registrado</t>
  </si>
  <si>
    <t xml:space="preserve">Escavação Registrada</t>
  </si>
  <si>
    <t xml:space="preserve">Bloco Registrado</t>
  </si>
  <si>
    <t xml:space="preserve">Semana com Produção</t>
  </si>
  <si>
    <t xml:space="preserve">Filtro de semana</t>
  </si>
  <si>
    <t xml:space="preserve">Indicador</t>
  </si>
  <si>
    <t xml:space="preserve">S-39</t>
  </si>
  <si>
    <t xml:space="preserve">S-40</t>
  </si>
  <si>
    <t xml:space="preserve">S-41</t>
  </si>
  <si>
    <t xml:space="preserve">S-42</t>
  </si>
  <si>
    <t xml:space="preserve">S-43</t>
  </si>
  <si>
    <t xml:space="preserve">S-44</t>
  </si>
  <si>
    <t xml:space="preserve">Observações</t>
  </si>
  <si>
    <t xml:space="preserve">S-45</t>
  </si>
  <si>
    <t xml:space="preserve">S-46</t>
  </si>
  <si>
    <t xml:space="preserve">S-47</t>
  </si>
  <si>
    <t xml:space="preserve">S-48</t>
  </si>
  <si>
    <t xml:space="preserve">S-49</t>
  </si>
  <si>
    <t xml:space="preserve">S-50</t>
  </si>
  <si>
    <t xml:space="preserve">S-51</t>
  </si>
  <si>
    <t xml:space="preserve">S-52</t>
  </si>
  <si>
    <t xml:space="preserve">S-53</t>
  </si>
  <si>
    <t xml:space="preserve">S-54</t>
  </si>
  <si>
    <t xml:space="preserve">S-55</t>
  </si>
  <si>
    <t xml:space="preserve">S-56</t>
  </si>
  <si>
    <t xml:space="preserve">S-57</t>
  </si>
  <si>
    <t xml:space="preserve">S-58</t>
  </si>
  <si>
    <t xml:space="preserve">S-59</t>
  </si>
  <si>
    <t xml:space="preserve">S-60</t>
  </si>
  <si>
    <t xml:space="preserve">S-61</t>
  </si>
  <si>
    <t xml:space="preserve">GUIA RÁPIDO | TIMELINE DE ESTACAS</t>
  </si>
  <si>
    <t xml:space="preserve">OBJETIVO</t>
  </si>
  <si>
    <t xml:space="preserve">Acompanhar o avanço físico do estaqueamento: quanto já foi executado, em que ritmo, com qual equipamento, quais ensaios PIT estão programados/vencidos e quais ocorrências pararam a frente.</t>
  </si>
  <si>
    <t xml:space="preserve">ONDE LANÇAR</t>
  </si>
  <si>
    <t xml:space="preserve">Lance SOMENTE na aba "Timeline Estacas", uma linha por estaca executada: DATA, número da estaca em "Equip 1" ou "Equip 2", o EIXO e a OBSERVAÇÃO do dia. O PIT é calculado automaticamente (data de execução + 14 dias).</t>
  </si>
  <si>
    <t xml:space="preserve">ABAS DO ARQUIVO</t>
  </si>
  <si>
    <t xml:space="preserve">Dashboard = leitura gerencial (não editar, exceto os filtros). Timeline Estacas = lançamento diário. Dados Dashboard = camada de cálculo, 100% em fórmulas espelhando a Timeline — não digitar nada. Programação Estaca = escopo contratual (224 estacas). Listas = opções do filtro de semana.</t>
  </si>
  <si>
    <t xml:space="preserve">COMO USAR O DASHBOARD</t>
  </si>
  <si>
    <t xml:space="preserve">O bloco "AVANÇO FÍSICO" mostra o acumulado de todo o escopo e NÃO responde aos filtros. O bloco "DESEMPENHO NO RECORTE" responde aos filtros de semana e de datas. Para voltar à visão completa, escolha "TODAS" em Semana selecionada.</t>
  </si>
  <si>
    <t xml:space="preserve">INDICADORES</t>
  </si>
  <si>
    <t xml:space="preserve">Estacas Realizadas = estacas efetivamente executadas (Equip 1 + Equip 2). Estacas Programadas = escopo total. Saldo = programadas − realizadas. Ritmo Médio = realizadas ÷ dias com produção (produtividade quando a frente opera). Ritmo Efetivo = realizadas ÷ dias úteis decorridos, já com as paradas embutidas — é ele que alimenta a Previsão de Término (estimativa). PIT Vencido = data programada do ensaio já passou da data de referência.</t>
  </si>
  <si>
    <t xml:space="preserve">CONSISTÊNCIA</t>
  </si>
  <si>
    <t xml:space="preserve">O bloco "CONSISTÊNCIA DOS DADOS" compara os registros lançados com as estacas distintas. Se "Registros Duplicados" for maior que zero, o mesmo número de estaca foi lançado duas vezes na Timeline e precisa ser corrigido na origem.</t>
  </si>
  <si>
    <t xml:space="preserve">ATUALIZAÇÃO</t>
  </si>
  <si>
    <t xml:space="preserve">Ao abrir, o Excel recalcula tudo sozinho. A grade de datas da Timeline vai de 24/07/2026 a 31/12/2026 (linhas 2 a 243). Se novas linhas forem acrescentadas além da 243, estenda também as fórmulas da aba "Dados Dashboard" até a mesma linha.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</si>
</sst>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/mm/yyyy"/>
    <numFmt numFmtId="166" formatCode="#,##0"/>
    <numFmt numFmtId="167" formatCode="0.0%"/>
    <numFmt numFmtId="168" formatCode="#,##0.0"/>
    <numFmt numFmtId="169" formatCode="m/d/yyyy"/>
    <numFmt numFmtId="170" formatCode="General"/>
    <numFmt numFmtId="171" formatCode="ddd"/>
    <numFmt numFmtId="172" formatCode="#,##0.00"/>
  </numFmts>
  <fonts count="2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MS Sans Serif"/>
      <family val="0"/>
      <charset val="1"/>
    </font>
    <font>
      <b val="true"/>
      <sz val="18"/>
      <color rgb="FFFFFFFF"/>
      <name val="Aptos Narrow"/>
      <family val="0"/>
      <charset val="1"/>
    </font>
    <font>
      <b val="true"/>
      <sz val="9"/>
      <color rgb="FF5B6573"/>
      <name val="Aptos Narrow"/>
      <family val="0"/>
      <charset val="1"/>
    </font>
    <font>
      <sz val="10"/>
      <color rgb="FF5B6573"/>
      <name val="Aptos Narrow"/>
      <family val="0"/>
      <charset val="1"/>
    </font>
    <font>
      <sz val="9"/>
      <color rgb="FF5B6573"/>
      <name val="Aptos Narrow"/>
      <family val="0"/>
      <charset val="1"/>
    </font>
    <font>
      <b val="true"/>
      <sz val="11"/>
      <color rgb="FFFFFFFF"/>
      <name val="Aptos Narrow"/>
      <family val="0"/>
      <charset val="1"/>
    </font>
    <font>
      <b val="true"/>
      <sz val="9"/>
      <color rgb="FF1F2937"/>
      <name val="Aptos Narrow"/>
      <family val="0"/>
      <charset val="1"/>
    </font>
    <font>
      <b val="true"/>
      <sz val="11"/>
      <color rgb="FF17365D"/>
      <name val="Aptos Narrow"/>
      <family val="0"/>
      <charset val="1"/>
    </font>
    <font>
      <b val="true"/>
      <sz val="9"/>
      <color rgb="FFFFFFFF"/>
      <name val="Aptos Narrow"/>
      <family val="0"/>
      <charset val="1"/>
    </font>
    <font>
      <b val="true"/>
      <sz val="20"/>
      <color rgb="FF17365D"/>
      <name val="Aptos Narrow"/>
      <family val="0"/>
      <charset val="1"/>
    </font>
    <font>
      <b val="true"/>
      <sz val="11"/>
      <color rgb="FF0F6B78"/>
      <name val="Aptos Narrow"/>
      <family val="0"/>
      <charset val="1"/>
    </font>
    <font>
      <b val="true"/>
      <sz val="10"/>
      <color rgb="FFFFFFFF"/>
      <name val="Aptos Narrow"/>
      <family val="0"/>
      <charset val="1"/>
    </font>
    <font>
      <sz val="10"/>
      <color rgb="FF1F2937"/>
      <name val="Aptos Narrow"/>
      <family val="0"/>
      <charset val="1"/>
    </font>
    <font>
      <b val="true"/>
      <sz val="10"/>
      <color rgb="FF1F2937"/>
      <name val="Aptos Narrow"/>
      <family val="0"/>
      <charset val="1"/>
    </font>
    <font>
      <b val="true"/>
      <sz val="18"/>
      <color rgb="FF000000"/>
      <name val="Aptos Narrow"/>
      <family val="2"/>
    </font>
    <font>
      <sz val="10"/>
      <color rgb="FF000000"/>
      <name val="Aptos Narrow"/>
      <family val="2"/>
    </font>
    <font>
      <b val="true"/>
      <sz val="10"/>
      <color rgb="FF000000"/>
      <name val="Aptos Narrow"/>
      <family val="2"/>
    </font>
    <font>
      <b val="true"/>
      <sz val="10"/>
      <color rgb="FFFFFFFF"/>
      <name val="Aptos Narrow"/>
      <family val="2"/>
      <charset val="1"/>
    </font>
    <font>
      <b val="true"/>
      <sz val="10"/>
      <name val="MS Sans Serif"/>
      <family val="0"/>
      <charset val="1"/>
    </font>
    <font>
      <sz val="10"/>
      <name val="Lato Light"/>
      <family val="2"/>
      <charset val="1"/>
    </font>
    <font>
      <sz val="10"/>
      <color rgb="FFFF0000"/>
      <name val="Lato Light"/>
      <family val="2"/>
      <charset val="1"/>
    </font>
    <font>
      <b val="true"/>
      <sz val="11"/>
      <color theme="1"/>
      <name val="Aptos Narrow"/>
      <family val="2"/>
      <charset val="1"/>
    </font>
    <font>
      <sz val="10"/>
      <color rgb="FF0F6B78"/>
      <name val="Aptos Narrow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7365D"/>
        <bgColor rgb="FF1F2937"/>
      </patternFill>
    </fill>
    <fill>
      <patternFill patternType="solid">
        <fgColor rgb="FF0F6B78"/>
        <bgColor rgb="FF156082"/>
      </patternFill>
    </fill>
    <fill>
      <patternFill patternType="solid">
        <fgColor rgb="FFDDEBF7"/>
        <bgColor rgb="FFE7E9EC"/>
      </patternFill>
    </fill>
    <fill>
      <patternFill patternType="solid">
        <fgColor rgb="FFE7E9EC"/>
        <bgColor rgb="FFDDEBF7"/>
      </patternFill>
    </fill>
    <fill>
      <patternFill patternType="solid">
        <fgColor rgb="FF1F4E78"/>
        <bgColor rgb="FF156082"/>
      </patternFill>
    </fill>
    <fill>
      <patternFill patternType="solid">
        <fgColor rgb="FFF7FAFD"/>
        <bgColor rgb="FFFFFFFF"/>
      </patternFill>
    </fill>
    <fill>
      <patternFill patternType="solid">
        <fgColor theme="5" tint="0.7999"/>
        <bgColor rgb="FFFFF2CC"/>
      </patternFill>
    </fill>
    <fill>
      <patternFill patternType="solid">
        <fgColor theme="0"/>
        <bgColor rgb="FFF7FAFD"/>
      </patternFill>
    </fill>
    <fill>
      <patternFill patternType="solid">
        <fgColor theme="9" tint="0.7999"/>
        <bgColor rgb="FFE7E9EC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>
        <color rgb="FFBFC7D2"/>
      </left>
      <right style="thin">
        <color rgb="FFBFC7D2"/>
      </right>
      <top style="thin">
        <color rgb="FFBFC7D2"/>
      </top>
      <bottom style="thin">
        <color rgb="FFBFC7D2"/>
      </bottom>
      <diagonal/>
    </border>
    <border diagonalUp="false" diagonalDown="false">
      <left style="thin">
        <color rgb="FFBFC7D2"/>
      </left>
      <right style="thin">
        <color rgb="FFBFC7D2"/>
      </right>
      <top style="thin">
        <color rgb="FFBFC7D2"/>
      </top>
      <bottom/>
      <diagonal/>
    </border>
    <border diagonalUp="false" diagonalDown="false">
      <left style="thin">
        <color rgb="FFBFC7D2"/>
      </left>
      <right style="thin">
        <color rgb="FFBFC7D2"/>
      </right>
      <top/>
      <bottom style="thin">
        <color rgb="FFBFC7D2"/>
      </bottom>
      <diagonal/>
    </border>
    <border diagonalUp="false" diagonalDown="false">
      <left/>
      <right/>
      <top/>
      <bottom style="thin">
        <color rgb="FFBFC7D2"/>
      </bottom>
      <diagonal/>
    </border>
    <border diagonalUp="false" diagonalDown="false">
      <left/>
      <right/>
      <top/>
      <bottom style="hair">
        <color rgb="FFD5DBE3"/>
      </bottom>
      <diagonal/>
    </border>
    <border diagonalUp="false" diagonalDown="false">
      <left style="medium">
        <color theme="0" tint="-0.15"/>
      </left>
      <right/>
      <top/>
      <bottom/>
      <diagonal/>
    </border>
    <border diagonalUp="false" diagonalDown="false">
      <left/>
      <right style="medium">
        <color theme="0" tint="-0.15"/>
      </right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2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6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4" fillId="0" borderId="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21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23" fillId="0" borderId="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8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24" fillId="0" borderId="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8" borderId="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8" borderId="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8" borderId="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8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23" fillId="0" borderId="9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9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8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0" borderId="1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0" borderId="1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2" borderId="11" xfId="21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12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1" fillId="4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12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1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2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7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</cellStyles>
  <dxfs count="10">
    <dxf>
      <font>
        <name val="Aptos Narrow"/>
        <charset val="1"/>
        <family val="0"/>
        <b val="1"/>
        <color rgb="FFC55A11"/>
        <sz val="10"/>
      </font>
    </dxf>
    <dxf>
      <fill>
        <patternFill patternType="solid">
          <fgColor rgb="FFFBE3D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17365D"/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F6B78"/>
          <bgColor rgb="FF000000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7FAFD"/>
      <rgbColor rgb="FFFF00FF"/>
      <rgbColor rgb="FF00FFFF"/>
      <rgbColor rgb="FF9C0006"/>
      <rgbColor rgb="FF008000"/>
      <rgbColor rgb="FF000080"/>
      <rgbColor rgb="FF808000"/>
      <rgbColor rgb="FF800080"/>
      <rgbColor rgb="FF0F6B78"/>
      <rgbColor rgb="FFBFBFBF"/>
      <rgbColor rgb="FF8B8B8B"/>
      <rgbColor rgb="FF9999FF"/>
      <rgbColor rgb="FF993366"/>
      <rgbColor rgb="FFFFF2CC"/>
      <rgbColor rgb="FFDDEBF7"/>
      <rgbColor rgb="FF660066"/>
      <rgbColor rgb="FFFF8080"/>
      <rgbColor rgb="FF0066CC"/>
      <rgbColor rgb="FFD5DBE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7E9EC"/>
      <rgbColor rgb="FFD9F2D0"/>
      <rgbColor rgb="FFFBE3D6"/>
      <rgbColor rgb="FFBFC7D2"/>
      <rgbColor rgb="FFD9DDE3"/>
      <rgbColor rgb="FFD9D9D9"/>
      <rgbColor rgb="FFFFC7CE"/>
      <rgbColor rgb="FF3366FF"/>
      <rgbColor rgb="FF33CCCC"/>
      <rgbColor rgb="FF99CC00"/>
      <rgbColor rgb="FFFFCC00"/>
      <rgbColor rgb="FFFF9900"/>
      <rgbColor rgb="FFC55A11"/>
      <rgbColor rgb="FF5B6573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Produção por frente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Dashboard!C23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rgbClr val="1f4e78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Dashboard!$B$24:$B$29</c:f>
              <c:strCache>
                <c:ptCount val="6"/>
                <c:pt idx="0">
                  <c:v>Estacas Equip 1</c:v>
                </c:pt>
                <c:pt idx="1">
                  <c:v>Estacas Equip 2</c:v>
                </c:pt>
                <c:pt idx="2">
                  <c:v>Ensaios PIT</c:v>
                </c:pt>
                <c:pt idx="3">
                  <c:v>PCE</c:v>
                </c:pt>
                <c:pt idx="4">
                  <c:v>Escavação</c:v>
                </c:pt>
                <c:pt idx="5">
                  <c:v>Bloco</c:v>
                </c:pt>
              </c:strCache>
            </c:strRef>
          </c:cat>
          <c:val>
            <c:numRef>
              <c:f>Dashboard!$C$24:$C$29</c:f>
              <c:numCache>
                <c:formatCode>#,##0</c:formatCode>
                <c:ptCount val="6"/>
                <c:pt idx="0">
                  <c:v>92</c:v>
                </c:pt>
                <c:pt idx="1">
                  <c:v>13</c:v>
                </c:pt>
                <c:pt idx="2">
                  <c:v>89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60"/>
        <c:overlap val="0"/>
        <c:axId val="54701937"/>
        <c:axId val="86455574"/>
      </c:barChart>
      <c:catAx>
        <c:axId val="5470193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86455574"/>
        <c:crosses val="autoZero"/>
        <c:auto val="1"/>
        <c:lblAlgn val="ctr"/>
        <c:lblOffset val="100"/>
        <c:noMultiLvlLbl val="0"/>
      </c:catAx>
      <c:valAx>
        <c:axId val="86455574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54701937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Avanço do escopo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Dashboard!I23</c:f>
              <c:strCache>
                <c:ptCount val="1"/>
                <c:pt idx="0">
                  <c:v>Estacas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f4e7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d9dde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Dashboard!$H$24:$H$25</c:f>
              <c:strCache>
                <c:ptCount val="2"/>
                <c:pt idx="0">
                  <c:v>Realizadas</c:v>
                </c:pt>
                <c:pt idx="1">
                  <c:v>A executar</c:v>
                </c:pt>
              </c:strCache>
            </c:strRef>
          </c:cat>
          <c:val>
            <c:numRef>
              <c:f>Dashboard!$I$24:$I$25</c:f>
              <c:numCache>
                <c:formatCode>#,##0</c:formatCode>
                <c:ptCount val="2"/>
                <c:pt idx="0">
                  <c:v>105</c:v>
                </c:pt>
                <c:pt idx="1">
                  <c:v>119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Estacas por semana × avanço acumulado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Dashboard!C49</c:f>
              <c:strCache>
                <c:ptCount val="1"/>
                <c:pt idx="0">
                  <c:v>Estacas realizadas</c:v>
                </c:pt>
              </c:strCache>
            </c:strRef>
          </c:tx>
          <c:spPr>
            <a:solidFill>
              <a:srgbClr val="1f4e7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Dashboard!$B$50:$B$72</c:f>
              <c:strCache>
                <c:ptCount val="23"/>
                <c:pt idx="0">
                  <c:v>S-39</c:v>
                </c:pt>
                <c:pt idx="1">
                  <c:v>S-40</c:v>
                </c:pt>
                <c:pt idx="2">
                  <c:v>S-41</c:v>
                </c:pt>
                <c:pt idx="3">
                  <c:v>S-42</c:v>
                </c:pt>
                <c:pt idx="4">
                  <c:v>S-43</c:v>
                </c:pt>
                <c:pt idx="5">
                  <c:v>S-44</c:v>
                </c:pt>
                <c:pt idx="6">
                  <c:v>S-45</c:v>
                </c:pt>
                <c:pt idx="7">
                  <c:v>S-46</c:v>
                </c:pt>
                <c:pt idx="8">
                  <c:v>S-47</c:v>
                </c:pt>
                <c:pt idx="9">
                  <c:v>S-48</c:v>
                </c:pt>
                <c:pt idx="10">
                  <c:v>S-49</c:v>
                </c:pt>
                <c:pt idx="11">
                  <c:v>S-50</c:v>
                </c:pt>
                <c:pt idx="12">
                  <c:v>S-51</c:v>
                </c:pt>
                <c:pt idx="13">
                  <c:v>S-52</c:v>
                </c:pt>
                <c:pt idx="14">
                  <c:v>S-53</c:v>
                </c:pt>
                <c:pt idx="15">
                  <c:v>S-54</c:v>
                </c:pt>
                <c:pt idx="16">
                  <c:v>S-55</c:v>
                </c:pt>
                <c:pt idx="17">
                  <c:v>S-56</c:v>
                </c:pt>
                <c:pt idx="18">
                  <c:v>S-57</c:v>
                </c:pt>
                <c:pt idx="19">
                  <c:v>S-58</c:v>
                </c:pt>
                <c:pt idx="20">
                  <c:v>S-59</c:v>
                </c:pt>
                <c:pt idx="21">
                  <c:v>S-60</c:v>
                </c:pt>
                <c:pt idx="22">
                  <c:v>S-61</c:v>
                </c:pt>
              </c:strCache>
            </c:strRef>
          </c:cat>
          <c:val>
            <c:numRef>
              <c:f>Dashboard!$C$50:$C$72</c:f>
              <c:numCache>
                <c:formatCode>#,##0</c:formatCode>
                <c:ptCount val="23"/>
                <c:pt idx="0">
                  <c:v>3</c:v>
                </c:pt>
                <c:pt idx="1">
                  <c:v>1</c:v>
                </c:pt>
                <c:pt idx="2">
                  <c:v>22</c:v>
                </c:pt>
                <c:pt idx="3">
                  <c:v>28</c:v>
                </c:pt>
                <c:pt idx="4">
                  <c:v>51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gapWidth val="45"/>
        <c:overlap val="0"/>
        <c:axId val="85114308"/>
        <c:axId val="74471582"/>
      </c:barChart>
      <c:lineChart>
        <c:grouping val="standard"/>
        <c:varyColors val="0"/>
        <c:ser>
          <c:idx val="1"/>
          <c:order val="1"/>
          <c:tx>
            <c:strRef>
              <c:f>Dashboard!E49</c:f>
              <c:strCache>
                <c:ptCount val="1"/>
                <c:pt idx="0">
                  <c:v>Acumulado</c:v>
                </c:pt>
              </c:strCache>
            </c:strRef>
          </c:tx>
          <c:spPr>
            <a:solidFill>
              <a:srgbClr val="c55a11"/>
            </a:solidFill>
            <a:ln w="28080">
              <a:solidFill>
                <a:srgbClr val="c55a11"/>
              </a:solidFill>
              <a:round/>
            </a:ln>
          </c:spPr>
          <c:marker>
            <c:symbol val="circle"/>
            <c:size val="6"/>
            <c:spPr>
              <a:solidFill>
                <a:srgbClr val="c55a1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Dashboard!$B$50:$B$72</c:f>
              <c:strCache>
                <c:ptCount val="23"/>
                <c:pt idx="0">
                  <c:v>S-39</c:v>
                </c:pt>
                <c:pt idx="1">
                  <c:v>S-40</c:v>
                </c:pt>
                <c:pt idx="2">
                  <c:v>S-41</c:v>
                </c:pt>
                <c:pt idx="3">
                  <c:v>S-42</c:v>
                </c:pt>
                <c:pt idx="4">
                  <c:v>S-43</c:v>
                </c:pt>
                <c:pt idx="5">
                  <c:v>S-44</c:v>
                </c:pt>
                <c:pt idx="6">
                  <c:v>S-45</c:v>
                </c:pt>
                <c:pt idx="7">
                  <c:v>S-46</c:v>
                </c:pt>
                <c:pt idx="8">
                  <c:v>S-47</c:v>
                </c:pt>
                <c:pt idx="9">
                  <c:v>S-48</c:v>
                </c:pt>
                <c:pt idx="10">
                  <c:v>S-49</c:v>
                </c:pt>
                <c:pt idx="11">
                  <c:v>S-50</c:v>
                </c:pt>
                <c:pt idx="12">
                  <c:v>S-51</c:v>
                </c:pt>
                <c:pt idx="13">
                  <c:v>S-52</c:v>
                </c:pt>
                <c:pt idx="14">
                  <c:v>S-53</c:v>
                </c:pt>
                <c:pt idx="15">
                  <c:v>S-54</c:v>
                </c:pt>
                <c:pt idx="16">
                  <c:v>S-55</c:v>
                </c:pt>
                <c:pt idx="17">
                  <c:v>S-56</c:v>
                </c:pt>
                <c:pt idx="18">
                  <c:v>S-57</c:v>
                </c:pt>
                <c:pt idx="19">
                  <c:v>S-58</c:v>
                </c:pt>
                <c:pt idx="20">
                  <c:v>S-59</c:v>
                </c:pt>
                <c:pt idx="21">
                  <c:v>S-60</c:v>
                </c:pt>
                <c:pt idx="22">
                  <c:v>S-61</c:v>
                </c:pt>
              </c:strCache>
            </c:strRef>
          </c:cat>
          <c:val>
            <c:numRef>
              <c:f>Dashboard!$E$50:$E$72</c:f>
              <c:numCache>
                <c:formatCode>#,##0</c:formatCode>
                <c:ptCount val="23"/>
                <c:pt idx="0">
                  <c:v>3</c:v>
                </c:pt>
                <c:pt idx="1">
                  <c:v>4</c:v>
                </c:pt>
                <c:pt idx="2">
                  <c:v>26</c:v>
                </c:pt>
                <c:pt idx="3">
                  <c:v>54</c:v>
                </c:pt>
                <c:pt idx="4">
                  <c:v>105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0950524"/>
        <c:axId val="62680798"/>
      </c:lineChart>
      <c:catAx>
        <c:axId val="851143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74471582"/>
        <c:crosses val="autoZero"/>
        <c:auto val="1"/>
        <c:lblAlgn val="ctr"/>
        <c:lblOffset val="100"/>
        <c:noMultiLvlLbl val="0"/>
      </c:catAx>
      <c:valAx>
        <c:axId val="74471582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ptos Narrow"/>
                  </a:rPr>
                  <a:t>Estacas na semana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85114308"/>
        <c:crosses val="autoZero"/>
        <c:crossBetween val="between"/>
      </c:valAx>
      <c:catAx>
        <c:axId val="20950524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62680798"/>
        <c:crosses val="autoZero"/>
        <c:auto val="1"/>
        <c:lblAlgn val="ctr"/>
        <c:lblOffset val="100"/>
        <c:noMultiLvlLbl val="0"/>
      </c:catAx>
      <c:valAx>
        <c:axId val="62680798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ptos Narrow"/>
                  </a:rPr>
                  <a:t>Acumulado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20950524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30</xdr:row>
      <xdr:rowOff>0</xdr:rowOff>
    </xdr:from>
    <xdr:to>
      <xdr:col>4</xdr:col>
      <xdr:colOff>569160</xdr:colOff>
      <xdr:row>43</xdr:row>
      <xdr:rowOff>187200</xdr:rowOff>
    </xdr:to>
    <xdr:graphicFrame>
      <xdr:nvGraphicFramePr>
        <xdr:cNvPr id="0" name="Chart 1"/>
        <xdr:cNvGraphicFramePr/>
      </xdr:nvGraphicFramePr>
      <xdr:xfrm>
        <a:off x="266760" y="7477200"/>
        <a:ext cx="4391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26</xdr:row>
      <xdr:rowOff>0</xdr:rowOff>
    </xdr:from>
    <xdr:to>
      <xdr:col>9</xdr:col>
      <xdr:colOff>259560</xdr:colOff>
      <xdr:row>41</xdr:row>
      <xdr:rowOff>93960</xdr:rowOff>
    </xdr:to>
    <xdr:graphicFrame>
      <xdr:nvGraphicFramePr>
        <xdr:cNvPr id="1" name="Chart 2"/>
        <xdr:cNvGraphicFramePr/>
      </xdr:nvGraphicFramePr>
      <xdr:xfrm>
        <a:off x="7912080" y="6715080"/>
        <a:ext cx="3815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48</xdr:row>
      <xdr:rowOff>0</xdr:rowOff>
    </xdr:from>
    <xdr:to>
      <xdr:col>10</xdr:col>
      <xdr:colOff>1432800</xdr:colOff>
      <xdr:row>68</xdr:row>
      <xdr:rowOff>111600</xdr:rowOff>
    </xdr:to>
    <xdr:graphicFrame>
      <xdr:nvGraphicFramePr>
        <xdr:cNvPr id="2" name="Chart 3"/>
        <xdr:cNvGraphicFramePr/>
      </xdr:nvGraphicFramePr>
      <xdr:xfrm>
        <a:off x="7912080" y="10848960"/>
        <a:ext cx="5255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true"/>
  </sheetPr>
  <dimension ref="B1:T1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N24" activeCellId="0" sqref="N24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3"/>
    <col collapsed="false" customWidth="true" hidden="false" outlineLevel="0" max="5" min="5" style="1" width="22"/>
    <col collapsed="false" customWidth="true" hidden="false" outlineLevel="0" max="6" min="6" style="1" width="18"/>
    <col collapsed="false" customWidth="true" hidden="false" outlineLevel="0" max="7" min="7" style="1" width="3"/>
    <col collapsed="false" customWidth="true" hidden="false" outlineLevel="0" max="8" min="8" style="1" width="22"/>
    <col collapsed="false" customWidth="true" hidden="false" outlineLevel="0" max="9" min="9" style="1" width="18"/>
    <col collapsed="false" customWidth="true" hidden="false" outlineLevel="0" max="10" min="10" style="1" width="3"/>
    <col collapsed="false" customWidth="true" hidden="false" outlineLevel="0" max="11" min="11" style="1" width="22"/>
    <col collapsed="false" customWidth="true" hidden="false" outlineLevel="0" max="12" min="12" style="1" width="18"/>
    <col collapsed="false" customWidth="true" hidden="false" outlineLevel="0" max="13" min="13" style="1" width="3"/>
    <col collapsed="false" customWidth="true" hidden="true" outlineLevel="0" max="15" min="14" style="1" width="13"/>
  </cols>
  <sheetData>
    <row r="1" customFormat="false" ht="15" hidden="false" customHeight="false" outlineLevel="0" collapsed="false">
      <c r="P1" s="1"/>
      <c r="Q1" s="1"/>
      <c r="R1" s="1"/>
      <c r="S1" s="1"/>
      <c r="T1" s="1"/>
    </row>
    <row r="2" customFormat="false" ht="33.7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N2" s="3" t="s">
        <v>1</v>
      </c>
      <c r="P2" s="1"/>
      <c r="Q2" s="1"/>
      <c r="R2" s="1"/>
      <c r="S2" s="1"/>
      <c r="T2" s="1"/>
    </row>
    <row r="3" customFormat="false" ht="15.75" hidden="false" customHeight="true" outlineLevel="0" collapsed="false">
      <c r="B3" s="4" t="s">
        <v>2</v>
      </c>
      <c r="C3" s="4"/>
      <c r="D3" s="4"/>
      <c r="E3" s="4"/>
      <c r="F3" s="4"/>
      <c r="G3" s="4"/>
      <c r="H3" s="4"/>
      <c r="I3" s="4"/>
      <c r="J3" s="4"/>
      <c r="K3" s="4"/>
      <c r="L3" s="4"/>
      <c r="N3" s="5" t="s">
        <v>3</v>
      </c>
      <c r="O3" s="5" t="n">
        <f aca="false">IF($B$7="TODAS",0,VALUE(RIGHT($B$7,2)))</f>
        <v>0</v>
      </c>
      <c r="P3" s="1"/>
      <c r="Q3" s="1"/>
      <c r="R3" s="1"/>
      <c r="S3" s="1"/>
      <c r="T3" s="1"/>
    </row>
    <row r="4" customFormat="false" ht="6" hidden="false" customHeight="true" outlineLevel="0" collapsed="false">
      <c r="N4" s="5" t="s">
        <v>4</v>
      </c>
      <c r="O4" s="5" t="n">
        <f aca="false">IF($B$7="TODAS",9999,VALUE(RIGHT($B$7,2)))</f>
        <v>9999</v>
      </c>
      <c r="P4" s="1"/>
      <c r="Q4" s="1"/>
      <c r="R4" s="1"/>
      <c r="S4" s="1"/>
      <c r="T4" s="1"/>
    </row>
    <row r="5" customFormat="false" ht="19.5" hidden="false" customHeight="true" outlineLevel="0" collapsed="false">
      <c r="B5" s="6" t="s">
        <v>5</v>
      </c>
      <c r="C5" s="6"/>
      <c r="D5" s="6"/>
      <c r="E5" s="6"/>
      <c r="F5" s="6"/>
      <c r="G5" s="6"/>
      <c r="H5" s="6"/>
      <c r="I5" s="6"/>
      <c r="J5" s="6"/>
      <c r="K5" s="6"/>
      <c r="L5" s="6"/>
      <c r="N5" s="5" t="s">
        <v>6</v>
      </c>
      <c r="O5" s="5" t="n">
        <f aca="false">MAX('Dados Dashboard'!$AE$2:$AE$243)</f>
        <v>43</v>
      </c>
      <c r="P5" s="1"/>
      <c r="Q5" s="1"/>
      <c r="R5" s="1"/>
      <c r="S5" s="1"/>
      <c r="T5" s="1"/>
    </row>
    <row r="6" customFormat="false" ht="15.75" hidden="false" customHeight="true" outlineLevel="0" collapsed="false">
      <c r="B6" s="7" t="s">
        <v>7</v>
      </c>
      <c r="E6" s="7" t="s">
        <v>8</v>
      </c>
      <c r="H6" s="7" t="s">
        <v>9</v>
      </c>
      <c r="K6" s="7" t="s">
        <v>10</v>
      </c>
      <c r="N6" s="5" t="s">
        <v>11</v>
      </c>
      <c r="O6" s="8" t="n">
        <f aca="false">MIN('Dados Dashboard'!$AA$2:$AA$243)</f>
        <v>46233</v>
      </c>
      <c r="P6" s="1"/>
      <c r="Q6" s="1"/>
      <c r="R6" s="1"/>
      <c r="S6" s="1"/>
      <c r="T6" s="1"/>
    </row>
    <row r="7" customFormat="false" ht="18" hidden="false" customHeight="true" outlineLevel="0" collapsed="false">
      <c r="B7" s="9" t="s">
        <v>12</v>
      </c>
      <c r="E7" s="10" t="n">
        <v>46227</v>
      </c>
      <c r="H7" s="10" t="n">
        <v>46387</v>
      </c>
      <c r="K7" s="11" t="n">
        <f aca="true">TODAY()</f>
        <v>46266</v>
      </c>
      <c r="N7" s="5" t="s">
        <v>13</v>
      </c>
      <c r="O7" s="5" t="n">
        <f aca="false">IF($O$6=0,0,NETWORKDAYS($O$6,MAX('Dados Dashboard'!$AA$2:$AA$243)))</f>
        <v>20</v>
      </c>
      <c r="P7" s="1"/>
      <c r="Q7" s="1"/>
      <c r="R7" s="1"/>
      <c r="S7" s="1"/>
      <c r="T7" s="1"/>
    </row>
    <row r="8" customFormat="false" ht="6" hidden="false" customHeight="true" outlineLevel="0" collapsed="false">
      <c r="P8" s="1"/>
      <c r="Q8" s="1"/>
      <c r="R8" s="1"/>
      <c r="S8" s="1"/>
      <c r="T8" s="1"/>
    </row>
    <row r="9" customFormat="false" ht="19.5" hidden="false" customHeight="true" outlineLevel="0" collapsed="false">
      <c r="B9" s="6" t="s">
        <v>14</v>
      </c>
      <c r="C9" s="6"/>
      <c r="D9" s="6"/>
      <c r="E9" s="6"/>
      <c r="F9" s="6"/>
      <c r="G9" s="6"/>
      <c r="H9" s="6"/>
      <c r="I9" s="6"/>
      <c r="J9" s="6"/>
      <c r="K9" s="6"/>
      <c r="L9" s="6"/>
      <c r="P9" s="1"/>
      <c r="Q9" s="1"/>
      <c r="R9" s="1"/>
      <c r="S9" s="1"/>
      <c r="T9" s="1"/>
    </row>
    <row r="10" customFormat="false" ht="27.75" hidden="false" customHeight="true" outlineLevel="0" collapsed="false">
      <c r="B10" s="12" t="s">
        <v>15</v>
      </c>
      <c r="C10" s="12"/>
      <c r="E10" s="12" t="s">
        <v>16</v>
      </c>
      <c r="F10" s="12"/>
      <c r="H10" s="12" t="s">
        <v>17</v>
      </c>
      <c r="I10" s="12"/>
      <c r="K10" s="12" t="s">
        <v>18</v>
      </c>
      <c r="L10" s="12"/>
      <c r="P10" s="1"/>
      <c r="Q10" s="1"/>
      <c r="R10" s="1"/>
      <c r="S10" s="1"/>
      <c r="T10" s="1"/>
    </row>
    <row r="11" customFormat="false" ht="33.75" hidden="false" customHeight="true" outlineLevel="0" collapsed="false">
      <c r="B11" s="13" t="n">
        <f aca="false">SUM('Dados Dashboard'!$Q$2:$Q$243)</f>
        <v>105</v>
      </c>
      <c r="C11" s="13"/>
      <c r="E11" s="13" t="n">
        <f aca="false">COUNT('Programação Estaca'!$A$2:$A$1000)</f>
        <v>224</v>
      </c>
      <c r="F11" s="13"/>
      <c r="H11" s="13" t="n">
        <f aca="false">MAX(0,$E$11-$B$11)</f>
        <v>119</v>
      </c>
      <c r="I11" s="13"/>
      <c r="K11" s="14" t="n">
        <f aca="false">IF($E$11=0,0,$B$11/$E$11)</f>
        <v>0.46875</v>
      </c>
      <c r="L11" s="14"/>
      <c r="P11" s="1"/>
      <c r="Q11" s="1"/>
      <c r="R11" s="1"/>
      <c r="S11" s="1"/>
      <c r="T11" s="1"/>
    </row>
    <row r="12" customFormat="false" ht="27.75" hidden="false" customHeight="true" outlineLevel="0" collapsed="false">
      <c r="B12" s="12" t="s">
        <v>19</v>
      </c>
      <c r="C12" s="12"/>
      <c r="E12" s="12" t="s">
        <v>20</v>
      </c>
      <c r="F12" s="12"/>
      <c r="H12" s="12" t="s">
        <v>21</v>
      </c>
      <c r="I12" s="12"/>
      <c r="K12" s="12" t="s">
        <v>22</v>
      </c>
      <c r="L12" s="12"/>
      <c r="P12" s="1"/>
      <c r="Q12" s="1"/>
      <c r="R12" s="1"/>
      <c r="S12" s="1"/>
      <c r="T12" s="1"/>
    </row>
    <row r="13" customFormat="false" ht="33.75" hidden="false" customHeight="true" outlineLevel="0" collapsed="false">
      <c r="B13" s="13" t="n">
        <f aca="false">SUM('Dados Dashboard'!$Z$2:$Z$243)</f>
        <v>12</v>
      </c>
      <c r="C13" s="13"/>
      <c r="E13" s="15" t="n">
        <f aca="false">IF($B$13=0,0,$B$11/$B$13)</f>
        <v>8.75</v>
      </c>
      <c r="F13" s="15"/>
      <c r="H13" s="15" t="n">
        <f aca="false">IF($O$7=0,0,$B$11/$O$7)</f>
        <v>5.25</v>
      </c>
      <c r="I13" s="15"/>
      <c r="K13" s="16" t="n">
        <f aca="false">IF($H$13=0,"",WORKDAY($K$7,ROUNDUP($H$11/$H$13,0)))</f>
        <v>46297</v>
      </c>
      <c r="L13" s="16"/>
      <c r="P13" s="1"/>
      <c r="Q13" s="1"/>
      <c r="R13" s="1"/>
      <c r="S13" s="1"/>
      <c r="T13" s="1"/>
    </row>
    <row r="14" customFormat="false" ht="19.5" hidden="false" customHeight="true" outlineLevel="0" collapsed="false">
      <c r="B14" s="17" t="str">
        <f aca="false">REPT("■",ROUND($K$11*40,0))&amp;REPT("·",40-ROUND($K$11*40,0))&amp;"   "&amp;TEXT($B$11,"#,##0")&amp;" de "&amp;TEXT($E$11,"#,##0")&amp;" estacas ("&amp;TEXT($K$11,"0.0%")&amp;")     |     "&amp;TEXT($B$13,"#,##0")&amp;" de "&amp;TEXT($O$7,"#,##0")&amp;" dias úteis com produção ("&amp;TEXT(IF($O$7=0,0,$B$13/$O$7),"0%")&amp;")"</f>
        <v>■■■■■■■■■■■■■■■■■■■·····················   105 de 224 estacas (46.9%)     |     12 de 20 dias úteis com produção (60%)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P14" s="1"/>
      <c r="Q14" s="1"/>
      <c r="R14" s="1"/>
      <c r="S14" s="1"/>
      <c r="T14" s="1"/>
    </row>
    <row r="15" customFormat="false" ht="6" hidden="false" customHeight="true" outlineLevel="0" collapsed="false">
      <c r="P15" s="1"/>
      <c r="Q15" s="1"/>
      <c r="R15" s="1"/>
      <c r="S15" s="1"/>
      <c r="T15" s="1"/>
    </row>
    <row r="16" customFormat="false" ht="19.5" hidden="false" customHeight="true" outlineLevel="0" collapsed="false">
      <c r="B16" s="6" t="s">
        <v>23</v>
      </c>
      <c r="C16" s="6"/>
      <c r="D16" s="6"/>
      <c r="E16" s="6"/>
      <c r="F16" s="6"/>
      <c r="G16" s="6"/>
      <c r="H16" s="6"/>
      <c r="I16" s="6"/>
      <c r="J16" s="6"/>
      <c r="K16" s="6"/>
      <c r="L16" s="6"/>
      <c r="P16" s="1"/>
      <c r="Q16" s="1"/>
      <c r="R16" s="1"/>
      <c r="S16" s="1"/>
      <c r="T16" s="1"/>
    </row>
    <row r="17" customFormat="false" ht="27.75" hidden="false" customHeight="true" outlineLevel="0" collapsed="false">
      <c r="B17" s="12" t="s">
        <v>15</v>
      </c>
      <c r="C17" s="12"/>
      <c r="E17" s="12" t="s">
        <v>19</v>
      </c>
      <c r="F17" s="12"/>
      <c r="H17" s="12" t="s">
        <v>24</v>
      </c>
      <c r="I17" s="12"/>
      <c r="K17" s="12" t="s">
        <v>25</v>
      </c>
      <c r="L17" s="12"/>
      <c r="P17" s="1"/>
      <c r="Q17" s="1"/>
      <c r="R17" s="1"/>
      <c r="S17" s="1"/>
      <c r="T17" s="1"/>
    </row>
    <row r="18" customFormat="false" ht="33.75" hidden="false" customHeight="true" outlineLevel="0" collapsed="false">
      <c r="B18" s="13" t="n">
        <f aca="false">SUMIFS('Dados Dashboard'!$Q:$Q,'Dados Dashboard'!$D:$D,"&gt;="&amp;$O$3,'Dados Dashboard'!$D:$D,"&lt;="&amp;$O$4,'Dados Dashboard'!$A:$A,"&gt;="&amp;$E$7,'Dados Dashboard'!$A:$A,"&lt;="&amp;$H$7)</f>
        <v>105</v>
      </c>
      <c r="C18" s="13"/>
      <c r="E18" s="13" t="n">
        <f aca="false">SUMIFS('Dados Dashboard'!$Z:$Z,'Dados Dashboard'!$D:$D,"&gt;="&amp;$O$3,'Dados Dashboard'!$D:$D,"&lt;="&amp;$O$4,'Dados Dashboard'!$A:$A,"&gt;="&amp;$E$7,'Dados Dashboard'!$A:$A,"&lt;="&amp;$H$7)</f>
        <v>12</v>
      </c>
      <c r="F18" s="13"/>
      <c r="H18" s="15" t="n">
        <f aca="false">IF($E$18=0,0,$B$18/$E$18)</f>
        <v>8.75</v>
      </c>
      <c r="I18" s="15"/>
      <c r="K18" s="13" t="n">
        <f aca="false">SUMIFS('Dados Dashboard'!$R:$R,'Dados Dashboard'!$D:$D,"&gt;="&amp;$O$3,'Dados Dashboard'!$D:$D,"&lt;="&amp;$O$4,'Dados Dashboard'!$A:$A,"&gt;="&amp;$E$7,'Dados Dashboard'!$A:$A,"&lt;="&amp;$H$7)</f>
        <v>10</v>
      </c>
      <c r="L18" s="13"/>
      <c r="P18" s="1"/>
      <c r="Q18" s="1"/>
      <c r="R18" s="1"/>
      <c r="S18" s="1"/>
      <c r="T18" s="1"/>
    </row>
    <row r="19" customFormat="false" ht="27.75" hidden="false" customHeight="true" outlineLevel="0" collapsed="false">
      <c r="B19" s="12" t="s">
        <v>26</v>
      </c>
      <c r="C19" s="12"/>
      <c r="E19" s="12" t="s">
        <v>27</v>
      </c>
      <c r="F19" s="12"/>
      <c r="H19" s="12" t="s">
        <v>28</v>
      </c>
      <c r="I19" s="12"/>
      <c r="K19" s="12" t="s">
        <v>29</v>
      </c>
      <c r="L19" s="12"/>
      <c r="P19" s="1"/>
      <c r="Q19" s="1"/>
      <c r="R19" s="1"/>
      <c r="S19" s="1"/>
      <c r="T19" s="1"/>
    </row>
    <row r="20" customFormat="false" ht="33.75" hidden="false" customHeight="true" outlineLevel="0" collapsed="false">
      <c r="B20" s="13" t="n">
        <f aca="false">SUMIFS('Dados Dashboard'!$S:$S,'Dados Dashboard'!$D:$D,"&gt;="&amp;$O$3,'Dados Dashboard'!$D:$D,"&lt;="&amp;$O$4,'Dados Dashboard'!$A:$A,"&gt;="&amp;$E$7,'Dados Dashboard'!$A:$A,"&lt;="&amp;$H$7)</f>
        <v>92</v>
      </c>
      <c r="C20" s="13"/>
      <c r="E20" s="13" t="n">
        <f aca="false">SUMIFS('Dados Dashboard'!$T:$T,'Dados Dashboard'!$D:$D,"&gt;="&amp;$O$3,'Dados Dashboard'!$D:$D,"&lt;="&amp;$O$4,'Dados Dashboard'!$A:$A,"&gt;="&amp;$E$7,'Dados Dashboard'!$A:$A,"&lt;="&amp;$H$7)</f>
        <v>13</v>
      </c>
      <c r="F20" s="13"/>
      <c r="H20" s="13" t="n">
        <f aca="false">SUMIFS('Dados Dashboard'!$U:$U,'Dados Dashboard'!$D:$D,"&gt;="&amp;$O$3,'Dados Dashboard'!$D:$D,"&lt;="&amp;$O$4,'Dados Dashboard'!$A:$A,"&gt;="&amp;$E$7,'Dados Dashboard'!$A:$A,"&lt;="&amp;$H$7)</f>
        <v>89</v>
      </c>
      <c r="I20" s="13"/>
      <c r="K20" s="13" t="n">
        <f aca="false">SUMIFS('Dados Dashboard'!$V:$V,'Dados Dashboard'!$D:$D,"&gt;="&amp;$O$3,'Dados Dashboard'!$D:$D,"&lt;="&amp;$O$4,'Dados Dashboard'!$A:$A,"&gt;="&amp;$E$7,'Dados Dashboard'!$A:$A,"&lt;="&amp;$H$7)</f>
        <v>46</v>
      </c>
      <c r="L20" s="13"/>
      <c r="P20" s="1"/>
      <c r="Q20" s="1"/>
      <c r="R20" s="1"/>
      <c r="S20" s="1"/>
      <c r="T20" s="1"/>
    </row>
    <row r="21" customFormat="false" ht="6" hidden="false" customHeight="true" outlineLevel="0" collapsed="false">
      <c r="P21" s="1"/>
      <c r="Q21" s="1"/>
      <c r="R21" s="1"/>
      <c r="S21" s="1"/>
      <c r="T21" s="1"/>
    </row>
    <row r="22" customFormat="false" ht="19.5" hidden="false" customHeight="true" outlineLevel="0" collapsed="false">
      <c r="B22" s="6" t="s">
        <v>30</v>
      </c>
      <c r="C22" s="6"/>
      <c r="D22" s="6"/>
      <c r="E22" s="6"/>
      <c r="F22" s="6"/>
      <c r="H22" s="6" t="s">
        <v>31</v>
      </c>
      <c r="I22" s="6"/>
      <c r="J22" s="6"/>
      <c r="K22" s="6"/>
      <c r="L22" s="6"/>
      <c r="P22" s="1"/>
      <c r="Q22" s="1"/>
      <c r="R22" s="1"/>
      <c r="S22" s="1"/>
      <c r="T22" s="1"/>
    </row>
    <row r="23" customFormat="false" ht="18" hidden="false" customHeight="true" outlineLevel="0" collapsed="false">
      <c r="B23" s="18" t="s">
        <v>32</v>
      </c>
      <c r="C23" s="19" t="s">
        <v>33</v>
      </c>
      <c r="H23" s="18" t="s">
        <v>34</v>
      </c>
      <c r="I23" s="19" t="s">
        <v>35</v>
      </c>
      <c r="P23" s="1"/>
      <c r="Q23" s="1"/>
      <c r="R23" s="1"/>
      <c r="S23" s="1"/>
      <c r="T23" s="1"/>
    </row>
    <row r="24" customFormat="false" ht="15" hidden="false" customHeight="false" outlineLevel="0" collapsed="false">
      <c r="B24" s="20" t="s">
        <v>26</v>
      </c>
      <c r="C24" s="21" t="n">
        <f aca="false">$B$20</f>
        <v>92</v>
      </c>
      <c r="H24" s="22" t="s">
        <v>36</v>
      </c>
      <c r="I24" s="23" t="n">
        <f aca="false">$B$11</f>
        <v>105</v>
      </c>
      <c r="P24" s="1"/>
      <c r="Q24" s="1"/>
      <c r="R24" s="1"/>
      <c r="S24" s="1"/>
      <c r="T24" s="1"/>
    </row>
    <row r="25" customFormat="false" ht="15" hidden="false" customHeight="false" outlineLevel="0" collapsed="false">
      <c r="B25" s="24" t="s">
        <v>27</v>
      </c>
      <c r="C25" s="25" t="n">
        <f aca="false">$E$20</f>
        <v>13</v>
      </c>
      <c r="H25" s="24" t="s">
        <v>37</v>
      </c>
      <c r="I25" s="25" t="n">
        <f aca="false">$H$11</f>
        <v>119</v>
      </c>
      <c r="P25" s="1"/>
      <c r="Q25" s="1"/>
      <c r="R25" s="1"/>
      <c r="S25" s="1"/>
      <c r="T25" s="1"/>
    </row>
    <row r="26" customFormat="false" ht="15" hidden="false" customHeight="false" outlineLevel="0" collapsed="false">
      <c r="B26" s="20" t="s">
        <v>38</v>
      </c>
      <c r="C26" s="21" t="n">
        <f aca="false">$H$20</f>
        <v>89</v>
      </c>
      <c r="P26" s="1"/>
      <c r="Q26" s="1"/>
      <c r="R26" s="1"/>
      <c r="S26" s="1"/>
      <c r="T26" s="1"/>
    </row>
    <row r="27" customFormat="false" ht="15" hidden="false" customHeight="false" outlineLevel="0" collapsed="false">
      <c r="B27" s="24" t="s">
        <v>39</v>
      </c>
      <c r="C27" s="25" t="n">
        <f aca="false">SUMIFS('Dados Dashboard'!$AB:$AB,'Dados Dashboard'!$D:$D,"&gt;="&amp;$O$3,'Dados Dashboard'!$D:$D,"&lt;="&amp;$O$4,'Dados Dashboard'!$A:$A,"&gt;="&amp;$E$7,'Dados Dashboard'!$A:$A,"&lt;="&amp;$H$7)</f>
        <v>0</v>
      </c>
      <c r="P27" s="1"/>
      <c r="Q27" s="1"/>
      <c r="R27" s="1"/>
      <c r="S27" s="1"/>
      <c r="T27" s="1"/>
    </row>
    <row r="28" customFormat="false" ht="15" hidden="false" customHeight="false" outlineLevel="0" collapsed="false">
      <c r="B28" s="20" t="s">
        <v>40</v>
      </c>
      <c r="C28" s="21" t="n">
        <f aca="false">SUMIFS('Dados Dashboard'!$AC:$AC,'Dados Dashboard'!$D:$D,"&gt;="&amp;$O$3,'Dados Dashboard'!$D:$D,"&lt;="&amp;$O$4,'Dados Dashboard'!$A:$A,"&gt;="&amp;$E$7,'Dados Dashboard'!$A:$A,"&lt;="&amp;$H$7)</f>
        <v>0</v>
      </c>
      <c r="P28" s="1"/>
      <c r="Q28" s="1"/>
      <c r="R28" s="1"/>
      <c r="S28" s="1"/>
      <c r="T28" s="1"/>
    </row>
    <row r="29" customFormat="false" ht="15" hidden="false" customHeight="false" outlineLevel="0" collapsed="false">
      <c r="B29" s="24" t="s">
        <v>41</v>
      </c>
      <c r="C29" s="25" t="n">
        <f aca="false">SUMIFS('Dados Dashboard'!$AD:$AD,'Dados Dashboard'!$D:$D,"&gt;="&amp;$O$3,'Dados Dashboard'!$D:$D,"&lt;="&amp;$O$4,'Dados Dashboard'!$A:$A,"&gt;="&amp;$E$7,'Dados Dashboard'!$A:$A,"&lt;="&amp;$H$7)</f>
        <v>0</v>
      </c>
      <c r="P29" s="1"/>
      <c r="Q29" s="1"/>
      <c r="R29" s="1"/>
      <c r="S29" s="1"/>
      <c r="T29" s="1"/>
    </row>
    <row r="30" customFormat="false" ht="15" hidden="false" customHeight="false" outlineLevel="0" collapsed="false">
      <c r="P30" s="1"/>
      <c r="Q30" s="1"/>
      <c r="R30" s="1"/>
      <c r="S30" s="1"/>
      <c r="T30" s="1"/>
    </row>
    <row r="31" customFormat="false" ht="15" hidden="false" customHeight="false" outlineLevel="0" collapsed="false">
      <c r="P31" s="1"/>
      <c r="Q31" s="1"/>
      <c r="R31" s="1"/>
      <c r="S31" s="1"/>
      <c r="T31" s="1"/>
    </row>
    <row r="32" customFormat="false" ht="15" hidden="false" customHeight="false" outlineLevel="0" collapsed="false">
      <c r="P32" s="1"/>
      <c r="Q32" s="1"/>
      <c r="R32" s="1"/>
      <c r="S32" s="1"/>
      <c r="T32" s="1"/>
    </row>
    <row r="33" customFormat="false" ht="15" hidden="false" customHeight="false" outlineLevel="0" collapsed="false">
      <c r="P33" s="1"/>
      <c r="Q33" s="1"/>
      <c r="R33" s="1"/>
      <c r="S33" s="1"/>
      <c r="T33" s="1"/>
    </row>
    <row r="34" customFormat="false" ht="15" hidden="false" customHeight="false" outlineLevel="0" collapsed="false">
      <c r="P34" s="1"/>
      <c r="Q34" s="1"/>
      <c r="R34" s="1"/>
      <c r="S34" s="1"/>
      <c r="T34" s="1"/>
    </row>
    <row r="35" customFormat="false" ht="15" hidden="false" customHeight="false" outlineLevel="0" collapsed="false">
      <c r="P35" s="1"/>
      <c r="Q35" s="1"/>
      <c r="R35" s="1"/>
      <c r="S35" s="1"/>
      <c r="T35" s="1"/>
    </row>
    <row r="36" customFormat="false" ht="15" hidden="false" customHeight="false" outlineLevel="0" collapsed="false">
      <c r="P36" s="1"/>
      <c r="Q36" s="1"/>
      <c r="R36" s="1"/>
      <c r="S36" s="1"/>
      <c r="T36" s="1"/>
    </row>
    <row r="37" customFormat="false" ht="15" hidden="false" customHeight="false" outlineLevel="0" collapsed="false">
      <c r="P37" s="1"/>
      <c r="Q37" s="1"/>
      <c r="R37" s="1"/>
      <c r="S37" s="1"/>
      <c r="T37" s="1"/>
    </row>
    <row r="38" customFormat="false" ht="15" hidden="false" customHeight="false" outlineLevel="0" collapsed="false">
      <c r="P38" s="1"/>
      <c r="Q38" s="1"/>
      <c r="R38" s="1"/>
      <c r="S38" s="1"/>
      <c r="T38" s="1"/>
    </row>
    <row r="39" customFormat="false" ht="15" hidden="false" customHeight="false" outlineLevel="0" collapsed="false">
      <c r="P39" s="1"/>
      <c r="Q39" s="1"/>
      <c r="R39" s="1"/>
      <c r="S39" s="1"/>
      <c r="T39" s="1"/>
    </row>
    <row r="40" customFormat="false" ht="15" hidden="false" customHeight="false" outlineLevel="0" collapsed="false">
      <c r="P40" s="1"/>
      <c r="Q40" s="1"/>
      <c r="R40" s="1"/>
      <c r="S40" s="1"/>
      <c r="T40" s="1"/>
    </row>
    <row r="41" customFormat="false" ht="15" hidden="false" customHeight="false" outlineLevel="0" collapsed="false">
      <c r="P41" s="1"/>
      <c r="Q41" s="1"/>
      <c r="R41" s="1"/>
      <c r="S41" s="1"/>
      <c r="T41" s="1"/>
    </row>
    <row r="42" customFormat="false" ht="15" hidden="false" customHeight="false" outlineLevel="0" collapsed="false">
      <c r="P42" s="1"/>
      <c r="Q42" s="1"/>
      <c r="R42" s="1"/>
      <c r="S42" s="1"/>
      <c r="T42" s="1"/>
    </row>
    <row r="43" customFormat="false" ht="15" hidden="false" customHeight="false" outlineLevel="0" collapsed="false">
      <c r="P43" s="1"/>
      <c r="Q43" s="1"/>
      <c r="R43" s="1"/>
      <c r="S43" s="1"/>
      <c r="T43" s="1"/>
    </row>
    <row r="44" customFormat="false" ht="15" hidden="false" customHeight="false" outlineLevel="0" collapsed="false">
      <c r="P44" s="1"/>
      <c r="Q44" s="1"/>
      <c r="R44" s="1"/>
      <c r="S44" s="1"/>
      <c r="T44" s="1"/>
    </row>
    <row r="45" customFormat="false" ht="15" hidden="false" customHeight="false" outlineLevel="0" collapsed="false">
      <c r="P45" s="1"/>
      <c r="Q45" s="1"/>
      <c r="R45" s="1"/>
      <c r="S45" s="1"/>
      <c r="T45" s="1"/>
    </row>
    <row r="46" customFormat="false" ht="15" hidden="false" customHeight="false" outlineLevel="0" collapsed="false">
      <c r="P46" s="1"/>
      <c r="Q46" s="1"/>
      <c r="R46" s="1"/>
      <c r="S46" s="1"/>
      <c r="T46" s="1"/>
    </row>
    <row r="47" customFormat="false" ht="6" hidden="false" customHeight="true" outlineLevel="0" collapsed="false">
      <c r="P47" s="1"/>
      <c r="Q47" s="1"/>
      <c r="R47" s="1"/>
      <c r="S47" s="1"/>
      <c r="T47" s="1"/>
    </row>
    <row r="48" customFormat="false" ht="19.5" hidden="false" customHeight="true" outlineLevel="0" collapsed="false">
      <c r="B48" s="6" t="s">
        <v>42</v>
      </c>
      <c r="C48" s="6"/>
      <c r="D48" s="6"/>
      <c r="E48" s="6"/>
      <c r="F48" s="6"/>
      <c r="G48" s="6"/>
      <c r="H48" s="6"/>
      <c r="I48" s="6"/>
      <c r="J48" s="6"/>
      <c r="K48" s="6"/>
      <c r="L48" s="6"/>
      <c r="P48" s="1"/>
      <c r="Q48" s="1"/>
      <c r="R48" s="1"/>
      <c r="S48" s="1"/>
      <c r="T48" s="1"/>
    </row>
    <row r="49" customFormat="false" ht="18" hidden="false" customHeight="true" outlineLevel="0" collapsed="false">
      <c r="B49" s="18" t="s">
        <v>43</v>
      </c>
      <c r="C49" s="19" t="s">
        <v>44</v>
      </c>
      <c r="E49" s="19" t="s">
        <v>45</v>
      </c>
      <c r="F49" s="19" t="s">
        <v>46</v>
      </c>
      <c r="P49" s="1"/>
      <c r="Q49" s="1"/>
      <c r="R49" s="1"/>
      <c r="S49" s="1"/>
      <c r="T49" s="1"/>
    </row>
    <row r="50" customFormat="false" ht="15" hidden="false" customHeight="false" outlineLevel="0" collapsed="false">
      <c r="B50" s="20" t="str">
        <f aca="false">Listas!A3</f>
        <v>S-39</v>
      </c>
      <c r="C50" s="21" t="n">
        <f aca="false">SUMIFS('Dados Dashboard'!$Q:$Q,'Dados Dashboard'!$D:$D,VALUE(RIGHT($B50,2)))</f>
        <v>3</v>
      </c>
      <c r="E50" s="21" t="n">
        <f aca="false">IF(VALUE(RIGHT($B50,2))&gt;$O$5,"",SUM($C$50:C50))</f>
        <v>3</v>
      </c>
      <c r="F50" s="21" t="n">
        <f aca="false">SUMIFS('Dados Dashboard'!$R:$R,'Dados Dashboard'!$D:$D,VALUE(RIGHT($B50,2)))</f>
        <v>1</v>
      </c>
      <c r="P50" s="1"/>
      <c r="Q50" s="1"/>
      <c r="R50" s="1"/>
      <c r="S50" s="1"/>
      <c r="T50" s="1"/>
    </row>
    <row r="51" customFormat="false" ht="15" hidden="false" customHeight="false" outlineLevel="0" collapsed="false">
      <c r="B51" s="24" t="str">
        <f aca="false">Listas!A4</f>
        <v>S-40</v>
      </c>
      <c r="C51" s="25" t="n">
        <f aca="false">SUMIFS('Dados Dashboard'!$Q:$Q,'Dados Dashboard'!$D:$D,VALUE(RIGHT($B51,2)))</f>
        <v>1</v>
      </c>
      <c r="E51" s="25" t="n">
        <f aca="false">IF(VALUE(RIGHT($B51,2))&gt;$O$5,"",SUM($C$50:C51))</f>
        <v>4</v>
      </c>
      <c r="F51" s="25" t="n">
        <f aca="false">SUMIFS('Dados Dashboard'!$R:$R,'Dados Dashboard'!$D:$D,VALUE(RIGHT($B51,2)))</f>
        <v>4</v>
      </c>
      <c r="P51" s="1"/>
      <c r="Q51" s="1"/>
      <c r="R51" s="1"/>
      <c r="S51" s="1"/>
      <c r="T51" s="1"/>
    </row>
    <row r="52" customFormat="false" ht="15" hidden="false" customHeight="false" outlineLevel="0" collapsed="false">
      <c r="B52" s="20" t="str">
        <f aca="false">Listas!A5</f>
        <v>S-41</v>
      </c>
      <c r="C52" s="21" t="n">
        <f aca="false">SUMIFS('Dados Dashboard'!$Q:$Q,'Dados Dashboard'!$D:$D,VALUE(RIGHT($B52,2)))</f>
        <v>22</v>
      </c>
      <c r="E52" s="21" t="n">
        <f aca="false">IF(VALUE(RIGHT($B52,2))&gt;$O$5,"",SUM($C$50:C52))</f>
        <v>26</v>
      </c>
      <c r="F52" s="21" t="n">
        <f aca="false">SUMIFS('Dados Dashboard'!$R:$R,'Dados Dashboard'!$D:$D,VALUE(RIGHT($B52,2)))</f>
        <v>2</v>
      </c>
      <c r="P52" s="1"/>
      <c r="Q52" s="1"/>
      <c r="R52" s="1"/>
      <c r="S52" s="1"/>
      <c r="T52" s="1"/>
    </row>
    <row r="53" customFormat="false" ht="15" hidden="false" customHeight="false" outlineLevel="0" collapsed="false">
      <c r="B53" s="24" t="str">
        <f aca="false">Listas!A6</f>
        <v>S-42</v>
      </c>
      <c r="C53" s="25" t="n">
        <f aca="false">SUMIFS('Dados Dashboard'!$Q:$Q,'Dados Dashboard'!$D:$D,VALUE(RIGHT($B53,2)))</f>
        <v>28</v>
      </c>
      <c r="E53" s="25" t="n">
        <f aca="false">IF(VALUE(RIGHT($B53,2))&gt;$O$5,"",SUM($C$50:C53))</f>
        <v>54</v>
      </c>
      <c r="F53" s="25" t="n">
        <f aca="false">SUMIFS('Dados Dashboard'!$R:$R,'Dados Dashboard'!$D:$D,VALUE(RIGHT($B53,2)))</f>
        <v>3</v>
      </c>
      <c r="P53" s="1"/>
      <c r="Q53" s="1"/>
      <c r="R53" s="1"/>
      <c r="S53" s="1"/>
      <c r="T53" s="1"/>
    </row>
    <row r="54" customFormat="false" ht="15" hidden="false" customHeight="false" outlineLevel="0" collapsed="false">
      <c r="B54" s="20" t="str">
        <f aca="false">Listas!A7</f>
        <v>S-43</v>
      </c>
      <c r="C54" s="21" t="n">
        <f aca="false">SUMIFS('Dados Dashboard'!$Q:$Q,'Dados Dashboard'!$D:$D,VALUE(RIGHT($B54,2)))</f>
        <v>51</v>
      </c>
      <c r="E54" s="21" t="n">
        <f aca="false">IF(VALUE(RIGHT($B54,2))&gt;$O$5,"",SUM($C$50:C54))</f>
        <v>105</v>
      </c>
      <c r="F54" s="21" t="n">
        <f aca="false">SUMIFS('Dados Dashboard'!$R:$R,'Dados Dashboard'!$D:$D,VALUE(RIGHT($B54,2)))</f>
        <v>0</v>
      </c>
      <c r="P54" s="1"/>
      <c r="Q54" s="1"/>
      <c r="R54" s="1"/>
      <c r="S54" s="1"/>
      <c r="T54" s="1"/>
    </row>
    <row r="55" customFormat="false" ht="15" hidden="false" customHeight="false" outlineLevel="0" collapsed="false">
      <c r="B55" s="24" t="str">
        <f aca="false">Listas!A8</f>
        <v>S-44</v>
      </c>
      <c r="C55" s="25" t="n">
        <f aca="false">SUMIFS('Dados Dashboard'!$Q:$Q,'Dados Dashboard'!$D:$D,VALUE(RIGHT($B55,2)))</f>
        <v>0</v>
      </c>
      <c r="E55" s="25" t="str">
        <f aca="false">IF(VALUE(RIGHT($B55,2))&gt;$O$5,"",SUM($C$50:C55))</f>
        <v/>
      </c>
      <c r="F55" s="25" t="n">
        <f aca="false">SUMIFS('Dados Dashboard'!$R:$R,'Dados Dashboard'!$D:$D,VALUE(RIGHT($B55,2)))</f>
        <v>0</v>
      </c>
      <c r="P55" s="1"/>
      <c r="Q55" s="1"/>
      <c r="R55" s="1"/>
      <c r="S55" s="1"/>
      <c r="T55" s="1"/>
    </row>
    <row r="56" customFormat="false" ht="15" hidden="false" customHeight="false" outlineLevel="0" collapsed="false">
      <c r="B56" s="20" t="str">
        <f aca="false">Listas!A9</f>
        <v>S-45</v>
      </c>
      <c r="C56" s="21" t="n">
        <f aca="false">SUMIFS('Dados Dashboard'!$Q:$Q,'Dados Dashboard'!$D:$D,VALUE(RIGHT($B56,2)))</f>
        <v>0</v>
      </c>
      <c r="E56" s="21" t="str">
        <f aca="false">IF(VALUE(RIGHT($B56,2))&gt;$O$5,"",SUM($C$50:C56))</f>
        <v/>
      </c>
      <c r="F56" s="21" t="n">
        <f aca="false">SUMIFS('Dados Dashboard'!$R:$R,'Dados Dashboard'!$D:$D,VALUE(RIGHT($B56,2)))</f>
        <v>0</v>
      </c>
      <c r="P56" s="1"/>
      <c r="Q56" s="1"/>
      <c r="R56" s="1"/>
      <c r="S56" s="1"/>
      <c r="T56" s="1"/>
    </row>
    <row r="57" customFormat="false" ht="15" hidden="false" customHeight="false" outlineLevel="0" collapsed="false">
      <c r="B57" s="24" t="str">
        <f aca="false">Listas!A10</f>
        <v>S-46</v>
      </c>
      <c r="C57" s="25" t="n">
        <f aca="false">SUMIFS('Dados Dashboard'!$Q:$Q,'Dados Dashboard'!$D:$D,VALUE(RIGHT($B57,2)))</f>
        <v>0</v>
      </c>
      <c r="E57" s="25" t="str">
        <f aca="false">IF(VALUE(RIGHT($B57,2))&gt;$O$5,"",SUM($C$50:C57))</f>
        <v/>
      </c>
      <c r="F57" s="25" t="n">
        <f aca="false">SUMIFS('Dados Dashboard'!$R:$R,'Dados Dashboard'!$D:$D,VALUE(RIGHT($B57,2)))</f>
        <v>0</v>
      </c>
      <c r="P57" s="1"/>
      <c r="Q57" s="1"/>
      <c r="R57" s="1"/>
      <c r="S57" s="1"/>
      <c r="T57" s="1"/>
    </row>
    <row r="58" customFormat="false" ht="15" hidden="false" customHeight="false" outlineLevel="0" collapsed="false">
      <c r="B58" s="20" t="str">
        <f aca="false">Listas!A11</f>
        <v>S-47</v>
      </c>
      <c r="C58" s="21" t="n">
        <f aca="false">SUMIFS('Dados Dashboard'!$Q:$Q,'Dados Dashboard'!$D:$D,VALUE(RIGHT($B58,2)))</f>
        <v>0</v>
      </c>
      <c r="E58" s="21" t="str">
        <f aca="false">IF(VALUE(RIGHT($B58,2))&gt;$O$5,"",SUM($C$50:C58))</f>
        <v/>
      </c>
      <c r="F58" s="21" t="n">
        <f aca="false">SUMIFS('Dados Dashboard'!$R:$R,'Dados Dashboard'!$D:$D,VALUE(RIGHT($B58,2)))</f>
        <v>0</v>
      </c>
      <c r="P58" s="1"/>
      <c r="Q58" s="1"/>
      <c r="R58" s="1"/>
      <c r="S58" s="1"/>
      <c r="T58" s="1"/>
    </row>
    <row r="59" customFormat="false" ht="15" hidden="false" customHeight="false" outlineLevel="0" collapsed="false">
      <c r="B59" s="24" t="str">
        <f aca="false">Listas!A12</f>
        <v>S-48</v>
      </c>
      <c r="C59" s="25" t="n">
        <f aca="false">SUMIFS('Dados Dashboard'!$Q:$Q,'Dados Dashboard'!$D:$D,VALUE(RIGHT($B59,2)))</f>
        <v>0</v>
      </c>
      <c r="E59" s="25" t="str">
        <f aca="false">IF(VALUE(RIGHT($B59,2))&gt;$O$5,"",SUM($C$50:C59))</f>
        <v/>
      </c>
      <c r="F59" s="25" t="n">
        <f aca="false">SUMIFS('Dados Dashboard'!$R:$R,'Dados Dashboard'!$D:$D,VALUE(RIGHT($B59,2)))</f>
        <v>0</v>
      </c>
      <c r="P59" s="1"/>
      <c r="Q59" s="1"/>
      <c r="R59" s="1"/>
      <c r="S59" s="1"/>
      <c r="T59" s="1"/>
    </row>
    <row r="60" customFormat="false" ht="15" hidden="false" customHeight="false" outlineLevel="0" collapsed="false">
      <c r="B60" s="20" t="str">
        <f aca="false">Listas!A13</f>
        <v>S-49</v>
      </c>
      <c r="C60" s="21" t="n">
        <f aca="false">SUMIFS('Dados Dashboard'!$Q:$Q,'Dados Dashboard'!$D:$D,VALUE(RIGHT($B60,2)))</f>
        <v>0</v>
      </c>
      <c r="E60" s="21" t="str">
        <f aca="false">IF(VALUE(RIGHT($B60,2))&gt;$O$5,"",SUM($C$50:C60))</f>
        <v/>
      </c>
      <c r="F60" s="21" t="n">
        <f aca="false">SUMIFS('Dados Dashboard'!$R:$R,'Dados Dashboard'!$D:$D,VALUE(RIGHT($B60,2)))</f>
        <v>0</v>
      </c>
      <c r="P60" s="1"/>
      <c r="Q60" s="1"/>
      <c r="R60" s="1"/>
      <c r="S60" s="1"/>
      <c r="T60" s="1"/>
    </row>
    <row r="61" customFormat="false" ht="15" hidden="false" customHeight="false" outlineLevel="0" collapsed="false">
      <c r="B61" s="24" t="str">
        <f aca="false">Listas!A14</f>
        <v>S-50</v>
      </c>
      <c r="C61" s="25" t="n">
        <f aca="false">SUMIFS('Dados Dashboard'!$Q:$Q,'Dados Dashboard'!$D:$D,VALUE(RIGHT($B61,2)))</f>
        <v>0</v>
      </c>
      <c r="E61" s="25" t="str">
        <f aca="false">IF(VALUE(RIGHT($B61,2))&gt;$O$5,"",SUM($C$50:C61))</f>
        <v/>
      </c>
      <c r="F61" s="25" t="n">
        <f aca="false">SUMIFS('Dados Dashboard'!$R:$R,'Dados Dashboard'!$D:$D,VALUE(RIGHT($B61,2)))</f>
        <v>0</v>
      </c>
      <c r="P61" s="1"/>
      <c r="Q61" s="1"/>
      <c r="R61" s="1"/>
      <c r="S61" s="1"/>
      <c r="T61" s="1"/>
    </row>
    <row r="62" customFormat="false" ht="15" hidden="false" customHeight="false" outlineLevel="0" collapsed="false">
      <c r="B62" s="20" t="str">
        <f aca="false">Listas!A15</f>
        <v>S-51</v>
      </c>
      <c r="C62" s="21" t="n">
        <f aca="false">SUMIFS('Dados Dashboard'!$Q:$Q,'Dados Dashboard'!$D:$D,VALUE(RIGHT($B62,2)))</f>
        <v>0</v>
      </c>
      <c r="E62" s="21" t="str">
        <f aca="false">IF(VALUE(RIGHT($B62,2))&gt;$O$5,"",SUM($C$50:C62))</f>
        <v/>
      </c>
      <c r="F62" s="21" t="n">
        <f aca="false">SUMIFS('Dados Dashboard'!$R:$R,'Dados Dashboard'!$D:$D,VALUE(RIGHT($B62,2)))</f>
        <v>0</v>
      </c>
      <c r="P62" s="1"/>
      <c r="Q62" s="1"/>
      <c r="R62" s="1"/>
      <c r="S62" s="1"/>
      <c r="T62" s="1"/>
    </row>
    <row r="63" customFormat="false" ht="15" hidden="false" customHeight="false" outlineLevel="0" collapsed="false">
      <c r="B63" s="24" t="str">
        <f aca="false">Listas!A16</f>
        <v>S-52</v>
      </c>
      <c r="C63" s="25" t="n">
        <f aca="false">SUMIFS('Dados Dashboard'!$Q:$Q,'Dados Dashboard'!$D:$D,VALUE(RIGHT($B63,2)))</f>
        <v>0</v>
      </c>
      <c r="E63" s="25" t="str">
        <f aca="false">IF(VALUE(RIGHT($B63,2))&gt;$O$5,"",SUM($C$50:C63))</f>
        <v/>
      </c>
      <c r="F63" s="25" t="n">
        <f aca="false">SUMIFS('Dados Dashboard'!$R:$R,'Dados Dashboard'!$D:$D,VALUE(RIGHT($B63,2)))</f>
        <v>0</v>
      </c>
      <c r="P63" s="1"/>
      <c r="Q63" s="1"/>
      <c r="R63" s="1"/>
      <c r="S63" s="1"/>
      <c r="T63" s="1"/>
    </row>
    <row r="64" customFormat="false" ht="15" hidden="false" customHeight="false" outlineLevel="0" collapsed="false">
      <c r="B64" s="20" t="str">
        <f aca="false">Listas!A17</f>
        <v>S-53</v>
      </c>
      <c r="C64" s="21" t="n">
        <f aca="false">SUMIFS('Dados Dashboard'!$Q:$Q,'Dados Dashboard'!$D:$D,VALUE(RIGHT($B64,2)))</f>
        <v>0</v>
      </c>
      <c r="E64" s="21" t="str">
        <f aca="false">IF(VALUE(RIGHT($B64,2))&gt;$O$5,"",SUM($C$50:C64))</f>
        <v/>
      </c>
      <c r="F64" s="21" t="n">
        <f aca="false">SUMIFS('Dados Dashboard'!$R:$R,'Dados Dashboard'!$D:$D,VALUE(RIGHT($B64,2)))</f>
        <v>0</v>
      </c>
      <c r="P64" s="1"/>
      <c r="Q64" s="1"/>
      <c r="R64" s="1"/>
      <c r="S64" s="1"/>
      <c r="T64" s="1"/>
    </row>
    <row r="65" customFormat="false" ht="15" hidden="false" customHeight="false" outlineLevel="0" collapsed="false">
      <c r="B65" s="24" t="str">
        <f aca="false">Listas!A18</f>
        <v>S-54</v>
      </c>
      <c r="C65" s="25" t="n">
        <f aca="false">SUMIFS('Dados Dashboard'!$Q:$Q,'Dados Dashboard'!$D:$D,VALUE(RIGHT($B65,2)))</f>
        <v>0</v>
      </c>
      <c r="E65" s="25" t="str">
        <f aca="false">IF(VALUE(RIGHT($B65,2))&gt;$O$5,"",SUM($C$50:C65))</f>
        <v/>
      </c>
      <c r="F65" s="25" t="n">
        <f aca="false">SUMIFS('Dados Dashboard'!$R:$R,'Dados Dashboard'!$D:$D,VALUE(RIGHT($B65,2)))</f>
        <v>0</v>
      </c>
      <c r="P65" s="1"/>
      <c r="Q65" s="1"/>
      <c r="R65" s="1"/>
      <c r="S65" s="1"/>
      <c r="T65" s="1"/>
    </row>
    <row r="66" customFormat="false" ht="15" hidden="false" customHeight="false" outlineLevel="0" collapsed="false">
      <c r="B66" s="20" t="str">
        <f aca="false">Listas!A19</f>
        <v>S-55</v>
      </c>
      <c r="C66" s="21" t="n">
        <f aca="false">SUMIFS('Dados Dashboard'!$Q:$Q,'Dados Dashboard'!$D:$D,VALUE(RIGHT($B66,2)))</f>
        <v>0</v>
      </c>
      <c r="E66" s="21" t="str">
        <f aca="false">IF(VALUE(RIGHT($B66,2))&gt;$O$5,"",SUM($C$50:C66))</f>
        <v/>
      </c>
      <c r="F66" s="21" t="n">
        <f aca="false">SUMIFS('Dados Dashboard'!$R:$R,'Dados Dashboard'!$D:$D,VALUE(RIGHT($B66,2)))</f>
        <v>0</v>
      </c>
      <c r="P66" s="1"/>
      <c r="Q66" s="1"/>
      <c r="R66" s="1"/>
      <c r="S66" s="1"/>
      <c r="T66" s="1"/>
    </row>
    <row r="67" customFormat="false" ht="15" hidden="false" customHeight="false" outlineLevel="0" collapsed="false">
      <c r="B67" s="24" t="str">
        <f aca="false">Listas!A20</f>
        <v>S-56</v>
      </c>
      <c r="C67" s="25" t="n">
        <f aca="false">SUMIFS('Dados Dashboard'!$Q:$Q,'Dados Dashboard'!$D:$D,VALUE(RIGHT($B67,2)))</f>
        <v>0</v>
      </c>
      <c r="E67" s="25" t="str">
        <f aca="false">IF(VALUE(RIGHT($B67,2))&gt;$O$5,"",SUM($C$50:C67))</f>
        <v/>
      </c>
      <c r="F67" s="25" t="n">
        <f aca="false">SUMIFS('Dados Dashboard'!$R:$R,'Dados Dashboard'!$D:$D,VALUE(RIGHT($B67,2)))</f>
        <v>0</v>
      </c>
      <c r="P67" s="1"/>
      <c r="Q67" s="1"/>
      <c r="R67" s="1"/>
      <c r="S67" s="1"/>
      <c r="T67" s="1"/>
    </row>
    <row r="68" customFormat="false" ht="15" hidden="false" customHeight="false" outlineLevel="0" collapsed="false">
      <c r="B68" s="20" t="str">
        <f aca="false">Listas!A21</f>
        <v>S-57</v>
      </c>
      <c r="C68" s="21" t="n">
        <f aca="false">SUMIFS('Dados Dashboard'!$Q:$Q,'Dados Dashboard'!$D:$D,VALUE(RIGHT($B68,2)))</f>
        <v>0</v>
      </c>
      <c r="E68" s="21" t="str">
        <f aca="false">IF(VALUE(RIGHT($B68,2))&gt;$O$5,"",SUM($C$50:C68))</f>
        <v/>
      </c>
      <c r="F68" s="21" t="n">
        <f aca="false">SUMIFS('Dados Dashboard'!$R:$R,'Dados Dashboard'!$D:$D,VALUE(RIGHT($B68,2)))</f>
        <v>0</v>
      </c>
      <c r="P68" s="1"/>
      <c r="Q68" s="1"/>
      <c r="R68" s="1"/>
      <c r="S68" s="1"/>
      <c r="T68" s="1"/>
    </row>
    <row r="69" customFormat="false" ht="15" hidden="false" customHeight="false" outlineLevel="0" collapsed="false">
      <c r="B69" s="24" t="str">
        <f aca="false">Listas!A22</f>
        <v>S-58</v>
      </c>
      <c r="C69" s="25" t="n">
        <f aca="false">SUMIFS('Dados Dashboard'!$Q:$Q,'Dados Dashboard'!$D:$D,VALUE(RIGHT($B69,2)))</f>
        <v>0</v>
      </c>
      <c r="E69" s="25" t="str">
        <f aca="false">IF(VALUE(RIGHT($B69,2))&gt;$O$5,"",SUM($C$50:C69))</f>
        <v/>
      </c>
      <c r="F69" s="25" t="n">
        <f aca="false">SUMIFS('Dados Dashboard'!$R:$R,'Dados Dashboard'!$D:$D,VALUE(RIGHT($B69,2)))</f>
        <v>0</v>
      </c>
      <c r="P69" s="1"/>
      <c r="Q69" s="1"/>
      <c r="R69" s="1"/>
      <c r="S69" s="1"/>
      <c r="T69" s="1"/>
    </row>
    <row r="70" customFormat="false" ht="15" hidden="false" customHeight="false" outlineLevel="0" collapsed="false">
      <c r="B70" s="20" t="str">
        <f aca="false">Listas!A23</f>
        <v>S-59</v>
      </c>
      <c r="C70" s="21" t="n">
        <f aca="false">SUMIFS('Dados Dashboard'!$Q:$Q,'Dados Dashboard'!$D:$D,VALUE(RIGHT($B70,2)))</f>
        <v>0</v>
      </c>
      <c r="E70" s="21" t="str">
        <f aca="false">IF(VALUE(RIGHT($B70,2))&gt;$O$5,"",SUM($C$50:C70))</f>
        <v/>
      </c>
      <c r="F70" s="21" t="n">
        <f aca="false">SUMIFS('Dados Dashboard'!$R:$R,'Dados Dashboard'!$D:$D,VALUE(RIGHT($B70,2)))</f>
        <v>0</v>
      </c>
      <c r="P70" s="1"/>
      <c r="Q70" s="1"/>
      <c r="R70" s="1"/>
      <c r="S70" s="1"/>
      <c r="T70" s="1"/>
    </row>
    <row r="71" customFormat="false" ht="15" hidden="false" customHeight="false" outlineLevel="0" collapsed="false">
      <c r="B71" s="24" t="str">
        <f aca="false">Listas!A24</f>
        <v>S-60</v>
      </c>
      <c r="C71" s="25" t="n">
        <f aca="false">SUMIFS('Dados Dashboard'!$Q:$Q,'Dados Dashboard'!$D:$D,VALUE(RIGHT($B71,2)))</f>
        <v>0</v>
      </c>
      <c r="E71" s="25" t="str">
        <f aca="false">IF(VALUE(RIGHT($B71,2))&gt;$O$5,"",SUM($C$50:C71))</f>
        <v/>
      </c>
      <c r="F71" s="25" t="n">
        <f aca="false">SUMIFS('Dados Dashboard'!$R:$R,'Dados Dashboard'!$D:$D,VALUE(RIGHT($B71,2)))</f>
        <v>0</v>
      </c>
      <c r="P71" s="1"/>
      <c r="Q71" s="1"/>
      <c r="R71" s="1"/>
      <c r="S71" s="1"/>
      <c r="T71" s="1"/>
    </row>
    <row r="72" customFormat="false" ht="15" hidden="false" customHeight="false" outlineLevel="0" collapsed="false">
      <c r="B72" s="20" t="str">
        <f aca="false">Listas!A25</f>
        <v>S-61</v>
      </c>
      <c r="C72" s="21" t="n">
        <f aca="false">SUMIFS('Dados Dashboard'!$Q:$Q,'Dados Dashboard'!$D:$D,VALUE(RIGHT($B72,2)))</f>
        <v>0</v>
      </c>
      <c r="E72" s="21" t="str">
        <f aca="false">IF(VALUE(RIGHT($B72,2))&gt;$O$5,"",SUM($C$50:C72))</f>
        <v/>
      </c>
      <c r="F72" s="21" t="n">
        <f aca="false">SUMIFS('Dados Dashboard'!$R:$R,'Dados Dashboard'!$D:$D,VALUE(RIGHT($B72,2)))</f>
        <v>0</v>
      </c>
      <c r="P72" s="1"/>
      <c r="Q72" s="1"/>
      <c r="R72" s="1"/>
      <c r="S72" s="1"/>
      <c r="T72" s="1"/>
    </row>
    <row r="73" customFormat="false" ht="6" hidden="false" customHeight="true" outlineLevel="0" collapsed="false">
      <c r="P73" s="1"/>
      <c r="Q73" s="1"/>
      <c r="R73" s="1"/>
      <c r="S73" s="1"/>
      <c r="T73" s="1"/>
    </row>
    <row r="74" customFormat="false" ht="19.5" hidden="false" customHeight="true" outlineLevel="0" collapsed="false">
      <c r="B74" s="6" t="s">
        <v>47</v>
      </c>
      <c r="C74" s="6"/>
      <c r="D74" s="6"/>
      <c r="E74" s="6"/>
      <c r="F74" s="6"/>
      <c r="G74" s="6"/>
      <c r="H74" s="6"/>
      <c r="I74" s="6"/>
      <c r="J74" s="6"/>
      <c r="K74" s="6"/>
      <c r="L74" s="6"/>
      <c r="P74" s="1"/>
      <c r="Q74" s="1"/>
      <c r="R74" s="1"/>
      <c r="S74" s="1"/>
      <c r="T74" s="1"/>
    </row>
    <row r="75" customFormat="false" ht="18" hidden="false" customHeight="true" outlineLevel="0" collapsed="false">
      <c r="B75" s="19" t="s">
        <v>48</v>
      </c>
      <c r="C75" s="19" t="s">
        <v>43</v>
      </c>
      <c r="D75" s="18" t="s">
        <v>49</v>
      </c>
      <c r="E75" s="18"/>
      <c r="F75" s="18"/>
      <c r="G75" s="18"/>
      <c r="H75" s="18"/>
      <c r="I75" s="18"/>
      <c r="J75" s="18"/>
      <c r="K75" s="18"/>
      <c r="L75" s="18"/>
      <c r="P75" s="1"/>
      <c r="Q75" s="1"/>
      <c r="R75" s="1"/>
      <c r="S75" s="1"/>
      <c r="T75" s="1"/>
    </row>
    <row r="76" customFormat="false" ht="15.75" hidden="false" customHeight="true" outlineLevel="0" collapsed="false">
      <c r="B76" s="26" t="n">
        <f aca="false">IFERROR(INDEX('Dados Dashboard'!$A$2:$A$243,MATCH(1,'Dados Dashboard'!$X$2:$X$243,0)),"")</f>
        <v>46232</v>
      </c>
      <c r="C76" s="27" t="str">
        <f aca="false">IFERROR(INDEX('Dados Dashboard'!$E$2:$E$243,MATCH(1,'Dados Dashboard'!$X$2:$X$243,0)),"")</f>
        <v>S-39</v>
      </c>
      <c r="D76" s="20" t="str">
        <f aca="false">IFERROR(INDEX('Dados Dashboard'!$N$2:$N$243,MATCH(1,'Dados Dashboard'!$X$2:$X$243,0)),"")</f>
        <v>Teste inicial do equipamento </v>
      </c>
      <c r="E76" s="20"/>
      <c r="F76" s="20"/>
      <c r="G76" s="20"/>
      <c r="H76" s="20"/>
      <c r="I76" s="20"/>
      <c r="J76" s="20"/>
      <c r="K76" s="20"/>
      <c r="L76" s="20"/>
      <c r="P76" s="1"/>
      <c r="Q76" s="1"/>
      <c r="R76" s="1"/>
      <c r="S76" s="1"/>
      <c r="T76" s="1"/>
    </row>
    <row r="77" customFormat="false" ht="15.75" hidden="false" customHeight="true" outlineLevel="0" collapsed="false">
      <c r="B77" s="28" t="n">
        <f aca="false">IFERROR(INDEX('Dados Dashboard'!$A$2:$A$243,MATCH(2,'Dados Dashboard'!$X$2:$X$243,0)),"")</f>
        <v>46234</v>
      </c>
      <c r="C77" s="29" t="str">
        <f aca="false">IFERROR(INDEX('Dados Dashboard'!$E$2:$E$243,MATCH(2,'Dados Dashboard'!$X$2:$X$243,0)),"")</f>
        <v>S-40</v>
      </c>
      <c r="D77" s="24" t="str">
        <f aca="false">IFERROR(INDEX('Dados Dashboard'!$N$2:$N$243,MATCH(2,'Dados Dashboard'!$X$2:$X$243,0)),"")</f>
        <v>Bomba entupida</v>
      </c>
      <c r="E77" s="24"/>
      <c r="F77" s="24"/>
      <c r="G77" s="24"/>
      <c r="H77" s="24"/>
      <c r="I77" s="24"/>
      <c r="J77" s="24"/>
      <c r="K77" s="24"/>
      <c r="L77" s="24"/>
      <c r="P77" s="1"/>
      <c r="Q77" s="1"/>
      <c r="R77" s="1"/>
      <c r="S77" s="1"/>
      <c r="T77" s="1"/>
    </row>
    <row r="78" customFormat="false" ht="15.75" hidden="false" customHeight="true" outlineLevel="0" collapsed="false">
      <c r="B78" s="26" t="n">
        <f aca="false">IFERROR(INDEX('Dados Dashboard'!$A$2:$A$243,MATCH(3,'Dados Dashboard'!$X$2:$X$243,0)),"")</f>
        <v>46237</v>
      </c>
      <c r="C78" s="27" t="str">
        <f aca="false">IFERROR(INDEX('Dados Dashboard'!$E$2:$E$243,MATCH(3,'Dados Dashboard'!$X$2:$X$243,0)),"")</f>
        <v>S-40</v>
      </c>
      <c r="D78" s="20" t="str">
        <f aca="false">IFERROR(INDEX('Dados Dashboard'!$N$2:$N$243,MATCH(3,'Dados Dashboard'!$X$2:$X$243,0)),"")</f>
        <v>Manutenção do trado</v>
      </c>
      <c r="E78" s="20"/>
      <c r="F78" s="20"/>
      <c r="G78" s="20"/>
      <c r="H78" s="20"/>
      <c r="I78" s="20"/>
      <c r="J78" s="20"/>
      <c r="K78" s="20"/>
      <c r="L78" s="20"/>
      <c r="P78" s="1"/>
      <c r="Q78" s="1"/>
      <c r="R78" s="1"/>
      <c r="S78" s="1"/>
      <c r="T78" s="1"/>
    </row>
    <row r="79" customFormat="false" ht="15.75" hidden="false" customHeight="true" outlineLevel="0" collapsed="false">
      <c r="B79" s="28" t="n">
        <f aca="false">IFERROR(INDEX('Dados Dashboard'!$A$2:$A$243,MATCH(4,'Dados Dashboard'!$X$2:$X$243,0)),"")</f>
        <v>46239</v>
      </c>
      <c r="C79" s="29" t="str">
        <f aca="false">IFERROR(INDEX('Dados Dashboard'!$E$2:$E$243,MATCH(4,'Dados Dashboard'!$X$2:$X$243,0)),"")</f>
        <v>S-40</v>
      </c>
      <c r="D79" s="24" t="str">
        <f aca="false">IFERROR(INDEX('Dados Dashboard'!$N$2:$N$243,MATCH(4,'Dados Dashboard'!$X$2:$X$243,0)),"")</f>
        <v>Bomba entupida</v>
      </c>
      <c r="E79" s="24"/>
      <c r="F79" s="24"/>
      <c r="G79" s="24"/>
      <c r="H79" s="24"/>
      <c r="I79" s="24"/>
      <c r="J79" s="24"/>
      <c r="K79" s="24"/>
      <c r="L79" s="24"/>
      <c r="P79" s="1"/>
      <c r="Q79" s="1"/>
      <c r="R79" s="1"/>
      <c r="S79" s="1"/>
      <c r="T79" s="1"/>
    </row>
    <row r="80" customFormat="false" ht="15.75" hidden="false" customHeight="true" outlineLevel="0" collapsed="false">
      <c r="B80" s="26" t="n">
        <f aca="false">IFERROR(INDEX('Dados Dashboard'!$A$2:$A$243,MATCH(5,'Dados Dashboard'!$X$2:$X$243,0)),"")</f>
        <v>46240</v>
      </c>
      <c r="C80" s="27" t="str">
        <f aca="false">IFERROR(INDEX('Dados Dashboard'!$E$2:$E$243,MATCH(5,'Dados Dashboard'!$X$2:$X$243,0)),"")</f>
        <v>S-40</v>
      </c>
      <c r="D80" s="20" t="str">
        <f aca="false">IFERROR(INDEX('Dados Dashboard'!$N$2:$N$243,MATCH(5,'Dados Dashboard'!$X$2:$X$243,0)),"")</f>
        <v>Manutenção do trado</v>
      </c>
      <c r="E80" s="20"/>
      <c r="F80" s="20"/>
      <c r="G80" s="20"/>
      <c r="H80" s="20"/>
      <c r="I80" s="20"/>
      <c r="J80" s="20"/>
      <c r="K80" s="20"/>
      <c r="L80" s="20"/>
      <c r="P80" s="1"/>
      <c r="Q80" s="1"/>
      <c r="R80" s="1"/>
      <c r="S80" s="1"/>
      <c r="T80" s="1"/>
    </row>
    <row r="81" customFormat="false" ht="15.75" hidden="false" customHeight="true" outlineLevel="0" collapsed="false">
      <c r="B81" s="28" t="n">
        <f aca="false">IFERROR(INDEX('Dados Dashboard'!$A$2:$A$243,MATCH(6,'Dados Dashboard'!$X$2:$X$243,0)),"")</f>
        <v>46241</v>
      </c>
      <c r="C81" s="29" t="str">
        <f aca="false">IFERROR(INDEX('Dados Dashboard'!$E$2:$E$243,MATCH(6,'Dados Dashboard'!$X$2:$X$243,0)),"")</f>
        <v>S-41</v>
      </c>
      <c r="D81" s="24" t="str">
        <f aca="false">IFERROR(INDEX('Dados Dashboard'!$N$2:$N$243,MATCH(6,'Dados Dashboard'!$X$2:$X$243,0)),"")</f>
        <v>Desmontagem / Manutenção do trado</v>
      </c>
      <c r="E81" s="24"/>
      <c r="F81" s="24"/>
      <c r="G81" s="24"/>
      <c r="H81" s="24"/>
      <c r="I81" s="24"/>
      <c r="J81" s="24"/>
      <c r="K81" s="24"/>
      <c r="L81" s="24"/>
      <c r="P81" s="1"/>
      <c r="Q81" s="1"/>
      <c r="R81" s="1"/>
      <c r="S81" s="1"/>
      <c r="T81" s="1"/>
    </row>
    <row r="82" customFormat="false" ht="15.75" hidden="false" customHeight="true" outlineLevel="0" collapsed="false">
      <c r="B82" s="26" t="n">
        <f aca="false">IFERROR(INDEX('Dados Dashboard'!$A$2:$A$243,MATCH(7,'Dados Dashboard'!$X$2:$X$243,0)),"")</f>
        <v>46244</v>
      </c>
      <c r="C82" s="27" t="str">
        <f aca="false">IFERROR(INDEX('Dados Dashboard'!$E$2:$E$243,MATCH(7,'Dados Dashboard'!$X$2:$X$243,0)),"")</f>
        <v>S-41</v>
      </c>
      <c r="D82" s="20" t="str">
        <f aca="false">IFERROR(INDEX('Dados Dashboard'!$N$2:$N$243,MATCH(7,'Dados Dashboard'!$X$2:$X$243,0)),"")</f>
        <v>Teste equipamento Rei Hélice - 7min perfuração</v>
      </c>
      <c r="E82" s="20"/>
      <c r="F82" s="20"/>
      <c r="G82" s="20"/>
      <c r="H82" s="20"/>
      <c r="I82" s="20"/>
      <c r="J82" s="20"/>
      <c r="K82" s="20"/>
      <c r="L82" s="20"/>
      <c r="P82" s="1"/>
      <c r="Q82" s="1"/>
      <c r="R82" s="1"/>
      <c r="S82" s="1"/>
      <c r="T82" s="1"/>
    </row>
    <row r="83" customFormat="false" ht="15.75" hidden="false" customHeight="true" outlineLevel="0" collapsed="false">
      <c r="B83" s="28" t="n">
        <f aca="false">IFERROR(INDEX('Dados Dashboard'!$A$2:$A$243,MATCH(8,'Dados Dashboard'!$X$2:$X$243,0)),"")</f>
        <v>46252</v>
      </c>
      <c r="C83" s="29" t="str">
        <f aca="false">IFERROR(INDEX('Dados Dashboard'!$E$2:$E$243,MATCH(8,'Dados Dashboard'!$X$2:$X$243,0)),"")</f>
        <v>S-42</v>
      </c>
      <c r="D83" s="24" t="str">
        <f aca="false">IFERROR(INDEX('Dados Dashboard'!$N$2:$N$243,MATCH(8,'Dados Dashboard'!$X$2:$X$243,0)),"")</f>
        <v>Equipamento em manutenção (mangote)</v>
      </c>
      <c r="E83" s="24"/>
      <c r="F83" s="24"/>
      <c r="G83" s="24"/>
      <c r="H83" s="24"/>
      <c r="I83" s="24"/>
      <c r="J83" s="24"/>
      <c r="K83" s="24"/>
      <c r="L83" s="24"/>
      <c r="P83" s="1"/>
      <c r="Q83" s="1"/>
      <c r="R83" s="1"/>
      <c r="S83" s="1"/>
      <c r="T83" s="1"/>
    </row>
    <row r="84" customFormat="false" ht="15.75" hidden="false" customHeight="true" outlineLevel="0" collapsed="false">
      <c r="B84" s="26" t="n">
        <f aca="false">IFERROR(INDEX('Dados Dashboard'!$A$2:$A$243,MATCH(9,'Dados Dashboard'!$X$2:$X$243,0)),"")</f>
        <v>46253</v>
      </c>
      <c r="C84" s="27" t="str">
        <f aca="false">IFERROR(INDEX('Dados Dashboard'!$E$2:$E$243,MATCH(9,'Dados Dashboard'!$X$2:$X$243,0)),"")</f>
        <v>S-42</v>
      </c>
      <c r="D84" s="20" t="str">
        <f aca="false">IFERROR(INDEX('Dados Dashboard'!$N$2:$N$243,MATCH(9,'Dados Dashboard'!$X$2:$X$243,0)),"")</f>
        <v>Equipamento em manutenção | Liberado 16h</v>
      </c>
      <c r="E84" s="20"/>
      <c r="F84" s="20"/>
      <c r="G84" s="20"/>
      <c r="H84" s="20"/>
      <c r="I84" s="20"/>
      <c r="J84" s="20"/>
      <c r="K84" s="20"/>
      <c r="L84" s="20"/>
      <c r="P84" s="1"/>
      <c r="Q84" s="1"/>
      <c r="R84" s="1"/>
      <c r="S84" s="1"/>
      <c r="T84" s="1"/>
    </row>
    <row r="85" customFormat="false" ht="15.75" hidden="false" customHeight="true" outlineLevel="0" collapsed="false">
      <c r="B85" s="28" t="n">
        <f aca="false">IFERROR(INDEX('Dados Dashboard'!$A$2:$A$243,MATCH(10,'Dados Dashboard'!$X$2:$X$243,0)),"")</f>
        <v>46254</v>
      </c>
      <c r="C85" s="29" t="str">
        <f aca="false">IFERROR(INDEX('Dados Dashboard'!$E$2:$E$243,MATCH(10,'Dados Dashboard'!$X$2:$X$243,0)),"")</f>
        <v>S-42</v>
      </c>
      <c r="D85" s="24" t="str">
        <f aca="false">IFERROR(INDEX('Dados Dashboard'!$N$2:$N$243,MATCH(10,'Dados Dashboard'!$X$2:$X$243,0)),"")</f>
        <v>Teste 2º equipamento (7min de perfuração)</v>
      </c>
      <c r="E85" s="24"/>
      <c r="F85" s="24"/>
      <c r="G85" s="24"/>
      <c r="H85" s="24"/>
      <c r="I85" s="24"/>
      <c r="J85" s="24"/>
      <c r="K85" s="24"/>
      <c r="L85" s="24"/>
      <c r="P85" s="1"/>
      <c r="Q85" s="1"/>
      <c r="R85" s="1"/>
      <c r="S85" s="1"/>
      <c r="T85" s="1"/>
    </row>
    <row r="86" customFormat="false" ht="15.75" hidden="false" customHeight="true" outlineLevel="0" collapsed="false">
      <c r="B86" s="26" t="str">
        <f aca="false">IFERROR(INDEX('Dados Dashboard'!$A$2:$A$243,MATCH(11,'Dados Dashboard'!$X$2:$X$243,0)),"")</f>
        <v/>
      </c>
      <c r="C86" s="27" t="str">
        <f aca="false">IFERROR(INDEX('Dados Dashboard'!$E$2:$E$243,MATCH(11,'Dados Dashboard'!$X$2:$X$243,0)),"")</f>
        <v/>
      </c>
      <c r="D86" s="20" t="str">
        <f aca="false">IFERROR(INDEX('Dados Dashboard'!$N$2:$N$243,MATCH(11,'Dados Dashboard'!$X$2:$X$243,0)),"")</f>
        <v/>
      </c>
      <c r="E86" s="20"/>
      <c r="F86" s="20"/>
      <c r="G86" s="20"/>
      <c r="H86" s="20"/>
      <c r="I86" s="20"/>
      <c r="J86" s="20"/>
      <c r="K86" s="20"/>
      <c r="L86" s="20"/>
      <c r="P86" s="1"/>
      <c r="Q86" s="1"/>
      <c r="R86" s="1"/>
      <c r="S86" s="1"/>
      <c r="T86" s="1"/>
    </row>
    <row r="87" customFormat="false" ht="15.75" hidden="false" customHeight="true" outlineLevel="0" collapsed="false">
      <c r="B87" s="28" t="str">
        <f aca="false">IFERROR(INDEX('Dados Dashboard'!$A$2:$A$243,MATCH(12,'Dados Dashboard'!$X$2:$X$243,0)),"")</f>
        <v/>
      </c>
      <c r="C87" s="29" t="str">
        <f aca="false">IFERROR(INDEX('Dados Dashboard'!$E$2:$E$243,MATCH(12,'Dados Dashboard'!$X$2:$X$243,0)),"")</f>
        <v/>
      </c>
      <c r="D87" s="24" t="str">
        <f aca="false">IFERROR(INDEX('Dados Dashboard'!$N$2:$N$243,MATCH(12,'Dados Dashboard'!$X$2:$X$243,0)),"")</f>
        <v/>
      </c>
      <c r="E87" s="24"/>
      <c r="F87" s="24"/>
      <c r="G87" s="24"/>
      <c r="H87" s="24"/>
      <c r="I87" s="24"/>
      <c r="J87" s="24"/>
      <c r="K87" s="24"/>
      <c r="L87" s="24"/>
      <c r="P87" s="1"/>
      <c r="Q87" s="1"/>
      <c r="R87" s="1"/>
      <c r="S87" s="1"/>
      <c r="T87" s="1"/>
    </row>
    <row r="88" customFormat="false" ht="15.75" hidden="false" customHeight="true" outlineLevel="0" collapsed="false">
      <c r="B88" s="26" t="str">
        <f aca="false">IFERROR(INDEX('Dados Dashboard'!$A$2:$A$243,MATCH(13,'Dados Dashboard'!$X$2:$X$243,0)),"")</f>
        <v/>
      </c>
      <c r="C88" s="27" t="str">
        <f aca="false">IFERROR(INDEX('Dados Dashboard'!$E$2:$E$243,MATCH(13,'Dados Dashboard'!$X$2:$X$243,0)),"")</f>
        <v/>
      </c>
      <c r="D88" s="20" t="str">
        <f aca="false">IFERROR(INDEX('Dados Dashboard'!$N$2:$N$243,MATCH(13,'Dados Dashboard'!$X$2:$X$243,0)),"")</f>
        <v/>
      </c>
      <c r="E88" s="20"/>
      <c r="F88" s="20"/>
      <c r="G88" s="20"/>
      <c r="H88" s="20"/>
      <c r="I88" s="20"/>
      <c r="J88" s="20"/>
      <c r="K88" s="20"/>
      <c r="L88" s="20"/>
      <c r="P88" s="1"/>
      <c r="Q88" s="1"/>
      <c r="R88" s="1"/>
      <c r="S88" s="1"/>
      <c r="T88" s="1"/>
    </row>
    <row r="89" customFormat="false" ht="15.75" hidden="false" customHeight="true" outlineLevel="0" collapsed="false">
      <c r="B89" s="28" t="str">
        <f aca="false">IFERROR(INDEX('Dados Dashboard'!$A$2:$A$243,MATCH(14,'Dados Dashboard'!$X$2:$X$243,0)),"")</f>
        <v/>
      </c>
      <c r="C89" s="29" t="str">
        <f aca="false">IFERROR(INDEX('Dados Dashboard'!$E$2:$E$243,MATCH(14,'Dados Dashboard'!$X$2:$X$243,0)),"")</f>
        <v/>
      </c>
      <c r="D89" s="24" t="str">
        <f aca="false">IFERROR(INDEX('Dados Dashboard'!$N$2:$N$243,MATCH(14,'Dados Dashboard'!$X$2:$X$243,0)),"")</f>
        <v/>
      </c>
      <c r="E89" s="24"/>
      <c r="F89" s="24"/>
      <c r="G89" s="24"/>
      <c r="H89" s="24"/>
      <c r="I89" s="24"/>
      <c r="J89" s="24"/>
      <c r="K89" s="24"/>
      <c r="L89" s="24"/>
      <c r="P89" s="1"/>
      <c r="Q89" s="1"/>
      <c r="R89" s="1"/>
      <c r="S89" s="1"/>
      <c r="T89" s="1"/>
    </row>
    <row r="90" customFormat="false" ht="15.75" hidden="false" customHeight="true" outlineLevel="0" collapsed="false">
      <c r="B90" s="26" t="str">
        <f aca="false">IFERROR(INDEX('Dados Dashboard'!$A$2:$A$243,MATCH(15,'Dados Dashboard'!$X$2:$X$243,0)),"")</f>
        <v/>
      </c>
      <c r="C90" s="27" t="str">
        <f aca="false">IFERROR(INDEX('Dados Dashboard'!$E$2:$E$243,MATCH(15,'Dados Dashboard'!$X$2:$X$243,0)),"")</f>
        <v/>
      </c>
      <c r="D90" s="20" t="str">
        <f aca="false">IFERROR(INDEX('Dados Dashboard'!$N$2:$N$243,MATCH(15,'Dados Dashboard'!$X$2:$X$243,0)),"")</f>
        <v/>
      </c>
      <c r="E90" s="20"/>
      <c r="F90" s="20"/>
      <c r="G90" s="20"/>
      <c r="H90" s="20"/>
      <c r="I90" s="20"/>
      <c r="J90" s="20"/>
      <c r="K90" s="20"/>
      <c r="L90" s="20"/>
      <c r="P90" s="1"/>
      <c r="Q90" s="1"/>
      <c r="R90" s="1"/>
      <c r="S90" s="1"/>
      <c r="T90" s="1"/>
    </row>
    <row r="91" customFormat="false" ht="6" hidden="false" customHeight="true" outlineLevel="0" collapsed="false">
      <c r="P91" s="1"/>
      <c r="Q91" s="1"/>
      <c r="R91" s="1"/>
      <c r="S91" s="1"/>
      <c r="T91" s="1"/>
    </row>
    <row r="92" customFormat="false" ht="19.5" hidden="false" customHeight="true" outlineLevel="0" collapsed="false">
      <c r="B92" s="6" t="s">
        <v>50</v>
      </c>
      <c r="C92" s="6"/>
      <c r="D92" s="6"/>
      <c r="E92" s="6"/>
      <c r="F92" s="6"/>
      <c r="G92" s="6"/>
      <c r="H92" s="6"/>
      <c r="I92" s="6"/>
      <c r="J92" s="6"/>
      <c r="K92" s="6"/>
      <c r="L92" s="6"/>
      <c r="P92" s="1"/>
      <c r="Q92" s="1"/>
      <c r="R92" s="1"/>
      <c r="S92" s="1"/>
      <c r="T92" s="1"/>
    </row>
    <row r="93" customFormat="false" ht="27.75" hidden="false" customHeight="true" outlineLevel="0" collapsed="false">
      <c r="B93" s="12" t="s">
        <v>51</v>
      </c>
      <c r="C93" s="12"/>
      <c r="E93" s="12" t="s">
        <v>52</v>
      </c>
      <c r="F93" s="12"/>
      <c r="H93" s="12" t="s">
        <v>53</v>
      </c>
      <c r="I93" s="12"/>
      <c r="K93" s="12" t="s">
        <v>54</v>
      </c>
      <c r="L93" s="12"/>
      <c r="P93" s="1"/>
      <c r="Q93" s="1"/>
      <c r="R93" s="1"/>
      <c r="S93" s="1"/>
      <c r="T93" s="1"/>
    </row>
    <row r="94" customFormat="false" ht="33.75" hidden="false" customHeight="true" outlineLevel="0" collapsed="false">
      <c r="B94" s="13" t="n">
        <f aca="false">SUM('Dados Dashboard'!$Q$2:$Q$243)</f>
        <v>105</v>
      </c>
      <c r="C94" s="13"/>
      <c r="E94" s="13" t="n">
        <f aca="false">SUM('Dados Dashboard'!$Y$2:$Y$243)</f>
        <v>1</v>
      </c>
      <c r="F94" s="13"/>
      <c r="H94" s="13" t="n">
        <f aca="false">$B$94-$E$94</f>
        <v>104</v>
      </c>
      <c r="I94" s="13"/>
      <c r="K94" s="16" t="n">
        <f aca="false">MAX('Dados Dashboard'!$AA$2:$AA$243)</f>
        <v>46260</v>
      </c>
      <c r="L94" s="16"/>
      <c r="P94" s="1"/>
      <c r="Q94" s="1"/>
      <c r="R94" s="1"/>
      <c r="S94" s="1"/>
      <c r="T94" s="1"/>
    </row>
    <row r="95" customFormat="false" ht="6" hidden="false" customHeight="true" outlineLevel="0" collapsed="false">
      <c r="P95" s="1"/>
      <c r="Q95" s="1"/>
      <c r="R95" s="1"/>
      <c r="S95" s="1"/>
      <c r="T95" s="1"/>
    </row>
    <row r="96" customFormat="false" ht="25.5" hidden="false" customHeight="true" outlineLevel="0" collapsed="false">
      <c r="B96" s="30" t="s">
        <v>55</v>
      </c>
      <c r="C96" s="30"/>
      <c r="D96" s="30"/>
      <c r="E96" s="30"/>
      <c r="F96" s="30"/>
      <c r="G96" s="30"/>
      <c r="H96" s="30"/>
      <c r="I96" s="30"/>
      <c r="J96" s="30"/>
      <c r="K96" s="30"/>
      <c r="L96" s="30"/>
      <c r="P96" s="1"/>
      <c r="Q96" s="1"/>
      <c r="R96" s="1"/>
      <c r="S96" s="1"/>
      <c r="T96" s="1"/>
    </row>
    <row r="97" customFormat="false" ht="25.5" hidden="false" customHeight="true" outlineLevel="0" collapsed="false"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P97" s="1"/>
      <c r="Q97" s="1"/>
      <c r="R97" s="1"/>
      <c r="S97" s="1"/>
      <c r="T97" s="1"/>
    </row>
    <row r="98" customFormat="false" ht="25.5" hidden="false" customHeight="true" outlineLevel="0" collapsed="false"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P98" s="1"/>
      <c r="Q98" s="1"/>
      <c r="R98" s="1"/>
      <c r="S98" s="1"/>
      <c r="T98" s="1"/>
    </row>
    <row r="99" customFormat="false" ht="15" hidden="false" customHeight="false" outlineLevel="0" collapsed="false">
      <c r="P99" s="1"/>
      <c r="Q99" s="1"/>
      <c r="R99" s="1"/>
      <c r="S99" s="1"/>
      <c r="T99" s="1"/>
    </row>
    <row r="100" customFormat="false" ht="15" hidden="false" customHeight="false" outlineLevel="0" collapsed="false">
      <c r="P100" s="1"/>
      <c r="Q100" s="1"/>
      <c r="R100" s="1"/>
      <c r="S100" s="1"/>
      <c r="T100" s="1"/>
    </row>
    <row r="101" customFormat="false" ht="15" hidden="false" customHeight="false" outlineLevel="0" collapsed="false">
      <c r="P101" s="1"/>
      <c r="Q101" s="1"/>
      <c r="R101" s="1"/>
      <c r="S101" s="1"/>
      <c r="T101" s="1"/>
    </row>
    <row r="102" customFormat="false" ht="15" hidden="false" customHeight="false" outlineLevel="0" collapsed="false">
      <c r="P102" s="1"/>
      <c r="Q102" s="1"/>
      <c r="R102" s="1"/>
      <c r="S102" s="1"/>
      <c r="T102" s="1"/>
    </row>
    <row r="103" customFormat="false" ht="15" hidden="false" customHeight="false" outlineLevel="0" collapsed="false">
      <c r="P103" s="1"/>
      <c r="Q103" s="1"/>
      <c r="R103" s="1"/>
      <c r="S103" s="1"/>
      <c r="T103" s="1"/>
    </row>
    <row r="104" customFormat="false" ht="15" hidden="false" customHeight="false" outlineLevel="0" collapsed="false">
      <c r="P104" s="1"/>
      <c r="Q104" s="1"/>
      <c r="R104" s="1"/>
      <c r="S104" s="1"/>
      <c r="T104" s="1"/>
    </row>
    <row r="105" customFormat="false" ht="15" hidden="false" customHeight="false" outlineLevel="0" collapsed="false">
      <c r="P105" s="1"/>
      <c r="Q105" s="1"/>
      <c r="R105" s="1"/>
      <c r="S105" s="1"/>
      <c r="T105" s="1"/>
    </row>
    <row r="106" customFormat="false" ht="15" hidden="false" customHeight="false" outlineLevel="0" collapsed="false">
      <c r="P106" s="1"/>
      <c r="Q106" s="1"/>
      <c r="R106" s="1"/>
      <c r="S106" s="1"/>
      <c r="T106" s="1"/>
    </row>
    <row r="107" customFormat="false" ht="15" hidden="false" customHeight="false" outlineLevel="0" collapsed="false">
      <c r="P107" s="1"/>
      <c r="Q107" s="1"/>
      <c r="R107" s="1"/>
      <c r="S107" s="1"/>
      <c r="T107" s="1"/>
    </row>
    <row r="108" customFormat="false" ht="15" hidden="false" customHeight="false" outlineLevel="0" collapsed="false">
      <c r="P108" s="1"/>
      <c r="Q108" s="1"/>
      <c r="R108" s="1"/>
      <c r="S108" s="1"/>
      <c r="T108" s="1"/>
    </row>
    <row r="109" customFormat="false" ht="15" hidden="false" customHeight="false" outlineLevel="0" collapsed="false">
      <c r="P109" s="1"/>
      <c r="Q109" s="1"/>
      <c r="R109" s="1"/>
      <c r="S109" s="1"/>
      <c r="T109" s="1"/>
    </row>
    <row r="110" customFormat="false" ht="15" hidden="false" customHeight="false" outlineLevel="0" collapsed="false">
      <c r="P110" s="1"/>
      <c r="Q110" s="1"/>
      <c r="R110" s="1"/>
      <c r="S110" s="1"/>
      <c r="T110" s="1"/>
    </row>
  </sheetData>
  <mergeCells count="68">
    <mergeCell ref="B2:L2"/>
    <mergeCell ref="B3:L3"/>
    <mergeCell ref="B5:L5"/>
    <mergeCell ref="B9:L9"/>
    <mergeCell ref="B10:C10"/>
    <mergeCell ref="E10:F10"/>
    <mergeCell ref="H10:I10"/>
    <mergeCell ref="K10:L10"/>
    <mergeCell ref="B11:C11"/>
    <mergeCell ref="E11:F11"/>
    <mergeCell ref="H11:I11"/>
    <mergeCell ref="K11:L11"/>
    <mergeCell ref="B12:C12"/>
    <mergeCell ref="E12:F12"/>
    <mergeCell ref="H12:I12"/>
    <mergeCell ref="K12:L12"/>
    <mergeCell ref="B13:C13"/>
    <mergeCell ref="E13:F13"/>
    <mergeCell ref="H13:I13"/>
    <mergeCell ref="K13:L13"/>
    <mergeCell ref="B14:L14"/>
    <mergeCell ref="B16:L16"/>
    <mergeCell ref="B17:C17"/>
    <mergeCell ref="E17:F17"/>
    <mergeCell ref="H17:I17"/>
    <mergeCell ref="K17:L17"/>
    <mergeCell ref="B18:C18"/>
    <mergeCell ref="E18:F18"/>
    <mergeCell ref="H18:I18"/>
    <mergeCell ref="K18:L18"/>
    <mergeCell ref="B19:C19"/>
    <mergeCell ref="E19:F19"/>
    <mergeCell ref="H19:I19"/>
    <mergeCell ref="K19:L19"/>
    <mergeCell ref="B20:C20"/>
    <mergeCell ref="E20:F20"/>
    <mergeCell ref="H20:I20"/>
    <mergeCell ref="K20:L20"/>
    <mergeCell ref="B22:F22"/>
    <mergeCell ref="H22:L22"/>
    <mergeCell ref="B48:L48"/>
    <mergeCell ref="B74:L74"/>
    <mergeCell ref="D75:L75"/>
    <mergeCell ref="D76:L76"/>
    <mergeCell ref="D77:L77"/>
    <mergeCell ref="D78:L78"/>
    <mergeCell ref="D79:L79"/>
    <mergeCell ref="D80:L80"/>
    <mergeCell ref="D81:L81"/>
    <mergeCell ref="D82:L82"/>
    <mergeCell ref="D83:L83"/>
    <mergeCell ref="D84:L84"/>
    <mergeCell ref="D85:L85"/>
    <mergeCell ref="D86:L86"/>
    <mergeCell ref="D87:L87"/>
    <mergeCell ref="D88:L88"/>
    <mergeCell ref="D89:L89"/>
    <mergeCell ref="D90:L90"/>
    <mergeCell ref="B92:L92"/>
    <mergeCell ref="B93:C93"/>
    <mergeCell ref="E93:F93"/>
    <mergeCell ref="H93:I93"/>
    <mergeCell ref="K93:L93"/>
    <mergeCell ref="B94:C94"/>
    <mergeCell ref="E94:F94"/>
    <mergeCell ref="H94:I94"/>
    <mergeCell ref="K94:L94"/>
    <mergeCell ref="B96:L98"/>
  </mergeCells>
  <conditionalFormatting sqref="C50:C72">
    <cfRule type="dataBar" priority="2">
      <dataBar showValue="1" minLength="10" maxLength="90">
        <cfvo type="num" val="0"/>
        <cfvo type="max" val="0"/>
        <color rgb="FF1F4E78"/>
      </dataBar>
      <extLst>
        <ext xmlns:x14="http://schemas.microsoft.com/office/spreadsheetml/2009/9/main" uri="{B025F937-C7B1-47D3-B67F-A62EFF666E3E}">
          <x14:id>{6F3A3598-3E2A-4413-8644-18D97EC243C7}</x14:id>
        </ext>
      </extLst>
    </cfRule>
  </conditionalFormatting>
  <conditionalFormatting sqref="F50:F72">
    <cfRule type="cellIs" priority="3" operator="greaterThan" aboveAverage="0" equalAverage="0" bottom="0" percent="0" rank="0" text="" dxfId="0">
      <formula>0</formula>
    </cfRule>
  </conditionalFormatting>
  <dataValidations count="2">
    <dataValidation allowBlank="false" error="Escolha um valor da lista." errorStyle="stop" errorTitle="Valor inválido" operator="between" prompt="Escolha uma semana (S-39 a S-61) ou TODAS." promptTitle="Filtro de semana" showDropDown="false" showErrorMessage="true" showInputMessage="true" sqref="B7" type="list">
      <formula1>Listas!$A$2:$A$25</formula1>
      <formula2>0</formula2>
    </dataValidation>
    <dataValidation allowBlank="false" errorStyle="stop" operator="between" showDropDown="false" showErrorMessage="true" showInputMessage="false" sqref="E7 H7" type="date">
      <formula1>DATE(2026,1,1)</formula1>
      <formula2>DATE(2027,12,31)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F3A3598-3E2A-4413-8644-18D97EC243C7}">
            <x14:dataBar minLength="10" maxLength="90" axisPosition="none" gradient="true">
              <x14:cfvo type="num">
                <xm:f>0</xm:f>
              </x14:cfvo>
              <x14:cfvo type="max"/>
              <x14:negativeFillColor rgb="FF1F4E78"/>
              <x14:axisColor rgb="FF000000"/>
            </x14:dataBar>
          </x14:cfRule>
          <xm:sqref>C50:C72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78"/>
    <pageSetUpPr fitToPage="true"/>
  </sheetPr>
  <dimension ref="A1:O289"/>
  <sheetViews>
    <sheetView showFormulas="false" showGridLines="false" showRowColHeaders="true" showZeros="true" rightToLeft="false" tabSelected="false" showOutlineSymbols="true" defaultGridColor="true" view="normal" topLeftCell="A1" colorId="64" zoomScale="115" zoomScaleNormal="115" zoomScalePageLayoutView="100" workbookViewId="0">
      <pane xSplit="5" ySplit="1" topLeftCell="F108" activePane="bottomRight" state="frozen"/>
      <selection pane="topLeft" activeCell="A1" activeCellId="0" sqref="A1"/>
      <selection pane="topRight" activeCell="F1" activeCellId="0" sqref="F1"/>
      <selection pane="bottomLeft" activeCell="A108" activeCellId="0" sqref="A108"/>
      <selection pane="bottomRight" activeCell="R95" activeCellId="0" sqref="R95"/>
    </sheetView>
  </sheetViews>
  <sheetFormatPr defaultColWidth="9.4296875" defaultRowHeight="15" zeroHeight="false" outlineLevelRow="0" outlineLevelCol="0"/>
  <cols>
    <col collapsed="false" customWidth="true" hidden="false" outlineLevel="0" max="1" min="1" style="31" width="13"/>
    <col collapsed="false" customWidth="true" hidden="false" outlineLevel="0" max="2" min="2" style="32" width="14"/>
    <col collapsed="false" customWidth="true" hidden="true" outlineLevel="0" max="3" min="3" style="32" width="18"/>
    <col collapsed="false" customWidth="true" hidden="false" outlineLevel="0" max="4" min="4" style="32" width="18"/>
    <col collapsed="false" customWidth="true" hidden="true" outlineLevel="0" max="5" min="5" style="32" width="10"/>
    <col collapsed="false" customWidth="true" hidden="false" outlineLevel="0" max="6" min="6" style="33" width="11"/>
    <col collapsed="false" customWidth="true" hidden="false" outlineLevel="0" max="7" min="7" style="33" width="10"/>
    <col collapsed="false" customWidth="true" hidden="false" outlineLevel="0" max="8" min="8" style="1" width="11"/>
    <col collapsed="false" customWidth="true" hidden="false" outlineLevel="0" max="9" min="9" style="1" width="10"/>
    <col collapsed="false" customWidth="true" hidden="false" outlineLevel="0" max="11" min="10" style="33" width="13"/>
    <col collapsed="false" customWidth="true" hidden="false" outlineLevel="0" max="12" min="12" style="33" width="14"/>
    <col collapsed="false" customWidth="true" hidden="false" outlineLevel="0" max="13" min="13" style="33" width="12"/>
    <col collapsed="false" customWidth="true" hidden="false" outlineLevel="0" max="14" min="14" style="33" width="42"/>
    <col collapsed="false" customWidth="true" hidden="false" outlineLevel="0" max="15" min="15" style="34" width="14"/>
    <col collapsed="false" customWidth="false" hidden="false" outlineLevel="0" max="16384" min="16" style="35" width="9.43"/>
  </cols>
  <sheetData>
    <row r="1" s="37" customFormat="true" ht="30" hidden="false" customHeight="true" outlineLevel="0" collapsed="false">
      <c r="A1" s="36" t="s">
        <v>56</v>
      </c>
      <c r="B1" s="36" t="s">
        <v>57</v>
      </c>
      <c r="C1" s="36" t="s">
        <v>58</v>
      </c>
      <c r="D1" s="36" t="s">
        <v>59</v>
      </c>
      <c r="E1" s="36" t="s">
        <v>60</v>
      </c>
      <c r="F1" s="36" t="s">
        <v>61</v>
      </c>
      <c r="G1" s="36" t="s">
        <v>62</v>
      </c>
      <c r="H1" s="36" t="s">
        <v>63</v>
      </c>
      <c r="I1" s="36" t="s">
        <v>62</v>
      </c>
      <c r="J1" s="36" t="s">
        <v>64</v>
      </c>
      <c r="K1" s="36" t="s">
        <v>39</v>
      </c>
      <c r="L1" s="36" t="s">
        <v>65</v>
      </c>
      <c r="M1" s="36" t="s">
        <v>66</v>
      </c>
      <c r="N1" s="36" t="s">
        <v>67</v>
      </c>
      <c r="O1" s="36" t="s">
        <v>68</v>
      </c>
    </row>
    <row r="2" customFormat="false" ht="18" hidden="false" customHeight="true" outlineLevel="0" collapsed="false">
      <c r="A2" s="38" t="n">
        <v>46227</v>
      </c>
      <c r="B2" s="38" t="n">
        <f aca="false">A2</f>
        <v>46227</v>
      </c>
      <c r="C2" s="39" t="n">
        <v>266</v>
      </c>
      <c r="D2" s="39" t="n">
        <v>39</v>
      </c>
      <c r="E2" s="39" t="str">
        <f aca="false">_xlfn.CONCAT("S-",TEXT(D2,"00"))</f>
        <v>S-39</v>
      </c>
      <c r="F2" s="40"/>
      <c r="G2" s="40"/>
      <c r="H2" s="40"/>
      <c r="I2" s="40"/>
      <c r="J2" s="41"/>
      <c r="K2" s="40"/>
      <c r="L2" s="40"/>
      <c r="M2" s="42"/>
      <c r="N2" s="43"/>
      <c r="O2" s="42"/>
    </row>
    <row r="3" customFormat="false" ht="18" hidden="false" customHeight="true" outlineLevel="0" collapsed="false">
      <c r="A3" s="38" t="n">
        <v>46228</v>
      </c>
      <c r="B3" s="38" t="n">
        <f aca="false">A3</f>
        <v>46228</v>
      </c>
      <c r="C3" s="39" t="n">
        <v>267</v>
      </c>
      <c r="D3" s="39" t="n">
        <v>39</v>
      </c>
      <c r="E3" s="39" t="str">
        <f aca="false">_xlfn.CONCAT("S-",TEXT(D3,"00"))</f>
        <v>S-39</v>
      </c>
      <c r="F3" s="40"/>
      <c r="G3" s="40"/>
      <c r="H3" s="40"/>
      <c r="I3" s="40"/>
      <c r="J3" s="41"/>
      <c r="K3" s="40"/>
      <c r="L3" s="40"/>
      <c r="M3" s="42"/>
      <c r="N3" s="43"/>
      <c r="O3" s="42"/>
    </row>
    <row r="4" customFormat="false" ht="18" hidden="false" customHeight="true" outlineLevel="0" collapsed="false">
      <c r="A4" s="38" t="n">
        <v>46229</v>
      </c>
      <c r="B4" s="38" t="n">
        <f aca="false">A4</f>
        <v>46229</v>
      </c>
      <c r="C4" s="39" t="n">
        <v>268</v>
      </c>
      <c r="D4" s="39" t="n">
        <v>39</v>
      </c>
      <c r="E4" s="39" t="str">
        <f aca="false">_xlfn.CONCAT("S-",TEXT(D4,"00"))</f>
        <v>S-39</v>
      </c>
      <c r="F4" s="40"/>
      <c r="G4" s="40"/>
      <c r="H4" s="40"/>
      <c r="I4" s="40"/>
      <c r="J4" s="41"/>
      <c r="K4" s="40"/>
      <c r="L4" s="40"/>
      <c r="M4" s="42"/>
      <c r="N4" s="43"/>
      <c r="O4" s="42"/>
    </row>
    <row r="5" customFormat="false" ht="18" hidden="false" customHeight="true" outlineLevel="0" collapsed="false">
      <c r="A5" s="38" t="n">
        <v>46230</v>
      </c>
      <c r="B5" s="38" t="n">
        <f aca="false">A5</f>
        <v>46230</v>
      </c>
      <c r="C5" s="39" t="n">
        <v>269</v>
      </c>
      <c r="D5" s="39" t="n">
        <v>39</v>
      </c>
      <c r="E5" s="39" t="str">
        <f aca="false">_xlfn.CONCAT("S-",TEXT(D5,"00"))</f>
        <v>S-39</v>
      </c>
      <c r="F5" s="40"/>
      <c r="G5" s="40"/>
      <c r="H5" s="40"/>
      <c r="I5" s="40"/>
      <c r="J5" s="41"/>
      <c r="K5" s="40"/>
      <c r="L5" s="40"/>
      <c r="M5" s="42"/>
      <c r="N5" s="43"/>
      <c r="O5" s="42"/>
    </row>
    <row r="6" customFormat="false" ht="18" hidden="false" customHeight="true" outlineLevel="0" collapsed="false">
      <c r="A6" s="38" t="n">
        <v>46231</v>
      </c>
      <c r="B6" s="38" t="n">
        <f aca="false">A6</f>
        <v>46231</v>
      </c>
      <c r="C6" s="39" t="n">
        <v>270</v>
      </c>
      <c r="D6" s="39" t="n">
        <v>39</v>
      </c>
      <c r="E6" s="39" t="str">
        <f aca="false">_xlfn.CONCAT("S-",TEXT(D6,"00"))</f>
        <v>S-39</v>
      </c>
      <c r="F6" s="40"/>
      <c r="G6" s="40"/>
      <c r="H6" s="40"/>
      <c r="I6" s="40"/>
      <c r="J6" s="41"/>
      <c r="K6" s="40"/>
      <c r="L6" s="40"/>
      <c r="M6" s="42"/>
      <c r="N6" s="43"/>
      <c r="O6" s="42"/>
    </row>
    <row r="7" customFormat="false" ht="18" hidden="false" customHeight="true" outlineLevel="0" collapsed="false">
      <c r="A7" s="38" t="n">
        <v>46232</v>
      </c>
      <c r="B7" s="38" t="n">
        <f aca="false">A7</f>
        <v>46232</v>
      </c>
      <c r="C7" s="39" t="n">
        <v>271</v>
      </c>
      <c r="D7" s="39" t="n">
        <v>39</v>
      </c>
      <c r="E7" s="39" t="str">
        <f aca="false">_xlfn.CONCAT("S-",TEXT(D7,"00"))</f>
        <v>S-39</v>
      </c>
      <c r="F7" s="40"/>
      <c r="G7" s="40"/>
      <c r="H7" s="40"/>
      <c r="I7" s="40"/>
      <c r="J7" s="41"/>
      <c r="K7" s="40"/>
      <c r="L7" s="40"/>
      <c r="M7" s="42"/>
      <c r="N7" s="44" t="s">
        <v>69</v>
      </c>
      <c r="O7" s="42"/>
    </row>
    <row r="8" customFormat="false" ht="18" hidden="false" customHeight="true" outlineLevel="0" collapsed="false">
      <c r="A8" s="38" t="n">
        <v>46233</v>
      </c>
      <c r="B8" s="38" t="n">
        <f aca="false">A8</f>
        <v>46233</v>
      </c>
      <c r="C8" s="39" t="n">
        <v>272</v>
      </c>
      <c r="D8" s="39" t="n">
        <v>39</v>
      </c>
      <c r="E8" s="39" t="str">
        <f aca="false">_xlfn.CONCAT("S-",TEXT(D8,"00"))</f>
        <v>S-39</v>
      </c>
      <c r="F8" s="39" t="n">
        <v>70</v>
      </c>
      <c r="G8" s="39"/>
      <c r="H8" s="39"/>
      <c r="I8" s="40" t="s">
        <v>70</v>
      </c>
      <c r="J8" s="45" t="n">
        <f aca="false">A8+14</f>
        <v>46247</v>
      </c>
      <c r="K8" s="38"/>
      <c r="L8" s="38"/>
      <c r="M8" s="38"/>
      <c r="N8" s="43"/>
      <c r="O8" s="42"/>
    </row>
    <row r="9" customFormat="false" ht="18" hidden="false" customHeight="true" outlineLevel="0" collapsed="false">
      <c r="A9" s="38" t="n">
        <v>46233</v>
      </c>
      <c r="B9" s="38" t="n">
        <v>46233</v>
      </c>
      <c r="C9" s="39" t="n">
        <v>272</v>
      </c>
      <c r="D9" s="39" t="n">
        <v>39</v>
      </c>
      <c r="E9" s="39"/>
      <c r="F9" s="39" t="n">
        <v>71</v>
      </c>
      <c r="G9" s="39"/>
      <c r="H9" s="39"/>
      <c r="I9" s="40" t="s">
        <v>70</v>
      </c>
      <c r="J9" s="45" t="n">
        <f aca="false">A9+14</f>
        <v>46247</v>
      </c>
      <c r="K9" s="38"/>
      <c r="L9" s="38"/>
      <c r="M9" s="38"/>
      <c r="N9" s="43"/>
      <c r="O9" s="42"/>
    </row>
    <row r="10" customFormat="false" ht="18" hidden="false" customHeight="true" outlineLevel="0" collapsed="false">
      <c r="A10" s="38" t="n">
        <v>46233</v>
      </c>
      <c r="B10" s="38" t="n">
        <v>46233</v>
      </c>
      <c r="C10" s="39" t="n">
        <v>272</v>
      </c>
      <c r="D10" s="39" t="n">
        <v>39</v>
      </c>
      <c r="E10" s="39"/>
      <c r="F10" s="39" t="n">
        <v>74</v>
      </c>
      <c r="G10" s="39"/>
      <c r="H10" s="39"/>
      <c r="I10" s="40" t="s">
        <v>70</v>
      </c>
      <c r="J10" s="45" t="n">
        <f aca="false">A10+14</f>
        <v>46247</v>
      </c>
      <c r="K10" s="38"/>
      <c r="L10" s="38"/>
      <c r="M10" s="38"/>
      <c r="N10" s="43"/>
      <c r="O10" s="42"/>
    </row>
    <row r="11" customFormat="false" ht="18" hidden="false" customHeight="true" outlineLevel="0" collapsed="false">
      <c r="A11" s="38" t="n">
        <v>46234</v>
      </c>
      <c r="B11" s="38" t="n">
        <f aca="false">A11</f>
        <v>46234</v>
      </c>
      <c r="C11" s="39" t="n">
        <v>273</v>
      </c>
      <c r="D11" s="39" t="n">
        <f aca="false">D2+1</f>
        <v>40</v>
      </c>
      <c r="E11" s="39" t="str">
        <f aca="false">_xlfn.CONCAT("S-",TEXT(D11,"00"))</f>
        <v>S-40</v>
      </c>
      <c r="F11" s="40"/>
      <c r="G11" s="40"/>
      <c r="H11" s="40"/>
      <c r="I11" s="40"/>
      <c r="J11" s="41"/>
      <c r="K11" s="40"/>
      <c r="L11" s="40"/>
      <c r="M11" s="42"/>
      <c r="N11" s="44" t="s">
        <v>71</v>
      </c>
      <c r="O11" s="42"/>
    </row>
    <row r="12" customFormat="false" ht="18" hidden="false" customHeight="true" outlineLevel="0" collapsed="false">
      <c r="A12" s="46" t="n">
        <v>46235</v>
      </c>
      <c r="B12" s="46" t="n">
        <f aca="false">A12</f>
        <v>46235</v>
      </c>
      <c r="C12" s="47" t="n">
        <v>274</v>
      </c>
      <c r="D12" s="47" t="n">
        <f aca="false">D3+1</f>
        <v>40</v>
      </c>
      <c r="E12" s="47" t="str">
        <f aca="false">_xlfn.CONCAT("S-",TEXT(D12,"00"))</f>
        <v>S-40</v>
      </c>
      <c r="F12" s="48"/>
      <c r="G12" s="48"/>
      <c r="H12" s="48"/>
      <c r="I12" s="48"/>
      <c r="J12" s="49"/>
      <c r="K12" s="48"/>
      <c r="L12" s="48"/>
      <c r="M12" s="48"/>
      <c r="N12" s="50"/>
      <c r="O12" s="48"/>
    </row>
    <row r="13" customFormat="false" ht="18" hidden="false" customHeight="true" outlineLevel="0" collapsed="false">
      <c r="A13" s="46" t="n">
        <v>46236</v>
      </c>
      <c r="B13" s="46" t="n">
        <f aca="false">A13</f>
        <v>46236</v>
      </c>
      <c r="C13" s="47" t="n">
        <v>275</v>
      </c>
      <c r="D13" s="47" t="n">
        <f aca="false">D4+1</f>
        <v>40</v>
      </c>
      <c r="E13" s="47" t="str">
        <f aca="false">_xlfn.CONCAT("S-",TEXT(D13,"00"))</f>
        <v>S-40</v>
      </c>
      <c r="F13" s="48"/>
      <c r="G13" s="48"/>
      <c r="H13" s="48"/>
      <c r="I13" s="48"/>
      <c r="J13" s="49"/>
      <c r="K13" s="48"/>
      <c r="L13" s="48"/>
      <c r="M13" s="48"/>
      <c r="N13" s="50"/>
      <c r="O13" s="48"/>
    </row>
    <row r="14" customFormat="false" ht="18" hidden="false" customHeight="true" outlineLevel="0" collapsed="false">
      <c r="A14" s="38" t="n">
        <v>46237</v>
      </c>
      <c r="B14" s="38" t="n">
        <f aca="false">A14</f>
        <v>46237</v>
      </c>
      <c r="C14" s="39" t="n">
        <v>276</v>
      </c>
      <c r="D14" s="39" t="n">
        <f aca="false">D5+1</f>
        <v>40</v>
      </c>
      <c r="E14" s="39" t="str">
        <f aca="false">_xlfn.CONCAT("S-",TEXT(D14,"00"))</f>
        <v>S-40</v>
      </c>
      <c r="F14" s="40"/>
      <c r="G14" s="40"/>
      <c r="H14" s="40"/>
      <c r="I14" s="40"/>
      <c r="J14" s="41"/>
      <c r="K14" s="40"/>
      <c r="L14" s="40"/>
      <c r="M14" s="42"/>
      <c r="N14" s="44" t="s">
        <v>72</v>
      </c>
      <c r="O14" s="42"/>
    </row>
    <row r="15" customFormat="false" ht="18" hidden="false" customHeight="true" outlineLevel="0" collapsed="false">
      <c r="A15" s="38" t="n">
        <v>46238</v>
      </c>
      <c r="B15" s="38" t="n">
        <f aca="false">A15</f>
        <v>46238</v>
      </c>
      <c r="C15" s="39" t="n">
        <v>277</v>
      </c>
      <c r="D15" s="39" t="n">
        <f aca="false">D6+1</f>
        <v>40</v>
      </c>
      <c r="E15" s="39" t="str">
        <f aca="false">_xlfn.CONCAT("S-",TEXT(D15,"00"))</f>
        <v>S-40</v>
      </c>
      <c r="F15" s="40" t="n">
        <v>5</v>
      </c>
      <c r="G15" s="40"/>
      <c r="H15" s="40"/>
      <c r="I15" s="40" t="s">
        <v>73</v>
      </c>
      <c r="J15" s="45" t="n">
        <f aca="false">A15+14</f>
        <v>46252</v>
      </c>
      <c r="K15" s="40"/>
      <c r="L15" s="40"/>
      <c r="M15" s="42"/>
      <c r="N15" s="43"/>
      <c r="O15" s="42"/>
    </row>
    <row r="16" customFormat="false" ht="18" hidden="false" customHeight="true" outlineLevel="0" collapsed="false">
      <c r="A16" s="38" t="n">
        <v>46239</v>
      </c>
      <c r="B16" s="38" t="n">
        <f aca="false">A16</f>
        <v>46239</v>
      </c>
      <c r="C16" s="39" t="n">
        <v>278</v>
      </c>
      <c r="D16" s="39" t="n">
        <f aca="false">D7+1</f>
        <v>40</v>
      </c>
      <c r="E16" s="39" t="str">
        <f aca="false">_xlfn.CONCAT("S-",TEXT(D16,"00"))</f>
        <v>S-40</v>
      </c>
      <c r="F16" s="40"/>
      <c r="G16" s="40"/>
      <c r="H16" s="40"/>
      <c r="I16" s="40"/>
      <c r="J16" s="41"/>
      <c r="K16" s="40"/>
      <c r="L16" s="40"/>
      <c r="M16" s="42"/>
      <c r="N16" s="44" t="s">
        <v>71</v>
      </c>
      <c r="O16" s="42"/>
    </row>
    <row r="17" customFormat="false" ht="18" hidden="false" customHeight="true" outlineLevel="0" collapsed="false">
      <c r="A17" s="38" t="n">
        <v>46240</v>
      </c>
      <c r="B17" s="38" t="n">
        <f aca="false">A17</f>
        <v>46240</v>
      </c>
      <c r="C17" s="39" t="n">
        <v>279</v>
      </c>
      <c r="D17" s="39" t="n">
        <f aca="false">D8+1</f>
        <v>40</v>
      </c>
      <c r="E17" s="39" t="str">
        <f aca="false">_xlfn.CONCAT("S-",TEXT(D17,"00"))</f>
        <v>S-40</v>
      </c>
      <c r="F17" s="40"/>
      <c r="G17" s="40"/>
      <c r="H17" s="40"/>
      <c r="I17" s="40"/>
      <c r="J17" s="41"/>
      <c r="K17" s="40"/>
      <c r="L17" s="40"/>
      <c r="M17" s="42"/>
      <c r="N17" s="44" t="s">
        <v>72</v>
      </c>
      <c r="O17" s="42"/>
    </row>
    <row r="18" customFormat="false" ht="18" hidden="false" customHeight="true" outlineLevel="0" collapsed="false">
      <c r="A18" s="38" t="n">
        <v>46241</v>
      </c>
      <c r="B18" s="38" t="n">
        <f aca="false">A18</f>
        <v>46241</v>
      </c>
      <c r="C18" s="39" t="n">
        <v>280</v>
      </c>
      <c r="D18" s="39" t="n">
        <f aca="false">D11+1</f>
        <v>41</v>
      </c>
      <c r="E18" s="39" t="str">
        <f aca="false">_xlfn.CONCAT("S-",TEXT(D18,"00"))</f>
        <v>S-41</v>
      </c>
      <c r="F18" s="40"/>
      <c r="G18" s="40"/>
      <c r="H18" s="40"/>
      <c r="I18" s="40"/>
      <c r="J18" s="41"/>
      <c r="K18" s="40"/>
      <c r="L18" s="40"/>
      <c r="M18" s="42"/>
      <c r="N18" s="44" t="s">
        <v>74</v>
      </c>
      <c r="O18" s="42"/>
    </row>
    <row r="19" customFormat="false" ht="18" hidden="false" customHeight="true" outlineLevel="0" collapsed="false">
      <c r="A19" s="46" t="n">
        <v>46242</v>
      </c>
      <c r="B19" s="46" t="n">
        <f aca="false">A19</f>
        <v>46242</v>
      </c>
      <c r="C19" s="47" t="n">
        <v>281</v>
      </c>
      <c r="D19" s="47" t="n">
        <f aca="false">D12+1</f>
        <v>41</v>
      </c>
      <c r="E19" s="47" t="str">
        <f aca="false">_xlfn.CONCAT("S-",TEXT(D19,"00"))</f>
        <v>S-41</v>
      </c>
      <c r="F19" s="48"/>
      <c r="G19" s="48"/>
      <c r="H19" s="48"/>
      <c r="I19" s="48"/>
      <c r="J19" s="49"/>
      <c r="K19" s="48"/>
      <c r="L19" s="48"/>
      <c r="M19" s="48"/>
      <c r="N19" s="50"/>
      <c r="O19" s="48"/>
    </row>
    <row r="20" customFormat="false" ht="18" hidden="false" customHeight="true" outlineLevel="0" collapsed="false">
      <c r="A20" s="46" t="n">
        <v>46243</v>
      </c>
      <c r="B20" s="46" t="n">
        <f aca="false">A20</f>
        <v>46243</v>
      </c>
      <c r="C20" s="47" t="n">
        <v>282</v>
      </c>
      <c r="D20" s="47" t="n">
        <f aca="false">D13+1</f>
        <v>41</v>
      </c>
      <c r="E20" s="47" t="str">
        <f aca="false">_xlfn.CONCAT("S-",TEXT(D20,"00"))</f>
        <v>S-41</v>
      </c>
      <c r="F20" s="48"/>
      <c r="G20" s="48"/>
      <c r="H20" s="48"/>
      <c r="I20" s="48"/>
      <c r="J20" s="49"/>
      <c r="K20" s="48"/>
      <c r="L20" s="48"/>
      <c r="M20" s="48"/>
      <c r="N20" s="50"/>
      <c r="O20" s="48"/>
    </row>
    <row r="21" customFormat="false" ht="18" hidden="false" customHeight="true" outlineLevel="0" collapsed="false">
      <c r="A21" s="38" t="n">
        <v>46244</v>
      </c>
      <c r="B21" s="38" t="n">
        <f aca="false">A21</f>
        <v>46244</v>
      </c>
      <c r="C21" s="39" t="n">
        <v>283</v>
      </c>
      <c r="D21" s="39" t="n">
        <f aca="false">D14+1</f>
        <v>41</v>
      </c>
      <c r="E21" s="39" t="str">
        <f aca="false">_xlfn.CONCAT("S-",TEXT(D21,"00"))</f>
        <v>S-41</v>
      </c>
      <c r="F21" s="40"/>
      <c r="G21" s="40"/>
      <c r="H21" s="40"/>
      <c r="I21" s="40"/>
      <c r="J21" s="41"/>
      <c r="K21" s="40"/>
      <c r="L21" s="40"/>
      <c r="M21" s="42"/>
      <c r="N21" s="44" t="s">
        <v>75</v>
      </c>
      <c r="O21" s="42"/>
    </row>
    <row r="22" customFormat="false" ht="18" hidden="false" customHeight="true" outlineLevel="0" collapsed="false">
      <c r="A22" s="38" t="n">
        <v>46245</v>
      </c>
      <c r="B22" s="38" t="n">
        <f aca="false">A22</f>
        <v>46245</v>
      </c>
      <c r="C22" s="39" t="n">
        <v>284</v>
      </c>
      <c r="D22" s="39" t="n">
        <f aca="false">D15+1</f>
        <v>41</v>
      </c>
      <c r="E22" s="39" t="str">
        <f aca="false">_xlfn.CONCAT("S-",TEXT(D22,"00"))</f>
        <v>S-41</v>
      </c>
      <c r="F22" s="40" t="n">
        <v>1</v>
      </c>
      <c r="G22" s="40"/>
      <c r="H22" s="40"/>
      <c r="I22" s="40" t="s">
        <v>73</v>
      </c>
      <c r="J22" s="38" t="n">
        <f aca="false">A22+14</f>
        <v>46259</v>
      </c>
      <c r="K22" s="40"/>
      <c r="L22" s="40"/>
      <c r="M22" s="42"/>
      <c r="N22" s="43"/>
      <c r="O22" s="42"/>
    </row>
    <row r="23" customFormat="false" ht="18" hidden="false" customHeight="true" outlineLevel="0" collapsed="false">
      <c r="A23" s="38" t="n">
        <v>46245</v>
      </c>
      <c r="B23" s="38" t="n">
        <f aca="false">A23</f>
        <v>46245</v>
      </c>
      <c r="C23" s="39" t="n">
        <v>284</v>
      </c>
      <c r="D23" s="39" t="n">
        <f aca="false">D16+1</f>
        <v>41</v>
      </c>
      <c r="E23" s="39"/>
      <c r="F23" s="40" t="n">
        <v>9</v>
      </c>
      <c r="G23" s="40"/>
      <c r="H23" s="40"/>
      <c r="I23" s="40" t="s">
        <v>73</v>
      </c>
      <c r="J23" s="38" t="n">
        <f aca="false">A23+14</f>
        <v>46259</v>
      </c>
      <c r="K23" s="40"/>
      <c r="L23" s="40"/>
      <c r="M23" s="42"/>
      <c r="N23" s="43"/>
      <c r="O23" s="42"/>
    </row>
    <row r="24" customFormat="false" ht="18" hidden="false" customHeight="true" outlineLevel="0" collapsed="false">
      <c r="A24" s="38" t="n">
        <v>46245</v>
      </c>
      <c r="B24" s="38" t="n">
        <f aca="false">A24</f>
        <v>46245</v>
      </c>
      <c r="C24" s="39" t="n">
        <v>284</v>
      </c>
      <c r="D24" s="39" t="n">
        <f aca="false">D17+1</f>
        <v>41</v>
      </c>
      <c r="E24" s="39"/>
      <c r="F24" s="40" t="n">
        <v>13</v>
      </c>
      <c r="G24" s="40"/>
      <c r="H24" s="40"/>
      <c r="I24" s="40" t="s">
        <v>73</v>
      </c>
      <c r="J24" s="38" t="n">
        <f aca="false">A24+14</f>
        <v>46259</v>
      </c>
      <c r="K24" s="40"/>
      <c r="L24" s="40"/>
      <c r="M24" s="42"/>
      <c r="N24" s="43"/>
      <c r="O24" s="42"/>
    </row>
    <row r="25" customFormat="false" ht="18" hidden="false" customHeight="true" outlineLevel="0" collapsed="false">
      <c r="A25" s="38" t="n">
        <v>46246</v>
      </c>
      <c r="B25" s="38" t="n">
        <f aca="false">A25</f>
        <v>46246</v>
      </c>
      <c r="C25" s="39" t="n">
        <v>285</v>
      </c>
      <c r="D25" s="39" t="n">
        <f aca="false">D16+1</f>
        <v>41</v>
      </c>
      <c r="E25" s="39" t="str">
        <f aca="false">_xlfn.CONCAT("S-",TEXT(D25,"00"))</f>
        <v>S-41</v>
      </c>
      <c r="F25" s="40" t="n">
        <v>14</v>
      </c>
      <c r="G25" s="40"/>
      <c r="H25" s="40"/>
      <c r="I25" s="40" t="s">
        <v>73</v>
      </c>
      <c r="J25" s="38" t="n">
        <f aca="false">A25+14</f>
        <v>46260</v>
      </c>
      <c r="K25" s="40"/>
      <c r="L25" s="40"/>
      <c r="M25" s="42"/>
      <c r="N25" s="43"/>
      <c r="O25" s="42"/>
    </row>
    <row r="26" customFormat="false" ht="18" hidden="false" customHeight="true" outlineLevel="0" collapsed="false">
      <c r="A26" s="38" t="n">
        <v>46246</v>
      </c>
      <c r="B26" s="38" t="n">
        <v>46246</v>
      </c>
      <c r="C26" s="39" t="n">
        <v>285</v>
      </c>
      <c r="D26" s="39" t="n">
        <v>41</v>
      </c>
      <c r="E26" s="39"/>
      <c r="F26" s="40" t="n">
        <v>15</v>
      </c>
      <c r="G26" s="40"/>
      <c r="H26" s="40"/>
      <c r="I26" s="40" t="s">
        <v>73</v>
      </c>
      <c r="J26" s="38" t="n">
        <f aca="false">A26+14</f>
        <v>46260</v>
      </c>
      <c r="K26" s="40"/>
      <c r="L26" s="40"/>
      <c r="M26" s="42"/>
      <c r="N26" s="43"/>
      <c r="O26" s="42"/>
    </row>
    <row r="27" customFormat="false" ht="18" hidden="false" customHeight="true" outlineLevel="0" collapsed="false">
      <c r="A27" s="38" t="n">
        <v>46246</v>
      </c>
      <c r="B27" s="38" t="n">
        <v>46246</v>
      </c>
      <c r="C27" s="39" t="n">
        <v>285</v>
      </c>
      <c r="D27" s="39" t="n">
        <v>41</v>
      </c>
      <c r="E27" s="39"/>
      <c r="F27" s="40" t="n">
        <v>18</v>
      </c>
      <c r="G27" s="40"/>
      <c r="H27" s="40"/>
      <c r="I27" s="40" t="s">
        <v>73</v>
      </c>
      <c r="J27" s="38" t="n">
        <f aca="false">A27+14</f>
        <v>46260</v>
      </c>
      <c r="K27" s="40"/>
      <c r="L27" s="40"/>
      <c r="M27" s="42"/>
      <c r="N27" s="43"/>
      <c r="O27" s="42"/>
    </row>
    <row r="28" customFormat="false" ht="18" hidden="false" customHeight="true" outlineLevel="0" collapsed="false">
      <c r="A28" s="38" t="n">
        <v>46246</v>
      </c>
      <c r="B28" s="38" t="n">
        <v>46246</v>
      </c>
      <c r="C28" s="39" t="n">
        <v>285</v>
      </c>
      <c r="D28" s="39" t="n">
        <v>41</v>
      </c>
      <c r="E28" s="39"/>
      <c r="F28" s="40" t="n">
        <v>19</v>
      </c>
      <c r="G28" s="40"/>
      <c r="H28" s="40"/>
      <c r="I28" s="40" t="s">
        <v>73</v>
      </c>
      <c r="J28" s="38" t="n">
        <f aca="false">A28+14</f>
        <v>46260</v>
      </c>
      <c r="K28" s="40"/>
      <c r="L28" s="40"/>
      <c r="M28" s="42"/>
      <c r="N28" s="43"/>
      <c r="O28" s="42"/>
    </row>
    <row r="29" customFormat="false" ht="18" hidden="false" customHeight="true" outlineLevel="0" collapsed="false">
      <c r="A29" s="38" t="n">
        <v>46246</v>
      </c>
      <c r="B29" s="38" t="n">
        <v>46246</v>
      </c>
      <c r="C29" s="39" t="n">
        <v>285</v>
      </c>
      <c r="D29" s="39" t="n">
        <v>41</v>
      </c>
      <c r="E29" s="39"/>
      <c r="F29" s="40" t="n">
        <v>22</v>
      </c>
      <c r="G29" s="40"/>
      <c r="H29" s="40"/>
      <c r="I29" s="40" t="s">
        <v>73</v>
      </c>
      <c r="J29" s="38" t="n">
        <f aca="false">A29+14</f>
        <v>46260</v>
      </c>
      <c r="K29" s="40"/>
      <c r="L29" s="40"/>
      <c r="M29" s="42"/>
      <c r="N29" s="43"/>
      <c r="O29" s="42"/>
    </row>
    <row r="30" customFormat="false" ht="18" hidden="false" customHeight="true" outlineLevel="0" collapsed="false">
      <c r="A30" s="38" t="n">
        <v>46246</v>
      </c>
      <c r="B30" s="38" t="n">
        <v>46246</v>
      </c>
      <c r="C30" s="39" t="n">
        <v>285</v>
      </c>
      <c r="D30" s="39" t="n">
        <v>41</v>
      </c>
      <c r="E30" s="39"/>
      <c r="F30" s="40" t="n">
        <v>23</v>
      </c>
      <c r="G30" s="40"/>
      <c r="H30" s="40"/>
      <c r="I30" s="40" t="s">
        <v>73</v>
      </c>
      <c r="J30" s="38" t="n">
        <f aca="false">A30+14</f>
        <v>46260</v>
      </c>
      <c r="K30" s="40"/>
      <c r="L30" s="40"/>
      <c r="M30" s="42"/>
      <c r="N30" s="43"/>
      <c r="O30" s="42"/>
    </row>
    <row r="31" customFormat="false" ht="18" hidden="false" customHeight="true" outlineLevel="0" collapsed="false">
      <c r="A31" s="38" t="n">
        <v>46246</v>
      </c>
      <c r="B31" s="38" t="n">
        <v>46246</v>
      </c>
      <c r="C31" s="39" t="n">
        <v>285</v>
      </c>
      <c r="D31" s="39" t="n">
        <v>41</v>
      </c>
      <c r="E31" s="39"/>
      <c r="F31" s="40" t="n">
        <v>26</v>
      </c>
      <c r="G31" s="40"/>
      <c r="H31" s="40"/>
      <c r="I31" s="40" t="s">
        <v>73</v>
      </c>
      <c r="J31" s="38" t="n">
        <f aca="false">A31+14</f>
        <v>46260</v>
      </c>
      <c r="K31" s="40"/>
      <c r="L31" s="40"/>
      <c r="M31" s="42"/>
      <c r="N31" s="43"/>
      <c r="O31" s="42"/>
    </row>
    <row r="32" customFormat="false" ht="18" hidden="false" customHeight="true" outlineLevel="0" collapsed="false">
      <c r="A32" s="38" t="n">
        <v>46246</v>
      </c>
      <c r="B32" s="38" t="n">
        <v>46246</v>
      </c>
      <c r="C32" s="39" t="n">
        <v>285</v>
      </c>
      <c r="D32" s="39" t="n">
        <v>41</v>
      </c>
      <c r="E32" s="39"/>
      <c r="F32" s="40" t="n">
        <v>27</v>
      </c>
      <c r="G32" s="40"/>
      <c r="H32" s="40"/>
      <c r="I32" s="40" t="s">
        <v>73</v>
      </c>
      <c r="J32" s="38" t="n">
        <f aca="false">A32+14</f>
        <v>46260</v>
      </c>
      <c r="K32" s="40"/>
      <c r="L32" s="40"/>
      <c r="M32" s="42"/>
      <c r="N32" s="43"/>
      <c r="O32" s="42"/>
    </row>
    <row r="33" customFormat="false" ht="18" hidden="false" customHeight="true" outlineLevel="0" collapsed="false">
      <c r="A33" s="38" t="n">
        <v>46246</v>
      </c>
      <c r="B33" s="38" t="n">
        <v>46246</v>
      </c>
      <c r="C33" s="39" t="n">
        <v>285</v>
      </c>
      <c r="D33" s="39" t="n">
        <v>41</v>
      </c>
      <c r="E33" s="39"/>
      <c r="F33" s="40" t="n">
        <v>86</v>
      </c>
      <c r="G33" s="40"/>
      <c r="H33" s="40"/>
      <c r="I33" s="40" t="s">
        <v>70</v>
      </c>
      <c r="J33" s="38" t="n">
        <f aca="false">A33+14</f>
        <v>46260</v>
      </c>
      <c r="K33" s="40"/>
      <c r="L33" s="40"/>
      <c r="M33" s="42"/>
      <c r="N33" s="43"/>
      <c r="O33" s="42"/>
    </row>
    <row r="34" customFormat="false" ht="18" hidden="false" customHeight="true" outlineLevel="0" collapsed="false">
      <c r="A34" s="38" t="n">
        <v>46246</v>
      </c>
      <c r="B34" s="38" t="n">
        <v>46246</v>
      </c>
      <c r="C34" s="39" t="n">
        <v>285</v>
      </c>
      <c r="D34" s="39" t="n">
        <v>41</v>
      </c>
      <c r="E34" s="39"/>
      <c r="F34" s="40" t="n">
        <v>87</v>
      </c>
      <c r="G34" s="40"/>
      <c r="H34" s="40"/>
      <c r="I34" s="40" t="s">
        <v>70</v>
      </c>
      <c r="J34" s="38" t="n">
        <f aca="false">A34+14</f>
        <v>46260</v>
      </c>
      <c r="K34" s="40"/>
      <c r="L34" s="40"/>
      <c r="M34" s="42"/>
      <c r="N34" s="43"/>
      <c r="O34" s="42"/>
    </row>
    <row r="35" customFormat="false" ht="18" hidden="false" customHeight="true" outlineLevel="0" collapsed="false">
      <c r="A35" s="38" t="n">
        <v>46247</v>
      </c>
      <c r="B35" s="38" t="n">
        <f aca="false">A35</f>
        <v>46247</v>
      </c>
      <c r="C35" s="39" t="n">
        <v>286</v>
      </c>
      <c r="D35" s="39" t="n">
        <f aca="false">D17+1</f>
        <v>41</v>
      </c>
      <c r="E35" s="39" t="str">
        <f aca="false">_xlfn.CONCAT("S-",TEXT(D35,"00"))</f>
        <v>S-41</v>
      </c>
      <c r="F35" s="40" t="n">
        <v>90</v>
      </c>
      <c r="G35" s="40"/>
      <c r="H35" s="40"/>
      <c r="I35" s="40" t="s">
        <v>70</v>
      </c>
      <c r="J35" s="38" t="n">
        <f aca="false">A35+14</f>
        <v>46261</v>
      </c>
      <c r="K35" s="40"/>
      <c r="L35" s="40"/>
      <c r="M35" s="42"/>
      <c r="N35" s="43"/>
      <c r="O35" s="42"/>
    </row>
    <row r="36" customFormat="false" ht="18" hidden="false" customHeight="true" outlineLevel="0" collapsed="false">
      <c r="A36" s="38" t="n">
        <v>46247</v>
      </c>
      <c r="B36" s="38" t="n">
        <v>46247</v>
      </c>
      <c r="C36" s="39" t="n">
        <v>286</v>
      </c>
      <c r="D36" s="39" t="n">
        <v>41</v>
      </c>
      <c r="E36" s="39"/>
      <c r="F36" s="40" t="n">
        <v>91</v>
      </c>
      <c r="G36" s="40"/>
      <c r="H36" s="40"/>
      <c r="I36" s="40" t="s">
        <v>70</v>
      </c>
      <c r="J36" s="38" t="n">
        <f aca="false">A36+14</f>
        <v>46261</v>
      </c>
      <c r="K36" s="40"/>
      <c r="L36" s="40"/>
      <c r="M36" s="42"/>
      <c r="N36" s="43"/>
      <c r="O36" s="42"/>
    </row>
    <row r="37" customFormat="false" ht="18" hidden="false" customHeight="true" outlineLevel="0" collapsed="false">
      <c r="A37" s="38" t="n">
        <v>46247</v>
      </c>
      <c r="B37" s="38" t="n">
        <v>46247</v>
      </c>
      <c r="C37" s="39" t="n">
        <v>286</v>
      </c>
      <c r="D37" s="39" t="n">
        <v>41</v>
      </c>
      <c r="E37" s="39"/>
      <c r="F37" s="40" t="n">
        <v>94</v>
      </c>
      <c r="G37" s="40"/>
      <c r="H37" s="40"/>
      <c r="I37" s="40" t="s">
        <v>70</v>
      </c>
      <c r="J37" s="38" t="n">
        <f aca="false">A37+14</f>
        <v>46261</v>
      </c>
      <c r="K37" s="40"/>
      <c r="L37" s="40"/>
      <c r="M37" s="42"/>
      <c r="N37" s="43"/>
      <c r="O37" s="42"/>
    </row>
    <row r="38" customFormat="false" ht="18" hidden="false" customHeight="true" outlineLevel="0" collapsed="false">
      <c r="A38" s="38" t="n">
        <v>46247</v>
      </c>
      <c r="B38" s="38" t="n">
        <v>46247</v>
      </c>
      <c r="C38" s="39" t="n">
        <v>286</v>
      </c>
      <c r="D38" s="39" t="n">
        <v>41</v>
      </c>
      <c r="E38" s="39"/>
      <c r="F38" s="40" t="n">
        <v>95</v>
      </c>
      <c r="G38" s="40"/>
      <c r="H38" s="40"/>
      <c r="I38" s="40" t="s">
        <v>70</v>
      </c>
      <c r="J38" s="38" t="n">
        <f aca="false">A38+14</f>
        <v>46261</v>
      </c>
      <c r="K38" s="40"/>
      <c r="L38" s="40"/>
      <c r="M38" s="42"/>
      <c r="N38" s="43"/>
      <c r="O38" s="42"/>
    </row>
    <row r="39" customFormat="false" ht="18" hidden="false" customHeight="true" outlineLevel="0" collapsed="false">
      <c r="A39" s="38" t="n">
        <v>46247</v>
      </c>
      <c r="B39" s="38" t="n">
        <v>46247</v>
      </c>
      <c r="C39" s="39" t="n">
        <v>286</v>
      </c>
      <c r="D39" s="39" t="n">
        <v>41</v>
      </c>
      <c r="E39" s="39"/>
      <c r="F39" s="40" t="n">
        <v>98</v>
      </c>
      <c r="G39" s="40"/>
      <c r="H39" s="40"/>
      <c r="I39" s="40" t="s">
        <v>70</v>
      </c>
      <c r="J39" s="38" t="n">
        <f aca="false">A39+14</f>
        <v>46261</v>
      </c>
      <c r="K39" s="40"/>
      <c r="L39" s="40"/>
      <c r="M39" s="42"/>
      <c r="N39" s="43"/>
      <c r="O39" s="42"/>
    </row>
    <row r="40" customFormat="false" ht="18" hidden="false" customHeight="true" outlineLevel="0" collapsed="false">
      <c r="A40" s="38" t="n">
        <v>46247</v>
      </c>
      <c r="B40" s="38" t="n">
        <v>46247</v>
      </c>
      <c r="C40" s="39" t="n">
        <v>286</v>
      </c>
      <c r="D40" s="39" t="n">
        <v>41</v>
      </c>
      <c r="E40" s="39"/>
      <c r="F40" s="40" t="n">
        <v>99</v>
      </c>
      <c r="G40" s="40"/>
      <c r="H40" s="40"/>
      <c r="I40" s="40" t="s">
        <v>70</v>
      </c>
      <c r="J40" s="38" t="n">
        <f aca="false">A40+14</f>
        <v>46261</v>
      </c>
      <c r="K40" s="40"/>
      <c r="L40" s="40"/>
      <c r="M40" s="42"/>
      <c r="N40" s="43"/>
      <c r="O40" s="42"/>
    </row>
    <row r="41" customFormat="false" ht="18" hidden="false" customHeight="true" outlineLevel="0" collapsed="false">
      <c r="A41" s="38" t="n">
        <v>46247</v>
      </c>
      <c r="B41" s="38" t="n">
        <v>46247</v>
      </c>
      <c r="C41" s="39" t="n">
        <v>286</v>
      </c>
      <c r="D41" s="39" t="n">
        <v>41</v>
      </c>
      <c r="E41" s="39"/>
      <c r="F41" s="40" t="n">
        <v>25</v>
      </c>
      <c r="G41" s="40"/>
      <c r="H41" s="40"/>
      <c r="I41" s="40" t="s">
        <v>73</v>
      </c>
      <c r="J41" s="38" t="n">
        <f aca="false">A41+14</f>
        <v>46261</v>
      </c>
      <c r="K41" s="40"/>
      <c r="L41" s="40"/>
      <c r="M41" s="42"/>
      <c r="N41" s="43"/>
      <c r="O41" s="42"/>
    </row>
    <row r="42" customFormat="false" ht="18" hidden="false" customHeight="true" outlineLevel="0" collapsed="false">
      <c r="A42" s="38" t="n">
        <v>46247</v>
      </c>
      <c r="B42" s="38" t="n">
        <v>46247</v>
      </c>
      <c r="C42" s="39" t="n">
        <v>286</v>
      </c>
      <c r="D42" s="39" t="n">
        <v>41</v>
      </c>
      <c r="E42" s="39"/>
      <c r="F42" s="40" t="n">
        <v>30</v>
      </c>
      <c r="G42" s="40"/>
      <c r="H42" s="40"/>
      <c r="I42" s="40" t="s">
        <v>73</v>
      </c>
      <c r="J42" s="38" t="n">
        <f aca="false">A42+14</f>
        <v>46261</v>
      </c>
      <c r="K42" s="40"/>
      <c r="L42" s="40"/>
      <c r="M42" s="42"/>
      <c r="N42" s="43"/>
      <c r="O42" s="42"/>
    </row>
    <row r="43" customFormat="false" ht="18" hidden="false" customHeight="true" outlineLevel="0" collapsed="false">
      <c r="A43" s="38" t="n">
        <v>46247</v>
      </c>
      <c r="B43" s="38" t="n">
        <v>46247</v>
      </c>
      <c r="C43" s="39" t="n">
        <v>286</v>
      </c>
      <c r="D43" s="39" t="n">
        <v>41</v>
      </c>
      <c r="E43" s="39"/>
      <c r="F43" s="40" t="n">
        <v>31</v>
      </c>
      <c r="G43" s="40"/>
      <c r="H43" s="40"/>
      <c r="I43" s="40" t="s">
        <v>73</v>
      </c>
      <c r="J43" s="38" t="n">
        <f aca="false">A43+14</f>
        <v>46261</v>
      </c>
      <c r="K43" s="40"/>
      <c r="L43" s="40"/>
      <c r="M43" s="42"/>
      <c r="N43" s="43"/>
      <c r="O43" s="42"/>
    </row>
    <row r="44" customFormat="false" ht="18" hidden="false" customHeight="true" outlineLevel="0" collapsed="false">
      <c r="A44" s="38" t="n">
        <v>46248</v>
      </c>
      <c r="B44" s="38" t="n">
        <f aca="false">A44</f>
        <v>46248</v>
      </c>
      <c r="C44" s="39" t="n">
        <v>287</v>
      </c>
      <c r="D44" s="39" t="n">
        <f aca="false">D18+1</f>
        <v>42</v>
      </c>
      <c r="E44" s="39" t="str">
        <f aca="false">_xlfn.CONCAT("S-",TEXT(D44,"00"))</f>
        <v>S-42</v>
      </c>
      <c r="F44" s="40" t="n">
        <v>78</v>
      </c>
      <c r="G44" s="40"/>
      <c r="H44" s="40"/>
      <c r="I44" s="40" t="s">
        <v>70</v>
      </c>
      <c r="J44" s="38" t="n">
        <f aca="false">A44+14</f>
        <v>46262</v>
      </c>
      <c r="K44" s="40"/>
      <c r="L44" s="40"/>
      <c r="M44" s="42"/>
      <c r="N44" s="43"/>
      <c r="O44" s="42"/>
    </row>
    <row r="45" customFormat="false" ht="18" hidden="false" customHeight="true" outlineLevel="0" collapsed="false">
      <c r="A45" s="38" t="n">
        <v>46248</v>
      </c>
      <c r="B45" s="38" t="n">
        <f aca="false">A45</f>
        <v>46248</v>
      </c>
      <c r="C45" s="39" t="n">
        <v>287</v>
      </c>
      <c r="D45" s="39" t="n">
        <f aca="false">D19+1</f>
        <v>42</v>
      </c>
      <c r="E45" s="39"/>
      <c r="F45" s="40" t="n">
        <v>79</v>
      </c>
      <c r="G45" s="40"/>
      <c r="H45" s="40"/>
      <c r="I45" s="40" t="s">
        <v>70</v>
      </c>
      <c r="J45" s="38" t="n">
        <f aca="false">A45+14</f>
        <v>46262</v>
      </c>
      <c r="K45" s="40"/>
      <c r="L45" s="40"/>
      <c r="M45" s="42"/>
      <c r="N45" s="43"/>
      <c r="O45" s="42"/>
    </row>
    <row r="46" customFormat="false" ht="18" hidden="false" customHeight="true" outlineLevel="0" collapsed="false">
      <c r="A46" s="38" t="n">
        <v>46248</v>
      </c>
      <c r="B46" s="38" t="n">
        <f aca="false">A46</f>
        <v>46248</v>
      </c>
      <c r="C46" s="39" t="n">
        <v>287</v>
      </c>
      <c r="D46" s="39" t="n">
        <f aca="false">D20+1</f>
        <v>42</v>
      </c>
      <c r="E46" s="39"/>
      <c r="F46" s="40" t="n">
        <v>82</v>
      </c>
      <c r="G46" s="40"/>
      <c r="H46" s="40"/>
      <c r="I46" s="40" t="s">
        <v>70</v>
      </c>
      <c r="J46" s="38" t="n">
        <f aca="false">A46+14</f>
        <v>46262</v>
      </c>
      <c r="K46" s="40"/>
      <c r="L46" s="40"/>
      <c r="M46" s="42"/>
      <c r="N46" s="43"/>
      <c r="O46" s="42"/>
    </row>
    <row r="47" customFormat="false" ht="18" hidden="false" customHeight="true" outlineLevel="0" collapsed="false">
      <c r="A47" s="38" t="n">
        <v>46248</v>
      </c>
      <c r="B47" s="38" t="n">
        <f aca="false">A47</f>
        <v>46248</v>
      </c>
      <c r="C47" s="39" t="n">
        <v>287</v>
      </c>
      <c r="D47" s="39" t="n">
        <f aca="false">D21+1</f>
        <v>42</v>
      </c>
      <c r="E47" s="39"/>
      <c r="F47" s="40" t="n">
        <v>83</v>
      </c>
      <c r="G47" s="40"/>
      <c r="H47" s="40"/>
      <c r="I47" s="40" t="s">
        <v>70</v>
      </c>
      <c r="J47" s="38" t="n">
        <f aca="false">A47+14</f>
        <v>46262</v>
      </c>
      <c r="K47" s="40"/>
      <c r="L47" s="40"/>
      <c r="M47" s="42"/>
      <c r="N47" s="43"/>
      <c r="O47" s="42"/>
    </row>
    <row r="48" customFormat="false" ht="18" hidden="false" customHeight="true" outlineLevel="0" collapsed="false">
      <c r="A48" s="38" t="n">
        <v>46248</v>
      </c>
      <c r="B48" s="38" t="n">
        <f aca="false">A48</f>
        <v>46248</v>
      </c>
      <c r="C48" s="39" t="n">
        <v>287</v>
      </c>
      <c r="D48" s="39" t="n">
        <f aca="false">D22+1</f>
        <v>42</v>
      </c>
      <c r="E48" s="39"/>
      <c r="F48" s="40" t="n">
        <v>88</v>
      </c>
      <c r="G48" s="40"/>
      <c r="H48" s="40"/>
      <c r="I48" s="40" t="s">
        <v>70</v>
      </c>
      <c r="J48" s="38" t="n">
        <f aca="false">A48+14</f>
        <v>46262</v>
      </c>
      <c r="K48" s="40"/>
      <c r="L48" s="40"/>
      <c r="M48" s="42"/>
      <c r="N48" s="43"/>
      <c r="O48" s="42"/>
    </row>
    <row r="49" customFormat="false" ht="18" hidden="false" customHeight="true" outlineLevel="0" collapsed="false">
      <c r="A49" s="38" t="n">
        <v>46248</v>
      </c>
      <c r="B49" s="38" t="n">
        <f aca="false">A49</f>
        <v>46248</v>
      </c>
      <c r="C49" s="39" t="n">
        <v>287</v>
      </c>
      <c r="D49" s="39" t="n">
        <f aca="false">D23+1</f>
        <v>42</v>
      </c>
      <c r="E49" s="39"/>
      <c r="F49" s="40" t="n">
        <v>92</v>
      </c>
      <c r="G49" s="40"/>
      <c r="H49" s="40"/>
      <c r="I49" s="40" t="s">
        <v>70</v>
      </c>
      <c r="J49" s="38" t="n">
        <f aca="false">A49+14</f>
        <v>46262</v>
      </c>
      <c r="K49" s="40"/>
      <c r="L49" s="40"/>
      <c r="M49" s="42"/>
      <c r="N49" s="43"/>
      <c r="O49" s="42"/>
    </row>
    <row r="50" customFormat="false" ht="18" hidden="false" customHeight="true" outlineLevel="0" collapsed="false">
      <c r="A50" s="38" t="n">
        <v>46248</v>
      </c>
      <c r="B50" s="38" t="n">
        <f aca="false">A50</f>
        <v>46248</v>
      </c>
      <c r="C50" s="39" t="n">
        <v>287</v>
      </c>
      <c r="D50" s="39" t="n">
        <f aca="false">D24+1</f>
        <v>42</v>
      </c>
      <c r="E50" s="39"/>
      <c r="F50" s="40" t="n">
        <v>96</v>
      </c>
      <c r="G50" s="40"/>
      <c r="H50" s="40"/>
      <c r="I50" s="40" t="s">
        <v>70</v>
      </c>
      <c r="J50" s="38" t="n">
        <f aca="false">A50+14</f>
        <v>46262</v>
      </c>
      <c r="K50" s="40"/>
      <c r="L50" s="40"/>
      <c r="M50" s="42"/>
      <c r="N50" s="43"/>
      <c r="O50" s="42"/>
    </row>
    <row r="51" customFormat="false" ht="18" hidden="false" customHeight="true" outlineLevel="0" collapsed="false">
      <c r="A51" s="38" t="n">
        <v>46248</v>
      </c>
      <c r="B51" s="38" t="n">
        <f aca="false">A51</f>
        <v>46248</v>
      </c>
      <c r="C51" s="39" t="n">
        <v>287</v>
      </c>
      <c r="D51" s="39" t="n">
        <f aca="false">D25+1</f>
        <v>42</v>
      </c>
      <c r="E51" s="39"/>
      <c r="F51" s="40" t="n">
        <v>104</v>
      </c>
      <c r="G51" s="40"/>
      <c r="H51" s="40"/>
      <c r="I51" s="40" t="s">
        <v>70</v>
      </c>
      <c r="J51" s="38" t="n">
        <f aca="false">A51+14</f>
        <v>46262</v>
      </c>
      <c r="K51" s="40"/>
      <c r="L51" s="40"/>
      <c r="M51" s="42"/>
      <c r="N51" s="43"/>
      <c r="O51" s="42"/>
    </row>
    <row r="52" customFormat="false" ht="18" hidden="false" customHeight="true" outlineLevel="0" collapsed="false">
      <c r="A52" s="46" t="n">
        <v>46249</v>
      </c>
      <c r="B52" s="46" t="n">
        <f aca="false">A52</f>
        <v>46249</v>
      </c>
      <c r="C52" s="47" t="n">
        <v>288</v>
      </c>
      <c r="D52" s="47" t="n">
        <f aca="false">D19+1</f>
        <v>42</v>
      </c>
      <c r="E52" s="47" t="str">
        <f aca="false">_xlfn.CONCAT("S-",TEXT(D52,"00"))</f>
        <v>S-42</v>
      </c>
      <c r="F52" s="48"/>
      <c r="G52" s="48"/>
      <c r="H52" s="48"/>
      <c r="I52" s="48"/>
      <c r="J52" s="49"/>
      <c r="K52" s="48"/>
      <c r="L52" s="48"/>
      <c r="M52" s="48"/>
      <c r="N52" s="50"/>
      <c r="O52" s="48"/>
    </row>
    <row r="53" customFormat="false" ht="18" hidden="false" customHeight="true" outlineLevel="0" collapsed="false">
      <c r="A53" s="46" t="n">
        <v>46250</v>
      </c>
      <c r="B53" s="46" t="n">
        <f aca="false">A53</f>
        <v>46250</v>
      </c>
      <c r="C53" s="47" t="n">
        <v>289</v>
      </c>
      <c r="D53" s="47" t="n">
        <f aca="false">D20+1</f>
        <v>42</v>
      </c>
      <c r="E53" s="47" t="str">
        <f aca="false">_xlfn.CONCAT("S-",TEXT(D53,"00"))</f>
        <v>S-42</v>
      </c>
      <c r="F53" s="48"/>
      <c r="G53" s="48"/>
      <c r="H53" s="48"/>
      <c r="I53" s="48"/>
      <c r="J53" s="49"/>
      <c r="K53" s="48"/>
      <c r="L53" s="48"/>
      <c r="M53" s="48"/>
      <c r="N53" s="50"/>
      <c r="O53" s="48"/>
    </row>
    <row r="54" customFormat="false" ht="18" hidden="false" customHeight="true" outlineLevel="0" collapsed="false">
      <c r="A54" s="38" t="n">
        <v>46251</v>
      </c>
      <c r="B54" s="38" t="n">
        <f aca="false">A54</f>
        <v>46251</v>
      </c>
      <c r="C54" s="39" t="n">
        <v>290</v>
      </c>
      <c r="D54" s="39" t="n">
        <f aca="false">D21+1</f>
        <v>42</v>
      </c>
      <c r="E54" s="39" t="str">
        <f aca="false">_xlfn.CONCAT("S-",TEXT(D54,"00"))</f>
        <v>S-42</v>
      </c>
      <c r="F54" s="40" t="n">
        <v>28</v>
      </c>
      <c r="G54" s="40"/>
      <c r="H54" s="40"/>
      <c r="I54" s="40" t="s">
        <v>73</v>
      </c>
      <c r="J54" s="38" t="n">
        <f aca="false">A54+14</f>
        <v>46265</v>
      </c>
      <c r="K54" s="40"/>
      <c r="L54" s="40"/>
      <c r="M54" s="42"/>
      <c r="N54" s="43"/>
      <c r="O54" s="42"/>
    </row>
    <row r="55" customFormat="false" ht="18" hidden="false" customHeight="true" outlineLevel="0" collapsed="false">
      <c r="A55" s="38" t="n">
        <v>46251</v>
      </c>
      <c r="B55" s="38" t="n">
        <f aca="false">A55</f>
        <v>46251</v>
      </c>
      <c r="C55" s="39" t="n">
        <v>290</v>
      </c>
      <c r="D55" s="39" t="n">
        <f aca="false">D22+1</f>
        <v>42</v>
      </c>
      <c r="E55" s="39"/>
      <c r="F55" s="40" t="n">
        <v>32</v>
      </c>
      <c r="G55" s="40"/>
      <c r="H55" s="40"/>
      <c r="I55" s="40" t="s">
        <v>73</v>
      </c>
      <c r="J55" s="38" t="n">
        <f aca="false">A55+14</f>
        <v>46265</v>
      </c>
      <c r="K55" s="40"/>
      <c r="L55" s="40"/>
      <c r="M55" s="42"/>
      <c r="N55" s="43"/>
      <c r="O55" s="42"/>
    </row>
    <row r="56" customFormat="false" ht="18" hidden="false" customHeight="true" outlineLevel="0" collapsed="false">
      <c r="A56" s="38" t="n">
        <v>46251</v>
      </c>
      <c r="B56" s="38" t="n">
        <f aca="false">A56</f>
        <v>46251</v>
      </c>
      <c r="C56" s="39" t="n">
        <v>290</v>
      </c>
      <c r="D56" s="39" t="n">
        <f aca="false">D23+1</f>
        <v>42</v>
      </c>
      <c r="E56" s="39"/>
      <c r="F56" s="40" t="n">
        <v>34</v>
      </c>
      <c r="G56" s="40"/>
      <c r="H56" s="40"/>
      <c r="I56" s="40" t="s">
        <v>73</v>
      </c>
      <c r="J56" s="38" t="n">
        <f aca="false">A56+14</f>
        <v>46265</v>
      </c>
      <c r="K56" s="40"/>
      <c r="L56" s="40"/>
      <c r="M56" s="42"/>
      <c r="N56" s="43"/>
      <c r="O56" s="42"/>
    </row>
    <row r="57" customFormat="false" ht="18" hidden="false" customHeight="true" outlineLevel="0" collapsed="false">
      <c r="A57" s="38" t="n">
        <v>46251</v>
      </c>
      <c r="B57" s="38" t="n">
        <f aca="false">A57</f>
        <v>46251</v>
      </c>
      <c r="C57" s="39" t="n">
        <v>290</v>
      </c>
      <c r="D57" s="39" t="n">
        <f aca="false">D24+1</f>
        <v>42</v>
      </c>
      <c r="E57" s="39"/>
      <c r="F57" s="40" t="n">
        <v>35</v>
      </c>
      <c r="G57" s="40"/>
      <c r="H57" s="40"/>
      <c r="I57" s="40" t="s">
        <v>73</v>
      </c>
      <c r="J57" s="38" t="n">
        <f aca="false">A57+14</f>
        <v>46265</v>
      </c>
      <c r="K57" s="40"/>
      <c r="L57" s="40"/>
      <c r="M57" s="42"/>
      <c r="N57" s="43"/>
      <c r="O57" s="42"/>
    </row>
    <row r="58" customFormat="false" ht="18" hidden="false" customHeight="true" outlineLevel="0" collapsed="false">
      <c r="A58" s="38" t="n">
        <v>46251</v>
      </c>
      <c r="B58" s="38" t="n">
        <f aca="false">A58</f>
        <v>46251</v>
      </c>
      <c r="C58" s="39" t="n">
        <v>290</v>
      </c>
      <c r="D58" s="39" t="n">
        <f aca="false">D25+1</f>
        <v>42</v>
      </c>
      <c r="E58" s="39"/>
      <c r="F58" s="40" t="n">
        <v>38</v>
      </c>
      <c r="G58" s="40"/>
      <c r="H58" s="40"/>
      <c r="I58" s="40" t="s">
        <v>73</v>
      </c>
      <c r="J58" s="38" t="n">
        <f aca="false">A58+14</f>
        <v>46265</v>
      </c>
      <c r="K58" s="40"/>
      <c r="L58" s="40"/>
      <c r="M58" s="42"/>
      <c r="N58" s="43"/>
      <c r="O58" s="42"/>
    </row>
    <row r="59" customFormat="false" ht="18" hidden="false" customHeight="true" outlineLevel="0" collapsed="false">
      <c r="A59" s="38" t="n">
        <v>46251</v>
      </c>
      <c r="B59" s="38" t="n">
        <f aca="false">A59</f>
        <v>46251</v>
      </c>
      <c r="C59" s="39" t="n">
        <v>290</v>
      </c>
      <c r="D59" s="39" t="n">
        <f aca="false">D26+1</f>
        <v>42</v>
      </c>
      <c r="E59" s="39"/>
      <c r="F59" s="40" t="n">
        <v>39</v>
      </c>
      <c r="G59" s="40"/>
      <c r="H59" s="40"/>
      <c r="I59" s="40" t="s">
        <v>73</v>
      </c>
      <c r="J59" s="38" t="n">
        <f aca="false">A59+14</f>
        <v>46265</v>
      </c>
      <c r="K59" s="40"/>
      <c r="L59" s="40"/>
      <c r="M59" s="42"/>
      <c r="N59" s="43"/>
      <c r="O59" s="42"/>
    </row>
    <row r="60" customFormat="false" ht="18" hidden="false" customHeight="true" outlineLevel="0" collapsed="false">
      <c r="A60" s="38" t="n">
        <v>46251</v>
      </c>
      <c r="B60" s="38" t="n">
        <f aca="false">A60</f>
        <v>46251</v>
      </c>
      <c r="C60" s="39" t="n">
        <v>290</v>
      </c>
      <c r="D60" s="39" t="n">
        <f aca="false">D27+1</f>
        <v>42</v>
      </c>
      <c r="E60" s="39"/>
      <c r="F60" s="40" t="n">
        <v>42</v>
      </c>
      <c r="G60" s="40"/>
      <c r="H60" s="40"/>
      <c r="I60" s="40" t="s">
        <v>73</v>
      </c>
      <c r="J60" s="38" t="n">
        <f aca="false">A60+14</f>
        <v>46265</v>
      </c>
      <c r="K60" s="40"/>
      <c r="L60" s="40"/>
      <c r="M60" s="42"/>
      <c r="N60" s="43"/>
      <c r="O60" s="42"/>
    </row>
    <row r="61" customFormat="false" ht="18" hidden="false" customHeight="true" outlineLevel="0" collapsed="false">
      <c r="A61" s="38" t="n">
        <v>46251</v>
      </c>
      <c r="B61" s="38" t="n">
        <f aca="false">A61</f>
        <v>46251</v>
      </c>
      <c r="C61" s="39" t="n">
        <v>290</v>
      </c>
      <c r="D61" s="39" t="n">
        <f aca="false">D28+1</f>
        <v>42</v>
      </c>
      <c r="E61" s="39"/>
      <c r="F61" s="40" t="n">
        <v>43</v>
      </c>
      <c r="G61" s="40"/>
      <c r="H61" s="40"/>
      <c r="I61" s="40" t="s">
        <v>73</v>
      </c>
      <c r="J61" s="38" t="n">
        <f aca="false">A61+14</f>
        <v>46265</v>
      </c>
      <c r="K61" s="40"/>
      <c r="L61" s="40"/>
      <c r="M61" s="42"/>
      <c r="N61" s="43"/>
      <c r="O61" s="42"/>
    </row>
    <row r="62" customFormat="false" ht="18" hidden="false" customHeight="true" outlineLevel="0" collapsed="false">
      <c r="A62" s="38" t="n">
        <v>46251</v>
      </c>
      <c r="B62" s="38" t="n">
        <f aca="false">A62</f>
        <v>46251</v>
      </c>
      <c r="C62" s="39" t="n">
        <v>290</v>
      </c>
      <c r="D62" s="39" t="n">
        <f aca="false">D29+1</f>
        <v>42</v>
      </c>
      <c r="E62" s="39"/>
      <c r="F62" s="40" t="n">
        <v>46</v>
      </c>
      <c r="G62" s="40"/>
      <c r="H62" s="40"/>
      <c r="I62" s="40" t="s">
        <v>73</v>
      </c>
      <c r="J62" s="38" t="n">
        <f aca="false">A62+14</f>
        <v>46265</v>
      </c>
      <c r="K62" s="40"/>
      <c r="L62" s="40"/>
      <c r="M62" s="42"/>
      <c r="N62" s="43"/>
      <c r="O62" s="42"/>
    </row>
    <row r="63" customFormat="false" ht="18" hidden="false" customHeight="true" outlineLevel="0" collapsed="false">
      <c r="A63" s="38" t="n">
        <v>46251</v>
      </c>
      <c r="B63" s="38" t="n">
        <f aca="false">A63</f>
        <v>46251</v>
      </c>
      <c r="C63" s="39" t="n">
        <v>290</v>
      </c>
      <c r="D63" s="39" t="n">
        <f aca="false">D30+1</f>
        <v>42</v>
      </c>
      <c r="E63" s="39"/>
      <c r="F63" s="40" t="n">
        <v>47</v>
      </c>
      <c r="G63" s="40"/>
      <c r="H63" s="40"/>
      <c r="I63" s="40" t="s">
        <v>73</v>
      </c>
      <c r="J63" s="38" t="n">
        <f aca="false">A63+14</f>
        <v>46265</v>
      </c>
      <c r="K63" s="40"/>
      <c r="L63" s="40"/>
      <c r="M63" s="42"/>
      <c r="N63" s="43"/>
      <c r="O63" s="42"/>
    </row>
    <row r="64" customFormat="false" ht="18" hidden="false" customHeight="true" outlineLevel="0" collapsed="false">
      <c r="A64" s="38" t="n">
        <v>46251</v>
      </c>
      <c r="B64" s="38" t="n">
        <f aca="false">A64</f>
        <v>46251</v>
      </c>
      <c r="C64" s="39" t="n">
        <v>290</v>
      </c>
      <c r="D64" s="39" t="n">
        <f aca="false">D31+1</f>
        <v>42</v>
      </c>
      <c r="E64" s="39"/>
      <c r="F64" s="40" t="n">
        <v>106</v>
      </c>
      <c r="G64" s="40"/>
      <c r="H64" s="40"/>
      <c r="I64" s="40" t="s">
        <v>70</v>
      </c>
      <c r="J64" s="38" t="n">
        <f aca="false">A64+14</f>
        <v>46265</v>
      </c>
      <c r="K64" s="40"/>
      <c r="L64" s="40"/>
      <c r="M64" s="42"/>
      <c r="N64" s="43"/>
      <c r="O64" s="42"/>
    </row>
    <row r="65" customFormat="false" ht="18" hidden="false" customHeight="true" outlineLevel="0" collapsed="false">
      <c r="A65" s="38" t="n">
        <v>46251</v>
      </c>
      <c r="B65" s="38" t="n">
        <f aca="false">A65</f>
        <v>46251</v>
      </c>
      <c r="C65" s="39" t="n">
        <v>290</v>
      </c>
      <c r="D65" s="39" t="n">
        <f aca="false">D32+1</f>
        <v>42</v>
      </c>
      <c r="E65" s="39"/>
      <c r="F65" s="40" t="n">
        <v>107</v>
      </c>
      <c r="G65" s="40"/>
      <c r="H65" s="40"/>
      <c r="I65" s="40" t="s">
        <v>70</v>
      </c>
      <c r="J65" s="38" t="n">
        <f aca="false">A65+14</f>
        <v>46265</v>
      </c>
      <c r="K65" s="40"/>
      <c r="L65" s="40"/>
      <c r="M65" s="42"/>
      <c r="N65" s="43"/>
      <c r="O65" s="42"/>
    </row>
    <row r="66" customFormat="false" ht="18" hidden="false" customHeight="true" outlineLevel="0" collapsed="false">
      <c r="A66" s="45" t="n">
        <v>46252</v>
      </c>
      <c r="B66" s="38" t="n">
        <f aca="false">A66</f>
        <v>46252</v>
      </c>
      <c r="C66" s="39" t="n">
        <v>291</v>
      </c>
      <c r="D66" s="39" t="n">
        <f aca="false">D22+1</f>
        <v>42</v>
      </c>
      <c r="E66" s="39" t="str">
        <f aca="false">_xlfn.CONCAT("S-",TEXT(D66,"00"))</f>
        <v>S-42</v>
      </c>
      <c r="F66" s="40"/>
      <c r="G66" s="40"/>
      <c r="H66" s="40"/>
      <c r="I66" s="40"/>
      <c r="J66" s="41"/>
      <c r="K66" s="40"/>
      <c r="L66" s="40"/>
      <c r="M66" s="42"/>
      <c r="N66" s="44" t="s">
        <v>76</v>
      </c>
      <c r="O66" s="42"/>
    </row>
    <row r="67" customFormat="false" ht="18" hidden="false" customHeight="true" outlineLevel="0" collapsed="false">
      <c r="A67" s="45" t="n">
        <v>46253</v>
      </c>
      <c r="B67" s="38" t="n">
        <f aca="false">A67</f>
        <v>46253</v>
      </c>
      <c r="C67" s="39" t="n">
        <v>292</v>
      </c>
      <c r="D67" s="39" t="n">
        <f aca="false">D25+1</f>
        <v>42</v>
      </c>
      <c r="E67" s="39" t="str">
        <f aca="false">_xlfn.CONCAT("S-",TEXT(D67,"00"))</f>
        <v>S-42</v>
      </c>
      <c r="F67" s="40"/>
      <c r="G67" s="40"/>
      <c r="H67" s="40"/>
      <c r="I67" s="40"/>
      <c r="J67" s="41"/>
      <c r="K67" s="40"/>
      <c r="L67" s="40"/>
      <c r="M67" s="42"/>
      <c r="N67" s="44" t="s">
        <v>77</v>
      </c>
      <c r="O67" s="42"/>
    </row>
    <row r="68" customFormat="false" ht="18" hidden="false" customHeight="true" outlineLevel="0" collapsed="false">
      <c r="A68" s="38" t="n">
        <v>46254</v>
      </c>
      <c r="B68" s="38" t="n">
        <f aca="false">A68</f>
        <v>46254</v>
      </c>
      <c r="C68" s="39" t="n">
        <v>293</v>
      </c>
      <c r="D68" s="39" t="n">
        <f aca="false">D35+1</f>
        <v>42</v>
      </c>
      <c r="E68" s="39" t="str">
        <f aca="false">_xlfn.CONCAT("S-",TEXT(D68,"00"))</f>
        <v>S-42</v>
      </c>
      <c r="F68" s="40" t="n">
        <v>97</v>
      </c>
      <c r="G68" s="40"/>
      <c r="H68" s="40"/>
      <c r="I68" s="40" t="s">
        <v>70</v>
      </c>
      <c r="J68" s="38" t="n">
        <f aca="false">A68+14</f>
        <v>46268</v>
      </c>
      <c r="K68" s="40"/>
      <c r="L68" s="40"/>
      <c r="M68" s="42"/>
      <c r="N68" s="43"/>
      <c r="O68" s="42"/>
    </row>
    <row r="69" customFormat="false" ht="18" hidden="false" customHeight="true" outlineLevel="0" collapsed="false">
      <c r="A69" s="38" t="n">
        <v>46254</v>
      </c>
      <c r="B69" s="38" t="n">
        <f aca="false">A69</f>
        <v>46254</v>
      </c>
      <c r="C69" s="39" t="n">
        <v>293</v>
      </c>
      <c r="D69" s="39" t="n">
        <f aca="false">D36+1</f>
        <v>42</v>
      </c>
      <c r="E69" s="39"/>
      <c r="F69" s="40" t="n">
        <v>102</v>
      </c>
      <c r="G69" s="40"/>
      <c r="H69" s="40"/>
      <c r="I69" s="40" t="s">
        <v>70</v>
      </c>
      <c r="J69" s="38" t="n">
        <f aca="false">A69+14</f>
        <v>46268</v>
      </c>
      <c r="K69" s="40"/>
      <c r="L69" s="40"/>
      <c r="M69" s="42"/>
      <c r="N69" s="43"/>
      <c r="O69" s="42"/>
    </row>
    <row r="70" customFormat="false" ht="18" hidden="false" customHeight="true" outlineLevel="0" collapsed="false">
      <c r="A70" s="38" t="n">
        <v>46254</v>
      </c>
      <c r="B70" s="38" t="n">
        <f aca="false">A70</f>
        <v>46254</v>
      </c>
      <c r="C70" s="39" t="n">
        <v>293</v>
      </c>
      <c r="D70" s="39" t="n">
        <f aca="false">D37+1</f>
        <v>42</v>
      </c>
      <c r="E70" s="39"/>
      <c r="F70" s="40" t="n">
        <v>103</v>
      </c>
      <c r="G70" s="40"/>
      <c r="H70" s="40"/>
      <c r="I70" s="40" t="s">
        <v>70</v>
      </c>
      <c r="J70" s="38" t="n">
        <f aca="false">A70+14</f>
        <v>46268</v>
      </c>
      <c r="K70" s="40"/>
      <c r="L70" s="40"/>
      <c r="M70" s="42"/>
      <c r="N70" s="43"/>
      <c r="O70" s="42"/>
    </row>
    <row r="71" customFormat="false" ht="18" hidden="false" customHeight="true" outlineLevel="0" collapsed="false">
      <c r="A71" s="38" t="n">
        <v>46254</v>
      </c>
      <c r="B71" s="38" t="n">
        <f aca="false">A71</f>
        <v>46254</v>
      </c>
      <c r="C71" s="39" t="n">
        <v>293</v>
      </c>
      <c r="D71" s="39" t="n">
        <f aca="false">D38+1</f>
        <v>42</v>
      </c>
      <c r="E71" s="39"/>
      <c r="F71" s="40" t="n">
        <v>108</v>
      </c>
      <c r="G71" s="40"/>
      <c r="H71" s="40"/>
      <c r="I71" s="40" t="s">
        <v>70</v>
      </c>
      <c r="J71" s="38" t="n">
        <f aca="false">A71+14</f>
        <v>46268</v>
      </c>
      <c r="K71" s="40"/>
      <c r="L71" s="40"/>
      <c r="M71" s="42"/>
      <c r="N71" s="43"/>
      <c r="O71" s="42"/>
    </row>
    <row r="72" customFormat="false" ht="18" hidden="false" customHeight="true" outlineLevel="0" collapsed="false">
      <c r="A72" s="38" t="n">
        <v>46254</v>
      </c>
      <c r="B72" s="38" t="n">
        <f aca="false">A72</f>
        <v>46254</v>
      </c>
      <c r="C72" s="39" t="n">
        <v>293</v>
      </c>
      <c r="D72" s="39" t="n">
        <f aca="false">D39+1</f>
        <v>42</v>
      </c>
      <c r="E72" s="39"/>
      <c r="F72" s="40" t="n">
        <v>114</v>
      </c>
      <c r="G72" s="40"/>
      <c r="H72" s="40"/>
      <c r="I72" s="40" t="s">
        <v>70</v>
      </c>
      <c r="J72" s="38" t="n">
        <f aca="false">A72+14</f>
        <v>46268</v>
      </c>
      <c r="K72" s="40"/>
      <c r="L72" s="40"/>
      <c r="M72" s="42"/>
      <c r="N72" s="43"/>
      <c r="O72" s="42"/>
    </row>
    <row r="73" customFormat="false" ht="18" hidden="false" customHeight="true" outlineLevel="0" collapsed="false">
      <c r="A73" s="38" t="n">
        <v>46254</v>
      </c>
      <c r="B73" s="38" t="n">
        <f aca="false">A73</f>
        <v>46254</v>
      </c>
      <c r="C73" s="39" t="n">
        <v>293</v>
      </c>
      <c r="D73" s="39" t="n">
        <f aca="false">D40+1</f>
        <v>42</v>
      </c>
      <c r="E73" s="39"/>
      <c r="F73" s="40" t="n">
        <v>115</v>
      </c>
      <c r="G73" s="40"/>
      <c r="H73" s="40"/>
      <c r="I73" s="40" t="s">
        <v>70</v>
      </c>
      <c r="J73" s="38" t="n">
        <f aca="false">A73+14</f>
        <v>46268</v>
      </c>
      <c r="K73" s="40"/>
      <c r="L73" s="40"/>
      <c r="M73" s="42"/>
      <c r="N73" s="43"/>
      <c r="O73" s="42"/>
    </row>
    <row r="74" customFormat="false" ht="18" hidden="false" customHeight="true" outlineLevel="0" collapsed="false">
      <c r="A74" s="38" t="n">
        <v>46254</v>
      </c>
      <c r="B74" s="38" t="n">
        <f aca="false">A74</f>
        <v>46254</v>
      </c>
      <c r="C74" s="39" t="n">
        <v>293</v>
      </c>
      <c r="D74" s="39" t="n">
        <f aca="false">D41+1</f>
        <v>42</v>
      </c>
      <c r="E74" s="39"/>
      <c r="F74" s="40" t="n">
        <v>118</v>
      </c>
      <c r="G74" s="40"/>
      <c r="H74" s="40"/>
      <c r="I74" s="40" t="s">
        <v>70</v>
      </c>
      <c r="J74" s="38" t="n">
        <f aca="false">A74+14</f>
        <v>46268</v>
      </c>
      <c r="K74" s="40"/>
      <c r="L74" s="40"/>
      <c r="M74" s="42"/>
      <c r="N74" s="43"/>
      <c r="O74" s="42"/>
    </row>
    <row r="75" customFormat="false" ht="18" hidden="false" customHeight="true" outlineLevel="0" collapsed="false">
      <c r="A75" s="38" t="n">
        <v>46254</v>
      </c>
      <c r="B75" s="38" t="n">
        <f aca="false">A75</f>
        <v>46254</v>
      </c>
      <c r="C75" s="39" t="n">
        <v>293</v>
      </c>
      <c r="D75" s="39" t="n">
        <f aca="false">D42+1</f>
        <v>42</v>
      </c>
      <c r="E75" s="39"/>
      <c r="F75" s="40"/>
      <c r="G75" s="40"/>
      <c r="H75" s="40"/>
      <c r="I75" s="40"/>
      <c r="J75" s="41"/>
      <c r="K75" s="40"/>
      <c r="L75" s="40"/>
      <c r="M75" s="42"/>
      <c r="N75" s="44" t="s">
        <v>78</v>
      </c>
      <c r="O75" s="42"/>
    </row>
    <row r="76" customFormat="false" ht="18" hidden="false" customHeight="true" outlineLevel="0" collapsed="false">
      <c r="A76" s="38" t="n">
        <v>46255</v>
      </c>
      <c r="B76" s="38" t="n">
        <f aca="false">A76</f>
        <v>46255</v>
      </c>
      <c r="C76" s="39" t="n">
        <v>294</v>
      </c>
      <c r="D76" s="39" t="n">
        <f aca="false">D43+1</f>
        <v>42</v>
      </c>
      <c r="E76" s="39" t="str">
        <f aca="false">_xlfn.CONCAT("S-",TEXT(D76,"00"))</f>
        <v>S-42</v>
      </c>
      <c r="F76" s="40" t="n">
        <v>2</v>
      </c>
      <c r="G76" s="40"/>
      <c r="H76" s="40"/>
      <c r="I76" s="40" t="s">
        <v>73</v>
      </c>
      <c r="J76" s="38" t="n">
        <f aca="false">A76+14</f>
        <v>46269</v>
      </c>
      <c r="K76" s="40"/>
      <c r="L76" s="40"/>
      <c r="M76" s="42"/>
      <c r="N76" s="43"/>
      <c r="O76" s="42"/>
    </row>
    <row r="77" customFormat="false" ht="18" hidden="false" customHeight="true" outlineLevel="0" collapsed="false">
      <c r="A77" s="51" t="n">
        <v>46255</v>
      </c>
      <c r="B77" s="51" t="n">
        <f aca="false">A77</f>
        <v>46255</v>
      </c>
      <c r="C77" s="52" t="n">
        <v>294</v>
      </c>
      <c r="D77" s="39" t="n">
        <f aca="false">D44+1</f>
        <v>43</v>
      </c>
      <c r="E77" s="52"/>
      <c r="F77" s="53" t="n">
        <v>6</v>
      </c>
      <c r="G77" s="53"/>
      <c r="H77" s="53"/>
      <c r="I77" s="53" t="s">
        <v>73</v>
      </c>
      <c r="J77" s="51" t="n">
        <f aca="false">A77+14</f>
        <v>46269</v>
      </c>
      <c r="K77" s="53"/>
      <c r="L77" s="53"/>
      <c r="M77" s="54"/>
      <c r="N77" s="55"/>
      <c r="O77" s="54"/>
    </row>
    <row r="78" customFormat="false" ht="18" hidden="false" customHeight="true" outlineLevel="0" collapsed="false">
      <c r="A78" s="38" t="n">
        <v>46255</v>
      </c>
      <c r="B78" s="38" t="n">
        <f aca="false">A78</f>
        <v>46255</v>
      </c>
      <c r="C78" s="52" t="n">
        <v>294</v>
      </c>
      <c r="D78" s="39" t="n">
        <f aca="false">D45+1</f>
        <v>43</v>
      </c>
      <c r="E78" s="52"/>
      <c r="F78" s="40" t="n">
        <v>10</v>
      </c>
      <c r="G78" s="40"/>
      <c r="H78" s="40"/>
      <c r="I78" s="40" t="s">
        <v>73</v>
      </c>
      <c r="J78" s="38" t="n">
        <f aca="false">A78+14</f>
        <v>46269</v>
      </c>
      <c r="K78" s="40"/>
      <c r="L78" s="40"/>
      <c r="M78" s="42"/>
      <c r="N78" s="43"/>
      <c r="O78" s="42"/>
    </row>
    <row r="79" customFormat="false" ht="18" hidden="false" customHeight="true" outlineLevel="0" collapsed="false">
      <c r="A79" s="38" t="n">
        <v>46255</v>
      </c>
      <c r="B79" s="38" t="n">
        <f aca="false">A79</f>
        <v>46255</v>
      </c>
      <c r="C79" s="52" t="n">
        <v>294</v>
      </c>
      <c r="D79" s="39" t="n">
        <f aca="false">D46+1</f>
        <v>43</v>
      </c>
      <c r="E79" s="52"/>
      <c r="F79" s="40" t="n">
        <v>100</v>
      </c>
      <c r="G79" s="40"/>
      <c r="H79" s="40"/>
      <c r="I79" s="40" t="s">
        <v>70</v>
      </c>
      <c r="J79" s="38" t="n">
        <f aca="false">A79+14</f>
        <v>46269</v>
      </c>
      <c r="K79" s="40"/>
      <c r="L79" s="40"/>
      <c r="M79" s="42"/>
      <c r="N79" s="43"/>
      <c r="O79" s="42"/>
    </row>
    <row r="80" customFormat="false" ht="18" hidden="false" customHeight="true" outlineLevel="0" collapsed="false">
      <c r="A80" s="38" t="n">
        <v>46255</v>
      </c>
      <c r="B80" s="38" t="n">
        <f aca="false">A80</f>
        <v>46255</v>
      </c>
      <c r="C80" s="52" t="n">
        <v>294</v>
      </c>
      <c r="D80" s="39" t="n">
        <f aca="false">D47+1</f>
        <v>43</v>
      </c>
      <c r="E80" s="52"/>
      <c r="F80" s="40" t="n">
        <v>101</v>
      </c>
      <c r="G80" s="40"/>
      <c r="H80" s="40"/>
      <c r="I80" s="40" t="s">
        <v>70</v>
      </c>
      <c r="J80" s="38" t="n">
        <f aca="false">A80+14</f>
        <v>46269</v>
      </c>
      <c r="K80" s="40"/>
      <c r="L80" s="40"/>
      <c r="M80" s="42"/>
      <c r="N80" s="43"/>
      <c r="O80" s="42"/>
    </row>
    <row r="81" customFormat="false" ht="18" hidden="false" customHeight="true" outlineLevel="0" collapsed="false">
      <c r="A81" s="46" t="n">
        <v>46256</v>
      </c>
      <c r="B81" s="46" t="n">
        <f aca="false">A81</f>
        <v>46256</v>
      </c>
      <c r="C81" s="56" t="n">
        <v>295</v>
      </c>
      <c r="D81" s="48" t="n">
        <f aca="false">D48+1</f>
        <v>43</v>
      </c>
      <c r="E81" s="56" t="str">
        <f aca="false">_xlfn.CONCAT("S-",TEXT(D81,"00"))</f>
        <v>S-43</v>
      </c>
      <c r="F81" s="48"/>
      <c r="G81" s="48"/>
      <c r="H81" s="48"/>
      <c r="I81" s="48"/>
      <c r="J81" s="49"/>
      <c r="K81" s="48"/>
      <c r="L81" s="48"/>
      <c r="M81" s="48"/>
      <c r="N81" s="50"/>
      <c r="O81" s="48"/>
    </row>
    <row r="82" customFormat="false" ht="18" hidden="false" customHeight="true" outlineLevel="0" collapsed="false">
      <c r="A82" s="46" t="n">
        <v>46257</v>
      </c>
      <c r="B82" s="46" t="n">
        <f aca="false">A82</f>
        <v>46257</v>
      </c>
      <c r="C82" s="56" t="n">
        <v>296</v>
      </c>
      <c r="D82" s="48" t="n">
        <f aca="false">D49+1</f>
        <v>43</v>
      </c>
      <c r="E82" s="56" t="str">
        <f aca="false">_xlfn.CONCAT("S-",TEXT(D82,"00"))</f>
        <v>S-43</v>
      </c>
      <c r="F82" s="48"/>
      <c r="G82" s="48"/>
      <c r="H82" s="48"/>
      <c r="I82" s="48"/>
      <c r="J82" s="49"/>
      <c r="K82" s="48"/>
      <c r="L82" s="48"/>
      <c r="M82" s="48"/>
      <c r="N82" s="50"/>
      <c r="O82" s="48"/>
    </row>
    <row r="83" customFormat="false" ht="18" hidden="false" customHeight="true" outlineLevel="0" collapsed="false">
      <c r="A83" s="38" t="n">
        <v>46258</v>
      </c>
      <c r="B83" s="38" t="n">
        <f aca="false">A83</f>
        <v>46258</v>
      </c>
      <c r="C83" s="56"/>
      <c r="D83" s="39" t="n">
        <f aca="false">D50+1</f>
        <v>43</v>
      </c>
      <c r="E83" s="56"/>
      <c r="F83" s="57" t="n">
        <v>40</v>
      </c>
      <c r="G83" s="40"/>
      <c r="H83" s="40"/>
      <c r="I83" s="40" t="s">
        <v>73</v>
      </c>
      <c r="J83" s="38" t="n">
        <f aca="false">A83+14</f>
        <v>46272</v>
      </c>
      <c r="K83" s="40"/>
      <c r="L83" s="40"/>
      <c r="M83" s="42"/>
      <c r="N83" s="43"/>
      <c r="O83" s="42"/>
    </row>
    <row r="84" customFormat="false" ht="18" hidden="false" customHeight="true" outlineLevel="0" collapsed="false">
      <c r="A84" s="38" t="n">
        <v>46258</v>
      </c>
      <c r="B84" s="38" t="n">
        <f aca="false">A84</f>
        <v>46258</v>
      </c>
      <c r="C84" s="56"/>
      <c r="D84" s="39" t="n">
        <f aca="false">D51+1</f>
        <v>43</v>
      </c>
      <c r="E84" s="56"/>
      <c r="F84" s="57" t="n">
        <v>44</v>
      </c>
      <c r="G84" s="40"/>
      <c r="H84" s="40"/>
      <c r="I84" s="40" t="s">
        <v>73</v>
      </c>
      <c r="J84" s="38" t="n">
        <f aca="false">A84+14</f>
        <v>46272</v>
      </c>
      <c r="K84" s="40"/>
      <c r="L84" s="40"/>
      <c r="M84" s="42"/>
      <c r="N84" s="43"/>
      <c r="O84" s="42"/>
    </row>
    <row r="85" customFormat="false" ht="18" hidden="false" customHeight="true" outlineLevel="0" collapsed="false">
      <c r="A85" s="38" t="n">
        <v>46258</v>
      </c>
      <c r="B85" s="38" t="n">
        <f aca="false">A85</f>
        <v>46258</v>
      </c>
      <c r="C85" s="52" t="n">
        <v>297</v>
      </c>
      <c r="D85" s="39" t="n">
        <f aca="false">D54+1</f>
        <v>43</v>
      </c>
      <c r="E85" s="52" t="str">
        <f aca="false">_xlfn.CONCAT("S-",TEXT(D85,"00"))</f>
        <v>S-43</v>
      </c>
      <c r="F85" s="57" t="n">
        <v>3</v>
      </c>
      <c r="G85" s="40"/>
      <c r="H85" s="40"/>
      <c r="I85" s="40" t="s">
        <v>73</v>
      </c>
      <c r="J85" s="38" t="n">
        <f aca="false">A85+14</f>
        <v>46272</v>
      </c>
      <c r="K85" s="40"/>
      <c r="L85" s="40"/>
      <c r="M85" s="42"/>
      <c r="N85" s="43"/>
      <c r="O85" s="42"/>
    </row>
    <row r="86" customFormat="false" ht="18" hidden="false" customHeight="true" outlineLevel="0" collapsed="false">
      <c r="A86" s="38" t="n">
        <v>46258</v>
      </c>
      <c r="B86" s="38" t="n">
        <f aca="false">A86</f>
        <v>46258</v>
      </c>
      <c r="C86" s="52" t="n">
        <v>297</v>
      </c>
      <c r="D86" s="39" t="n">
        <f aca="false">D55+1</f>
        <v>43</v>
      </c>
      <c r="E86" s="52"/>
      <c r="F86" s="57" t="n">
        <v>7</v>
      </c>
      <c r="G86" s="40"/>
      <c r="H86" s="40"/>
      <c r="I86" s="40" t="s">
        <v>73</v>
      </c>
      <c r="J86" s="38" t="n">
        <f aca="false">A86+14</f>
        <v>46272</v>
      </c>
      <c r="K86" s="40"/>
      <c r="L86" s="40"/>
      <c r="M86" s="42"/>
      <c r="N86" s="43"/>
      <c r="O86" s="42"/>
    </row>
    <row r="87" customFormat="false" ht="18" hidden="false" customHeight="true" outlineLevel="0" collapsed="false">
      <c r="A87" s="38" t="n">
        <v>46258</v>
      </c>
      <c r="B87" s="38" t="n">
        <f aca="false">A87</f>
        <v>46258</v>
      </c>
      <c r="C87" s="52" t="n">
        <v>297</v>
      </c>
      <c r="D87" s="39" t="n">
        <f aca="false">D56+1</f>
        <v>43</v>
      </c>
      <c r="E87" s="52"/>
      <c r="F87" s="57" t="n">
        <v>11</v>
      </c>
      <c r="G87" s="40"/>
      <c r="H87" s="40"/>
      <c r="I87" s="40" t="s">
        <v>73</v>
      </c>
      <c r="J87" s="38" t="n">
        <f aca="false">A87+14</f>
        <v>46272</v>
      </c>
      <c r="K87" s="40"/>
      <c r="L87" s="40"/>
      <c r="M87" s="42"/>
      <c r="N87" s="43"/>
      <c r="O87" s="42"/>
    </row>
    <row r="88" customFormat="false" ht="18" hidden="false" customHeight="true" outlineLevel="0" collapsed="false">
      <c r="A88" s="38" t="n">
        <v>46258</v>
      </c>
      <c r="B88" s="38" t="n">
        <f aca="false">A88</f>
        <v>46258</v>
      </c>
      <c r="C88" s="52" t="n">
        <v>297</v>
      </c>
      <c r="D88" s="39" t="n">
        <f aca="false">D57+1</f>
        <v>43</v>
      </c>
      <c r="E88" s="52"/>
      <c r="F88" s="57" t="n">
        <v>16</v>
      </c>
      <c r="G88" s="40"/>
      <c r="H88" s="40"/>
      <c r="I88" s="40" t="s">
        <v>73</v>
      </c>
      <c r="J88" s="38" t="n">
        <f aca="false">A88+14</f>
        <v>46272</v>
      </c>
      <c r="K88" s="40"/>
      <c r="L88" s="40"/>
      <c r="M88" s="42"/>
      <c r="N88" s="43"/>
      <c r="O88" s="42"/>
    </row>
    <row r="89" customFormat="false" ht="18" hidden="false" customHeight="true" outlineLevel="0" collapsed="false">
      <c r="A89" s="38" t="n">
        <v>46258</v>
      </c>
      <c r="B89" s="38" t="n">
        <f aca="false">A89</f>
        <v>46258</v>
      </c>
      <c r="C89" s="52" t="n">
        <v>297</v>
      </c>
      <c r="D89" s="39" t="n">
        <f aca="false">D58+1</f>
        <v>43</v>
      </c>
      <c r="E89" s="52"/>
      <c r="F89" s="57" t="n">
        <v>20</v>
      </c>
      <c r="G89" s="40"/>
      <c r="H89" s="40"/>
      <c r="I89" s="40" t="s">
        <v>73</v>
      </c>
      <c r="J89" s="38" t="n">
        <f aca="false">A89+14</f>
        <v>46272</v>
      </c>
      <c r="K89" s="40"/>
      <c r="L89" s="40"/>
      <c r="M89" s="42"/>
      <c r="N89" s="43"/>
      <c r="O89" s="42"/>
    </row>
    <row r="90" customFormat="false" ht="18" hidden="false" customHeight="true" outlineLevel="0" collapsed="false">
      <c r="A90" s="38" t="n">
        <v>46258</v>
      </c>
      <c r="B90" s="38" t="n">
        <f aca="false">A90</f>
        <v>46258</v>
      </c>
      <c r="C90" s="52" t="n">
        <v>297</v>
      </c>
      <c r="D90" s="39" t="n">
        <f aca="false">D59+1</f>
        <v>43</v>
      </c>
      <c r="E90" s="52"/>
      <c r="F90" s="57" t="n">
        <v>24</v>
      </c>
      <c r="G90" s="40"/>
      <c r="H90" s="40"/>
      <c r="I90" s="40" t="s">
        <v>73</v>
      </c>
      <c r="J90" s="38" t="n">
        <f aca="false">A90+14</f>
        <v>46272</v>
      </c>
      <c r="K90" s="40"/>
      <c r="L90" s="40"/>
      <c r="M90" s="42"/>
      <c r="N90" s="43"/>
      <c r="O90" s="42"/>
    </row>
    <row r="91" customFormat="false" ht="18" hidden="false" customHeight="true" outlineLevel="0" collapsed="false">
      <c r="A91" s="38" t="n">
        <v>46258</v>
      </c>
      <c r="B91" s="38" t="n">
        <f aca="false">A91</f>
        <v>46258</v>
      </c>
      <c r="C91" s="52" t="n">
        <v>297</v>
      </c>
      <c r="D91" s="39" t="n">
        <f aca="false">D60+1</f>
        <v>43</v>
      </c>
      <c r="E91" s="52"/>
      <c r="F91" s="57" t="n">
        <v>36</v>
      </c>
      <c r="G91" s="40"/>
      <c r="H91" s="40"/>
      <c r="I91" s="40" t="s">
        <v>73</v>
      </c>
      <c r="J91" s="38" t="n">
        <f aca="false">A91+14</f>
        <v>46272</v>
      </c>
      <c r="K91" s="40"/>
      <c r="L91" s="40"/>
      <c r="M91" s="42"/>
      <c r="N91" s="43"/>
      <c r="O91" s="42"/>
    </row>
    <row r="92" customFormat="false" ht="18" hidden="false" customHeight="true" outlineLevel="0" collapsed="false">
      <c r="A92" s="38" t="n">
        <v>46258</v>
      </c>
      <c r="B92" s="38" t="n">
        <f aca="false">A92</f>
        <v>46258</v>
      </c>
      <c r="C92" s="52" t="n">
        <v>297</v>
      </c>
      <c r="D92" s="39" t="n">
        <f aca="false">D61+1</f>
        <v>43</v>
      </c>
      <c r="E92" s="52"/>
      <c r="F92" s="57" t="n">
        <v>105</v>
      </c>
      <c r="G92" s="40"/>
      <c r="H92" s="40"/>
      <c r="I92" s="40" t="s">
        <v>70</v>
      </c>
      <c r="J92" s="38" t="n">
        <f aca="false">A92+14</f>
        <v>46272</v>
      </c>
      <c r="K92" s="40"/>
      <c r="L92" s="40"/>
      <c r="M92" s="42"/>
      <c r="N92" s="43"/>
      <c r="O92" s="42"/>
    </row>
    <row r="93" customFormat="false" ht="18" hidden="false" customHeight="true" outlineLevel="0" collapsed="false">
      <c r="A93" s="38" t="n">
        <v>46258</v>
      </c>
      <c r="B93" s="38" t="n">
        <f aca="false">A93</f>
        <v>46258</v>
      </c>
      <c r="C93" s="52" t="n">
        <v>297</v>
      </c>
      <c r="D93" s="39" t="n">
        <f aca="false">D62+1</f>
        <v>43</v>
      </c>
      <c r="E93" s="52"/>
      <c r="F93" s="57" t="n">
        <v>106</v>
      </c>
      <c r="G93" s="40"/>
      <c r="H93" s="40"/>
      <c r="I93" s="40" t="s">
        <v>70</v>
      </c>
      <c r="J93" s="38" t="n">
        <f aca="false">A93+14</f>
        <v>46272</v>
      </c>
      <c r="K93" s="40"/>
      <c r="L93" s="40"/>
      <c r="M93" s="42"/>
      <c r="N93" s="43"/>
      <c r="O93" s="42"/>
    </row>
    <row r="94" customFormat="false" ht="18" hidden="false" customHeight="true" outlineLevel="0" collapsed="false">
      <c r="A94" s="38" t="n">
        <v>46259</v>
      </c>
      <c r="B94" s="38" t="n">
        <f aca="false">A94</f>
        <v>46259</v>
      </c>
      <c r="C94" s="52" t="n">
        <v>298</v>
      </c>
      <c r="D94" s="39" t="n">
        <f aca="false">D66+1</f>
        <v>43</v>
      </c>
      <c r="E94" s="52" t="str">
        <f aca="false">_xlfn.CONCAT("S-",TEXT(D94,"00"))</f>
        <v>S-43</v>
      </c>
      <c r="F94" s="40" t="n">
        <v>137</v>
      </c>
      <c r="G94" s="40" t="s">
        <v>70</v>
      </c>
      <c r="H94" s="40" t="n">
        <v>4</v>
      </c>
      <c r="I94" s="40" t="s">
        <v>73</v>
      </c>
      <c r="J94" s="38" t="n">
        <f aca="false">A94+14</f>
        <v>46273</v>
      </c>
      <c r="K94" s="40"/>
      <c r="L94" s="40"/>
      <c r="M94" s="42"/>
      <c r="N94" s="43"/>
      <c r="O94" s="42"/>
    </row>
    <row r="95" customFormat="false" ht="18" hidden="false" customHeight="true" outlineLevel="0" collapsed="false">
      <c r="A95" s="38" t="n">
        <v>46259</v>
      </c>
      <c r="B95" s="38" t="n">
        <f aca="false">A95</f>
        <v>46259</v>
      </c>
      <c r="C95" s="52"/>
      <c r="D95" s="39" t="n">
        <f aca="false">D67+1</f>
        <v>43</v>
      </c>
      <c r="E95" s="52"/>
      <c r="F95" s="40" t="n">
        <v>141</v>
      </c>
      <c r="G95" s="40" t="s">
        <v>70</v>
      </c>
      <c r="H95" s="40" t="n">
        <v>8</v>
      </c>
      <c r="I95" s="40" t="s">
        <v>73</v>
      </c>
      <c r="J95" s="38" t="n">
        <f aca="false">A95+14</f>
        <v>46273</v>
      </c>
      <c r="K95" s="40"/>
      <c r="L95" s="40"/>
      <c r="M95" s="42"/>
      <c r="N95" s="43"/>
      <c r="O95" s="42"/>
    </row>
    <row r="96" customFormat="false" ht="18" hidden="false" customHeight="true" outlineLevel="0" collapsed="false">
      <c r="A96" s="38" t="n">
        <v>46259</v>
      </c>
      <c r="B96" s="38" t="n">
        <f aca="false">A96</f>
        <v>46259</v>
      </c>
      <c r="C96" s="52"/>
      <c r="D96" s="39" t="n">
        <f aca="false">D68+1</f>
        <v>43</v>
      </c>
      <c r="E96" s="52"/>
      <c r="F96" s="40" t="n">
        <v>145</v>
      </c>
      <c r="G96" s="40" t="s">
        <v>70</v>
      </c>
      <c r="H96" s="40" t="n">
        <v>12</v>
      </c>
      <c r="I96" s="40" t="s">
        <v>73</v>
      </c>
      <c r="J96" s="38" t="n">
        <f aca="false">A96+14</f>
        <v>46273</v>
      </c>
      <c r="K96" s="40"/>
      <c r="L96" s="40"/>
      <c r="M96" s="42"/>
      <c r="N96" s="43"/>
      <c r="O96" s="42"/>
    </row>
    <row r="97" customFormat="false" ht="18" hidden="false" customHeight="true" outlineLevel="0" collapsed="false">
      <c r="A97" s="38" t="n">
        <v>46259</v>
      </c>
      <c r="B97" s="38" t="n">
        <f aca="false">A97</f>
        <v>46259</v>
      </c>
      <c r="C97" s="52"/>
      <c r="D97" s="39" t="n">
        <f aca="false">D69+1</f>
        <v>43</v>
      </c>
      <c r="E97" s="52"/>
      <c r="F97" s="40" t="n">
        <v>161</v>
      </c>
      <c r="G97" s="40" t="s">
        <v>70</v>
      </c>
      <c r="H97" s="40"/>
      <c r="I97" s="40"/>
      <c r="J97" s="38"/>
      <c r="K97" s="40"/>
      <c r="L97" s="40"/>
      <c r="M97" s="42"/>
      <c r="N97" s="43"/>
      <c r="O97" s="42"/>
    </row>
    <row r="98" customFormat="false" ht="18" hidden="false" customHeight="true" outlineLevel="0" collapsed="false">
      <c r="A98" s="38" t="n">
        <v>46259</v>
      </c>
      <c r="B98" s="38" t="n">
        <f aca="false">A98</f>
        <v>46259</v>
      </c>
      <c r="C98" s="52"/>
      <c r="D98" s="39" t="n">
        <f aca="false">D70+1</f>
        <v>43</v>
      </c>
      <c r="E98" s="52"/>
      <c r="F98" s="40" t="n">
        <v>163</v>
      </c>
      <c r="G98" s="40" t="s">
        <v>70</v>
      </c>
      <c r="H98" s="40"/>
      <c r="I98" s="40"/>
      <c r="J98" s="38"/>
      <c r="K98" s="40"/>
      <c r="L98" s="40"/>
      <c r="M98" s="42"/>
      <c r="N98" s="43"/>
      <c r="O98" s="42"/>
    </row>
    <row r="99" customFormat="false" ht="18" hidden="false" customHeight="true" outlineLevel="0" collapsed="false">
      <c r="A99" s="38" t="n">
        <v>46259</v>
      </c>
      <c r="B99" s="38" t="n">
        <f aca="false">A99</f>
        <v>46259</v>
      </c>
      <c r="C99" s="52"/>
      <c r="D99" s="39" t="n">
        <f aca="false">D71+1</f>
        <v>43</v>
      </c>
      <c r="E99" s="52"/>
      <c r="F99" s="40" t="n">
        <v>165</v>
      </c>
      <c r="G99" s="40" t="s">
        <v>70</v>
      </c>
      <c r="H99" s="40"/>
      <c r="I99" s="40"/>
      <c r="J99" s="38"/>
      <c r="K99" s="40"/>
      <c r="L99" s="40"/>
      <c r="M99" s="42"/>
      <c r="N99" s="43"/>
      <c r="O99" s="42"/>
    </row>
    <row r="100" customFormat="false" ht="18" hidden="false" customHeight="true" outlineLevel="0" collapsed="false">
      <c r="A100" s="38" t="n">
        <v>46259</v>
      </c>
      <c r="B100" s="38" t="n">
        <f aca="false">A100</f>
        <v>46259</v>
      </c>
      <c r="C100" s="52"/>
      <c r="D100" s="39" t="n">
        <f aca="false">D69+1</f>
        <v>43</v>
      </c>
      <c r="E100" s="52"/>
      <c r="F100" s="40" t="n">
        <v>151</v>
      </c>
      <c r="G100" s="40" t="s">
        <v>70</v>
      </c>
      <c r="H100" s="40" t="n">
        <v>48</v>
      </c>
      <c r="I100" s="40" t="s">
        <v>73</v>
      </c>
      <c r="J100" s="38" t="n">
        <f aca="false">A100+14</f>
        <v>46273</v>
      </c>
      <c r="K100" s="40"/>
      <c r="L100" s="40"/>
      <c r="M100" s="42"/>
      <c r="N100" s="43"/>
      <c r="O100" s="42"/>
    </row>
    <row r="101" customFormat="false" ht="18" hidden="false" customHeight="true" outlineLevel="0" collapsed="false">
      <c r="A101" s="38" t="n">
        <v>46259</v>
      </c>
      <c r="B101" s="38" t="n">
        <f aca="false">A101</f>
        <v>46259</v>
      </c>
      <c r="C101" s="52"/>
      <c r="D101" s="39" t="n">
        <f aca="false">D70+1</f>
        <v>43</v>
      </c>
      <c r="E101" s="52"/>
      <c r="F101" s="40" t="n">
        <v>154</v>
      </c>
      <c r="G101" s="40" t="s">
        <v>70</v>
      </c>
      <c r="H101" s="40" t="n">
        <v>51</v>
      </c>
      <c r="I101" s="40" t="s">
        <v>73</v>
      </c>
      <c r="J101" s="38" t="n">
        <f aca="false">A101+14</f>
        <v>46273</v>
      </c>
      <c r="K101" s="40"/>
      <c r="L101" s="40"/>
      <c r="M101" s="42"/>
      <c r="N101" s="43"/>
      <c r="O101" s="42"/>
    </row>
    <row r="102" customFormat="false" ht="18" hidden="false" customHeight="true" outlineLevel="0" collapsed="false">
      <c r="A102" s="38" t="n">
        <v>46259</v>
      </c>
      <c r="B102" s="38" t="n">
        <f aca="false">A102</f>
        <v>46259</v>
      </c>
      <c r="C102" s="52"/>
      <c r="D102" s="39" t="n">
        <f aca="false">D71+1</f>
        <v>43</v>
      </c>
      <c r="E102" s="52"/>
      <c r="F102" s="40" t="n">
        <v>159</v>
      </c>
      <c r="G102" s="40" t="s">
        <v>70</v>
      </c>
      <c r="H102" s="40" t="n">
        <v>93</v>
      </c>
      <c r="I102" s="40" t="s">
        <v>73</v>
      </c>
      <c r="J102" s="38" t="n">
        <f aca="false">A102+14</f>
        <v>46273</v>
      </c>
      <c r="K102" s="40"/>
      <c r="L102" s="40"/>
      <c r="M102" s="42"/>
      <c r="N102" s="43"/>
      <c r="O102" s="42"/>
    </row>
    <row r="103" customFormat="false" ht="18" hidden="false" customHeight="true" outlineLevel="0" collapsed="false">
      <c r="A103" s="38" t="n">
        <v>46259</v>
      </c>
      <c r="B103" s="38" t="n">
        <f aca="false">A103</f>
        <v>46259</v>
      </c>
      <c r="C103" s="52" t="n">
        <v>298</v>
      </c>
      <c r="D103" s="39" t="n">
        <f aca="false">D72+1</f>
        <v>43</v>
      </c>
      <c r="E103" s="52" t="str">
        <f aca="false">_xlfn.CONCAT("S-",TEXT(D103,"00"))</f>
        <v>S-43</v>
      </c>
      <c r="F103" s="40" t="n">
        <v>185</v>
      </c>
      <c r="G103" s="40" t="s">
        <v>70</v>
      </c>
      <c r="H103" s="40"/>
      <c r="I103" s="40"/>
      <c r="J103" s="38" t="n">
        <f aca="false">A103+14</f>
        <v>46273</v>
      </c>
      <c r="K103" s="40"/>
      <c r="L103" s="40"/>
      <c r="M103" s="42"/>
      <c r="N103" s="43"/>
      <c r="O103" s="42"/>
    </row>
    <row r="104" customFormat="false" ht="17.25" hidden="false" customHeight="true" outlineLevel="0" collapsed="false">
      <c r="A104" s="58" t="n">
        <v>46260</v>
      </c>
      <c r="B104" s="58" t="n">
        <f aca="false">A104</f>
        <v>46260</v>
      </c>
      <c r="C104" s="52" t="n">
        <v>299</v>
      </c>
      <c r="D104" s="59" t="n">
        <f aca="false">D58+1</f>
        <v>43</v>
      </c>
      <c r="E104" s="52" t="str">
        <f aca="false">_xlfn.CONCAT("S-",TEXT(D104,"00"))</f>
        <v>S-43</v>
      </c>
      <c r="F104" s="39" t="n">
        <v>162</v>
      </c>
      <c r="G104" s="39" t="s">
        <v>70</v>
      </c>
      <c r="H104" s="39" t="n">
        <v>54</v>
      </c>
      <c r="I104" s="39" t="s">
        <v>73</v>
      </c>
      <c r="J104" s="58" t="n">
        <f aca="false">A104+14</f>
        <v>46274</v>
      </c>
      <c r="K104" s="60"/>
      <c r="L104" s="60"/>
      <c r="M104" s="60"/>
      <c r="N104" s="61"/>
      <c r="O104" s="60"/>
    </row>
    <row r="105" customFormat="false" ht="17.25" hidden="false" customHeight="true" outlineLevel="0" collapsed="false">
      <c r="A105" s="58" t="n">
        <v>46260</v>
      </c>
      <c r="B105" s="58" t="n">
        <f aca="false">A105</f>
        <v>46260</v>
      </c>
      <c r="C105" s="52" t="n">
        <v>299</v>
      </c>
      <c r="D105" s="59" t="n">
        <f aca="false">D59+1</f>
        <v>43</v>
      </c>
      <c r="E105" s="52" t="str">
        <f aca="false">_xlfn.CONCAT("S-",TEXT(D105,"00"))</f>
        <v>S-43</v>
      </c>
      <c r="F105" s="39" t="n">
        <v>164</v>
      </c>
      <c r="G105" s="39" t="s">
        <v>70</v>
      </c>
      <c r="H105" s="39" t="n">
        <v>55</v>
      </c>
      <c r="I105" s="39" t="s">
        <v>73</v>
      </c>
      <c r="J105" s="58" t="n">
        <f aca="false">A105+14</f>
        <v>46274</v>
      </c>
      <c r="K105" s="60"/>
      <c r="L105" s="60"/>
      <c r="M105" s="60"/>
      <c r="N105" s="61"/>
      <c r="O105" s="60"/>
    </row>
    <row r="106" customFormat="false" ht="16.5" hidden="false" customHeight="true" outlineLevel="0" collapsed="false">
      <c r="A106" s="38" t="n">
        <v>46260</v>
      </c>
      <c r="B106" s="38" t="n">
        <f aca="false">A106</f>
        <v>46260</v>
      </c>
      <c r="C106" s="39" t="n">
        <v>300</v>
      </c>
      <c r="D106" s="39" t="n">
        <f aca="false">D60+1</f>
        <v>43</v>
      </c>
      <c r="E106" s="39" t="str">
        <f aca="false">_xlfn.CONCAT("S-",TEXT(D106,"00"))</f>
        <v>S-43</v>
      </c>
      <c r="F106" s="39" t="n">
        <v>167</v>
      </c>
      <c r="G106" s="39" t="s">
        <v>70</v>
      </c>
      <c r="H106" s="39" t="n">
        <v>58</v>
      </c>
      <c r="I106" s="39" t="s">
        <v>73</v>
      </c>
      <c r="J106" s="38" t="n">
        <f aca="false">A106+14</f>
        <v>46274</v>
      </c>
      <c r="K106" s="42"/>
      <c r="L106" s="42"/>
      <c r="M106" s="42"/>
      <c r="N106" s="43"/>
      <c r="O106" s="42"/>
    </row>
    <row r="107" customFormat="false" ht="16.5" hidden="false" customHeight="true" outlineLevel="0" collapsed="false">
      <c r="A107" s="38" t="n">
        <v>46260</v>
      </c>
      <c r="B107" s="38" t="n">
        <f aca="false">A107</f>
        <v>46260</v>
      </c>
      <c r="C107" s="39" t="n">
        <v>301</v>
      </c>
      <c r="D107" s="39" t="n">
        <f aca="false">D61+1</f>
        <v>43</v>
      </c>
      <c r="E107" s="52"/>
      <c r="F107" s="39" t="n">
        <v>169</v>
      </c>
      <c r="G107" s="39" t="s">
        <v>70</v>
      </c>
      <c r="H107" s="39"/>
      <c r="I107" s="39"/>
      <c r="J107" s="38" t="n">
        <f aca="false">A107+14</f>
        <v>46274</v>
      </c>
      <c r="K107" s="60"/>
      <c r="L107" s="60"/>
      <c r="M107" s="60"/>
      <c r="N107" s="61"/>
      <c r="O107" s="60"/>
    </row>
    <row r="108" customFormat="false" ht="17.25" hidden="false" customHeight="true" outlineLevel="0" collapsed="false">
      <c r="A108" s="58" t="n">
        <v>46260</v>
      </c>
      <c r="B108" s="58" t="n">
        <f aca="false">A108</f>
        <v>46260</v>
      </c>
      <c r="C108" s="52" t="n">
        <v>299</v>
      </c>
      <c r="D108" s="59" t="n">
        <f aca="false">D61+1</f>
        <v>43</v>
      </c>
      <c r="E108" s="52" t="str">
        <f aca="false">_xlfn.CONCAT("S-",TEXT(D108,"00"))</f>
        <v>S-43</v>
      </c>
      <c r="F108" s="39" t="n">
        <v>171</v>
      </c>
      <c r="G108" s="39" t="s">
        <v>70</v>
      </c>
      <c r="H108" s="39" t="n">
        <v>59</v>
      </c>
      <c r="I108" s="39" t="s">
        <v>73</v>
      </c>
      <c r="J108" s="58" t="n">
        <f aca="false">A108+14</f>
        <v>46274</v>
      </c>
      <c r="K108" s="60"/>
      <c r="L108" s="60"/>
      <c r="M108" s="60"/>
      <c r="N108" s="61"/>
      <c r="O108" s="60"/>
    </row>
    <row r="109" customFormat="false" ht="17.25" hidden="false" customHeight="true" outlineLevel="0" collapsed="false">
      <c r="A109" s="58" t="n">
        <v>46260</v>
      </c>
      <c r="B109" s="58" t="n">
        <f aca="false">A109</f>
        <v>46260</v>
      </c>
      <c r="C109" s="52" t="n">
        <v>299</v>
      </c>
      <c r="D109" s="59" t="n">
        <f aca="false">D62+1</f>
        <v>43</v>
      </c>
      <c r="E109" s="52" t="str">
        <f aca="false">_xlfn.CONCAT("S-",TEXT(D109,"00"))</f>
        <v>S-43</v>
      </c>
      <c r="F109" s="39" t="n">
        <v>173</v>
      </c>
      <c r="G109" s="39" t="s">
        <v>70</v>
      </c>
      <c r="H109" s="39" t="n">
        <v>63</v>
      </c>
      <c r="I109" s="39" t="s">
        <v>73</v>
      </c>
      <c r="J109" s="58" t="n">
        <f aca="false">A109+14</f>
        <v>46274</v>
      </c>
      <c r="K109" s="60"/>
      <c r="L109" s="60"/>
      <c r="M109" s="60"/>
      <c r="N109" s="61"/>
      <c r="O109" s="60"/>
    </row>
    <row r="110" customFormat="false" ht="16.5" hidden="false" customHeight="true" outlineLevel="0" collapsed="false">
      <c r="A110" s="38" t="n">
        <v>46260</v>
      </c>
      <c r="B110" s="38" t="n">
        <f aca="false">A110</f>
        <v>46260</v>
      </c>
      <c r="C110" s="39" t="n">
        <v>300</v>
      </c>
      <c r="D110" s="39" t="n">
        <f aca="false">D63+1</f>
        <v>43</v>
      </c>
      <c r="E110" s="39" t="str">
        <f aca="false">_xlfn.CONCAT("S-",TEXT(D110,"00"))</f>
        <v>S-43</v>
      </c>
      <c r="F110" s="39" t="n">
        <v>186</v>
      </c>
      <c r="G110" s="39" t="s">
        <v>70</v>
      </c>
      <c r="H110" s="39" t="n">
        <v>66</v>
      </c>
      <c r="I110" s="39" t="s">
        <v>73</v>
      </c>
      <c r="J110" s="38" t="n">
        <f aca="false">A110+14</f>
        <v>46274</v>
      </c>
      <c r="K110" s="42"/>
      <c r="L110" s="42"/>
      <c r="M110" s="42"/>
      <c r="N110" s="43"/>
      <c r="O110" s="42"/>
    </row>
    <row r="111" customFormat="false" ht="17.25" hidden="false" customHeight="true" outlineLevel="0" collapsed="false">
      <c r="A111" s="58" t="n">
        <v>46260</v>
      </c>
      <c r="B111" s="58" t="n">
        <f aca="false">A111</f>
        <v>46260</v>
      </c>
      <c r="C111" s="52" t="n">
        <v>299</v>
      </c>
      <c r="D111" s="59" t="n">
        <f aca="false">D64+1</f>
        <v>43</v>
      </c>
      <c r="E111" s="52" t="str">
        <f aca="false">_xlfn.CONCAT("S-",TEXT(D111,"00"))</f>
        <v>S-43</v>
      </c>
      <c r="F111" s="39" t="n">
        <v>187</v>
      </c>
      <c r="G111" s="39" t="s">
        <v>70</v>
      </c>
      <c r="H111" s="39" t="n">
        <v>67</v>
      </c>
      <c r="I111" s="39" t="s">
        <v>73</v>
      </c>
      <c r="J111" s="58" t="n">
        <f aca="false">A111+14</f>
        <v>46274</v>
      </c>
      <c r="K111" s="60"/>
      <c r="L111" s="60"/>
      <c r="M111" s="60"/>
      <c r="N111" s="61"/>
      <c r="O111" s="60"/>
    </row>
    <row r="112" customFormat="false" ht="17.25" hidden="false" customHeight="true" outlineLevel="0" collapsed="false">
      <c r="A112" s="58" t="n">
        <v>46260</v>
      </c>
      <c r="B112" s="58" t="n">
        <f aca="false">A112</f>
        <v>46260</v>
      </c>
      <c r="C112" s="52" t="n">
        <v>299</v>
      </c>
      <c r="D112" s="59" t="n">
        <f aca="false">D65+1</f>
        <v>43</v>
      </c>
      <c r="E112" s="52" t="str">
        <f aca="false">_xlfn.CONCAT("S-",TEXT(D112,"00"))</f>
        <v>S-43</v>
      </c>
      <c r="F112" s="39" t="n">
        <v>189</v>
      </c>
      <c r="G112" s="39" t="s">
        <v>70</v>
      </c>
      <c r="H112" s="39"/>
      <c r="I112" s="39"/>
      <c r="J112" s="58" t="n">
        <f aca="false">A112+14</f>
        <v>46274</v>
      </c>
      <c r="K112" s="60"/>
      <c r="L112" s="60"/>
      <c r="M112" s="60"/>
      <c r="N112" s="61"/>
      <c r="O112" s="60"/>
    </row>
    <row r="113" customFormat="false" ht="16.5" hidden="false" customHeight="true" outlineLevel="0" collapsed="false">
      <c r="A113" s="38" t="n">
        <v>46260</v>
      </c>
      <c r="B113" s="38" t="n">
        <f aca="false">A113</f>
        <v>46260</v>
      </c>
      <c r="C113" s="39" t="n">
        <v>300</v>
      </c>
      <c r="D113" s="39" t="n">
        <f aca="false">D66+1</f>
        <v>43</v>
      </c>
      <c r="E113" s="39" t="str">
        <f aca="false">_xlfn.CONCAT("S-",TEXT(D113,"00"))</f>
        <v>S-43</v>
      </c>
      <c r="F113" s="39" t="n">
        <v>191</v>
      </c>
      <c r="G113" s="39" t="s">
        <v>70</v>
      </c>
      <c r="H113" s="39"/>
      <c r="I113" s="39"/>
      <c r="J113" s="38" t="n">
        <f aca="false">A113+14</f>
        <v>46274</v>
      </c>
      <c r="K113" s="42"/>
      <c r="L113" s="42"/>
      <c r="M113" s="42"/>
      <c r="N113" s="43"/>
      <c r="O113" s="42"/>
    </row>
    <row r="114" customFormat="false" ht="17.25" hidden="false" customHeight="true" outlineLevel="0" collapsed="false">
      <c r="A114" s="58" t="n">
        <v>46260</v>
      </c>
      <c r="B114" s="58" t="n">
        <f aca="false">A114</f>
        <v>46260</v>
      </c>
      <c r="C114" s="52" t="n">
        <v>299</v>
      </c>
      <c r="D114" s="59" t="n">
        <f aca="false">D67+1</f>
        <v>43</v>
      </c>
      <c r="E114" s="52" t="str">
        <f aca="false">_xlfn.CONCAT("S-",TEXT(D114,"00"))</f>
        <v>S-43</v>
      </c>
      <c r="F114" s="39" t="n">
        <v>193</v>
      </c>
      <c r="G114" s="39" t="s">
        <v>70</v>
      </c>
      <c r="H114" s="39"/>
      <c r="I114" s="39"/>
      <c r="J114" s="58" t="n">
        <f aca="false">A114+14</f>
        <v>46274</v>
      </c>
      <c r="K114" s="60"/>
      <c r="L114" s="60"/>
      <c r="M114" s="60"/>
      <c r="N114" s="61"/>
      <c r="O114" s="60"/>
    </row>
    <row r="115" customFormat="false" ht="17.25" hidden="false" customHeight="true" outlineLevel="0" collapsed="false">
      <c r="A115" s="58" t="n">
        <v>46260</v>
      </c>
      <c r="B115" s="58" t="n">
        <f aca="false">A115</f>
        <v>46260</v>
      </c>
      <c r="C115" s="52" t="n">
        <v>299</v>
      </c>
      <c r="D115" s="59" t="n">
        <f aca="false">D68+1</f>
        <v>43</v>
      </c>
      <c r="E115" s="52" t="str">
        <f aca="false">_xlfn.CONCAT("S-",TEXT(D115,"00"))</f>
        <v>S-43</v>
      </c>
      <c r="F115" s="39" t="n">
        <v>195</v>
      </c>
      <c r="G115" s="39" t="s">
        <v>70</v>
      </c>
      <c r="H115" s="39"/>
      <c r="I115" s="39"/>
      <c r="J115" s="58" t="n">
        <f aca="false">A115+14</f>
        <v>46274</v>
      </c>
      <c r="K115" s="60"/>
      <c r="L115" s="60"/>
      <c r="M115" s="60"/>
      <c r="N115" s="61"/>
      <c r="O115" s="60"/>
    </row>
    <row r="116" customFormat="false" ht="17.25" hidden="false" customHeight="true" outlineLevel="0" collapsed="false">
      <c r="A116" s="38" t="n">
        <v>46260</v>
      </c>
      <c r="B116" s="38" t="n">
        <f aca="false">A116</f>
        <v>46260</v>
      </c>
      <c r="C116" s="39" t="n">
        <v>300</v>
      </c>
      <c r="D116" s="39" t="n">
        <f aca="false">D68+1</f>
        <v>43</v>
      </c>
      <c r="E116" s="39" t="str">
        <f aca="false">_xlfn.CONCAT("S-",TEXT(D116,"00"))</f>
        <v>S-43</v>
      </c>
      <c r="F116" s="39" t="n">
        <v>197</v>
      </c>
      <c r="G116" s="39" t="s">
        <v>70</v>
      </c>
      <c r="H116" s="39"/>
      <c r="I116" s="39"/>
      <c r="J116" s="38" t="n">
        <f aca="false">A116+14</f>
        <v>46274</v>
      </c>
      <c r="K116" s="60"/>
      <c r="L116" s="60"/>
      <c r="M116" s="60"/>
      <c r="N116" s="61"/>
      <c r="O116" s="60"/>
    </row>
    <row r="117" customFormat="false" ht="17.25" hidden="false" customHeight="true" outlineLevel="0" collapsed="false">
      <c r="A117" s="38" t="n">
        <v>46261</v>
      </c>
      <c r="B117" s="38" t="n">
        <v>46261</v>
      </c>
      <c r="C117" s="39"/>
      <c r="D117" s="39" t="n">
        <f aca="false">D69+1</f>
        <v>43</v>
      </c>
      <c r="E117" s="39"/>
      <c r="F117" s="39"/>
      <c r="G117" s="39"/>
      <c r="H117" s="39"/>
      <c r="I117" s="39"/>
      <c r="J117" s="38"/>
      <c r="K117" s="60"/>
      <c r="L117" s="60"/>
      <c r="M117" s="60"/>
      <c r="N117" s="61"/>
      <c r="O117" s="60"/>
    </row>
    <row r="118" customFormat="false" ht="16.5" hidden="false" customHeight="true" outlineLevel="0" collapsed="false">
      <c r="A118" s="38" t="n">
        <v>46262</v>
      </c>
      <c r="B118" s="38" t="n">
        <v>46262</v>
      </c>
      <c r="C118" s="39"/>
      <c r="D118" s="39" t="n">
        <v>44</v>
      </c>
      <c r="E118" s="39"/>
      <c r="F118" s="39"/>
      <c r="G118" s="39"/>
      <c r="H118" s="39"/>
      <c r="I118" s="39"/>
      <c r="J118" s="38"/>
      <c r="K118" s="42"/>
      <c r="L118" s="42"/>
      <c r="M118" s="42"/>
      <c r="N118" s="43"/>
      <c r="O118" s="42"/>
    </row>
    <row r="119" customFormat="false" ht="18" hidden="false" customHeight="true" outlineLevel="0" collapsed="false">
      <c r="A119" s="46" t="n">
        <v>46263</v>
      </c>
      <c r="B119" s="46" t="n">
        <f aca="false">A119</f>
        <v>46263</v>
      </c>
      <c r="C119" s="47" t="n">
        <v>302</v>
      </c>
      <c r="D119" s="47" t="n">
        <v>44</v>
      </c>
      <c r="E119" s="47" t="str">
        <f aca="false">_xlfn.CONCAT("S-",TEXT(D119,"00"))</f>
        <v>S-44</v>
      </c>
      <c r="F119" s="39"/>
      <c r="G119" s="39"/>
      <c r="H119" s="39"/>
      <c r="I119" s="39"/>
      <c r="J119" s="49"/>
      <c r="K119" s="48"/>
      <c r="L119" s="48"/>
      <c r="M119" s="48"/>
      <c r="N119" s="50"/>
      <c r="O119" s="48"/>
    </row>
    <row r="120" customFormat="false" ht="18" hidden="false" customHeight="true" outlineLevel="0" collapsed="false">
      <c r="A120" s="46" t="n">
        <v>46264</v>
      </c>
      <c r="B120" s="46" t="n">
        <f aca="false">A120</f>
        <v>46264</v>
      </c>
      <c r="C120" s="47" t="n">
        <v>303</v>
      </c>
      <c r="D120" s="47" t="n">
        <f aca="false">D82+1</f>
        <v>44</v>
      </c>
      <c r="E120" s="47" t="str">
        <f aca="false">_xlfn.CONCAT("S-",TEXT(D120,"00"))</f>
        <v>S-44</v>
      </c>
      <c r="F120" s="48"/>
      <c r="G120" s="48"/>
      <c r="H120" s="48"/>
      <c r="I120" s="48"/>
      <c r="J120" s="49"/>
      <c r="K120" s="48"/>
      <c r="L120" s="48"/>
      <c r="M120" s="48"/>
      <c r="N120" s="50"/>
      <c r="O120" s="48"/>
    </row>
    <row r="121" customFormat="false" ht="18" hidden="false" customHeight="true" outlineLevel="0" collapsed="false">
      <c r="A121" s="38" t="n">
        <v>46265</v>
      </c>
      <c r="B121" s="38" t="n">
        <f aca="false">A121</f>
        <v>46265</v>
      </c>
      <c r="C121" s="39" t="n">
        <v>304</v>
      </c>
      <c r="D121" s="39" t="n">
        <f aca="false">D85+1</f>
        <v>44</v>
      </c>
      <c r="E121" s="39" t="str">
        <f aca="false">_xlfn.CONCAT("S-",TEXT(D121,"00"))</f>
        <v>S-44</v>
      </c>
      <c r="F121" s="42"/>
      <c r="G121" s="42"/>
      <c r="H121" s="42"/>
      <c r="I121" s="42"/>
      <c r="J121" s="62"/>
      <c r="K121" s="42"/>
      <c r="L121" s="42"/>
      <c r="M121" s="42"/>
      <c r="N121" s="43"/>
      <c r="O121" s="42"/>
    </row>
    <row r="122" customFormat="false" ht="18" hidden="false" customHeight="true" outlineLevel="0" collapsed="false">
      <c r="A122" s="38" t="n">
        <v>46266</v>
      </c>
      <c r="B122" s="38" t="n">
        <f aca="false">A122</f>
        <v>46266</v>
      </c>
      <c r="C122" s="39" t="n">
        <v>305</v>
      </c>
      <c r="D122" s="39" t="n">
        <f aca="false">D94+1</f>
        <v>44</v>
      </c>
      <c r="E122" s="39" t="str">
        <f aca="false">_xlfn.CONCAT("S-",TEXT(D122,"00"))</f>
        <v>S-44</v>
      </c>
      <c r="F122" s="42"/>
      <c r="G122" s="42"/>
      <c r="H122" s="42"/>
      <c r="I122" s="42"/>
      <c r="J122" s="62"/>
      <c r="K122" s="42"/>
      <c r="L122" s="42"/>
      <c r="M122" s="42"/>
      <c r="N122" s="43"/>
      <c r="O122" s="42"/>
    </row>
    <row r="123" customFormat="false" ht="18" hidden="false" customHeight="true" outlineLevel="0" collapsed="false">
      <c r="A123" s="38" t="n">
        <v>46267</v>
      </c>
      <c r="B123" s="38" t="n">
        <f aca="false">A123</f>
        <v>46267</v>
      </c>
      <c r="C123" s="39" t="n">
        <v>306</v>
      </c>
      <c r="D123" s="39" t="n">
        <f aca="false">D114+1</f>
        <v>44</v>
      </c>
      <c r="E123" s="39" t="str">
        <f aca="false">_xlfn.CONCAT("S-",TEXT(D123,"00"))</f>
        <v>S-44</v>
      </c>
      <c r="F123" s="42"/>
      <c r="G123" s="42"/>
      <c r="H123" s="42"/>
      <c r="I123" s="42"/>
      <c r="J123" s="62"/>
      <c r="K123" s="42"/>
      <c r="L123" s="42"/>
      <c r="M123" s="42"/>
      <c r="N123" s="43"/>
      <c r="O123" s="42"/>
    </row>
    <row r="124" customFormat="false" ht="18" hidden="false" customHeight="true" outlineLevel="0" collapsed="false">
      <c r="A124" s="38" t="n">
        <v>46268</v>
      </c>
      <c r="B124" s="38" t="n">
        <f aca="false">A124</f>
        <v>46268</v>
      </c>
      <c r="C124" s="39" t="n">
        <v>307</v>
      </c>
      <c r="D124" s="39" t="n">
        <f aca="false">D115+1</f>
        <v>44</v>
      </c>
      <c r="E124" s="39" t="str">
        <f aca="false">_xlfn.CONCAT("S-",TEXT(D124,"00"))</f>
        <v>S-44</v>
      </c>
      <c r="F124" s="42"/>
      <c r="G124" s="42"/>
      <c r="H124" s="42"/>
      <c r="I124" s="42"/>
      <c r="J124" s="62"/>
      <c r="K124" s="42"/>
      <c r="L124" s="42"/>
      <c r="M124" s="42"/>
      <c r="N124" s="43"/>
      <c r="O124" s="42"/>
    </row>
    <row r="125" customFormat="false" ht="18" hidden="false" customHeight="true" outlineLevel="0" collapsed="false">
      <c r="A125" s="38" t="n">
        <v>46269</v>
      </c>
      <c r="B125" s="38" t="n">
        <f aca="false">A125</f>
        <v>46269</v>
      </c>
      <c r="C125" s="39" t="n">
        <v>308</v>
      </c>
      <c r="D125" s="39" t="n">
        <f aca="false">D118+1</f>
        <v>45</v>
      </c>
      <c r="E125" s="39" t="str">
        <f aca="false">_xlfn.CONCAT("S-",TEXT(D125,"00"))</f>
        <v>S-45</v>
      </c>
      <c r="F125" s="42"/>
      <c r="G125" s="42"/>
      <c r="H125" s="42"/>
      <c r="I125" s="42"/>
      <c r="J125" s="62"/>
      <c r="K125" s="42"/>
      <c r="L125" s="42"/>
      <c r="M125" s="42"/>
      <c r="N125" s="43"/>
      <c r="O125" s="42"/>
    </row>
    <row r="126" customFormat="false" ht="18" hidden="false" customHeight="true" outlineLevel="0" collapsed="false">
      <c r="A126" s="46" t="n">
        <v>46270</v>
      </c>
      <c r="B126" s="46" t="n">
        <f aca="false">A126</f>
        <v>46270</v>
      </c>
      <c r="C126" s="47" t="n">
        <v>309</v>
      </c>
      <c r="D126" s="47" t="n">
        <f aca="false">D119+1</f>
        <v>45</v>
      </c>
      <c r="E126" s="47" t="str">
        <f aca="false">_xlfn.CONCAT("S-",TEXT(D126,"00"))</f>
        <v>S-45</v>
      </c>
      <c r="F126" s="48"/>
      <c r="G126" s="48"/>
      <c r="H126" s="48"/>
      <c r="I126" s="48"/>
      <c r="J126" s="49"/>
      <c r="K126" s="48"/>
      <c r="L126" s="48"/>
      <c r="M126" s="48"/>
      <c r="N126" s="50"/>
      <c r="O126" s="48"/>
    </row>
    <row r="127" customFormat="false" ht="18" hidden="false" customHeight="true" outlineLevel="0" collapsed="false">
      <c r="A127" s="46" t="n">
        <v>46271</v>
      </c>
      <c r="B127" s="46" t="n">
        <f aca="false">A127</f>
        <v>46271</v>
      </c>
      <c r="C127" s="47" t="n">
        <v>310</v>
      </c>
      <c r="D127" s="47" t="n">
        <f aca="false">D120+1</f>
        <v>45</v>
      </c>
      <c r="E127" s="47" t="str">
        <f aca="false">_xlfn.CONCAT("S-",TEXT(D127,"00"))</f>
        <v>S-45</v>
      </c>
      <c r="F127" s="48"/>
      <c r="G127" s="48"/>
      <c r="H127" s="48"/>
      <c r="I127" s="48"/>
      <c r="J127" s="49"/>
      <c r="K127" s="48"/>
      <c r="L127" s="48"/>
      <c r="M127" s="48"/>
      <c r="N127" s="50"/>
      <c r="O127" s="48"/>
    </row>
    <row r="128" customFormat="false" ht="18" hidden="false" customHeight="true" outlineLevel="0" collapsed="false">
      <c r="A128" s="38" t="n">
        <v>46272</v>
      </c>
      <c r="B128" s="38" t="n">
        <f aca="false">A128</f>
        <v>46272</v>
      </c>
      <c r="C128" s="39" t="n">
        <v>311</v>
      </c>
      <c r="D128" s="39" t="n">
        <f aca="false">D121+1</f>
        <v>45</v>
      </c>
      <c r="E128" s="39" t="str">
        <f aca="false">_xlfn.CONCAT("S-",TEXT(D128,"00"))</f>
        <v>S-45</v>
      </c>
      <c r="F128" s="42"/>
      <c r="G128" s="42"/>
      <c r="H128" s="42"/>
      <c r="I128" s="42"/>
      <c r="J128" s="62"/>
      <c r="K128" s="42"/>
      <c r="L128" s="42"/>
      <c r="M128" s="42"/>
      <c r="N128" s="43"/>
      <c r="O128" s="42"/>
    </row>
    <row r="129" customFormat="false" ht="18" hidden="false" customHeight="true" outlineLevel="0" collapsed="false">
      <c r="A129" s="38" t="n">
        <v>46273</v>
      </c>
      <c r="B129" s="38" t="n">
        <f aca="false">A129</f>
        <v>46273</v>
      </c>
      <c r="C129" s="39" t="n">
        <v>312</v>
      </c>
      <c r="D129" s="39" t="n">
        <f aca="false">D122+1</f>
        <v>45</v>
      </c>
      <c r="E129" s="39" t="str">
        <f aca="false">_xlfn.CONCAT("S-",TEXT(D129,"00"))</f>
        <v>S-45</v>
      </c>
      <c r="F129" s="42"/>
      <c r="G129" s="42"/>
      <c r="H129" s="42"/>
      <c r="I129" s="42"/>
      <c r="J129" s="62"/>
      <c r="K129" s="42"/>
      <c r="L129" s="42"/>
      <c r="M129" s="42"/>
      <c r="N129" s="43"/>
      <c r="O129" s="42"/>
    </row>
    <row r="130" customFormat="false" ht="18" hidden="false" customHeight="true" outlineLevel="0" collapsed="false">
      <c r="A130" s="38" t="n">
        <v>46274</v>
      </c>
      <c r="B130" s="38" t="n">
        <f aca="false">A130</f>
        <v>46274</v>
      </c>
      <c r="C130" s="39" t="n">
        <v>313</v>
      </c>
      <c r="D130" s="39" t="n">
        <f aca="false">D123+1</f>
        <v>45</v>
      </c>
      <c r="E130" s="39" t="str">
        <f aca="false">_xlfn.CONCAT("S-",TEXT(D130,"00"))</f>
        <v>S-45</v>
      </c>
      <c r="F130" s="42"/>
      <c r="G130" s="42"/>
      <c r="H130" s="42"/>
      <c r="I130" s="42"/>
      <c r="J130" s="62"/>
      <c r="K130" s="42"/>
      <c r="L130" s="42"/>
      <c r="M130" s="42"/>
      <c r="N130" s="43"/>
      <c r="O130" s="42"/>
    </row>
    <row r="131" customFormat="false" ht="18" hidden="false" customHeight="true" outlineLevel="0" collapsed="false">
      <c r="A131" s="38" t="n">
        <v>46275</v>
      </c>
      <c r="B131" s="38" t="n">
        <f aca="false">A131</f>
        <v>46275</v>
      </c>
      <c r="C131" s="39" t="n">
        <v>314</v>
      </c>
      <c r="D131" s="39" t="n">
        <f aca="false">D124+1</f>
        <v>45</v>
      </c>
      <c r="E131" s="39" t="str">
        <f aca="false">_xlfn.CONCAT("S-",TEXT(D131,"00"))</f>
        <v>S-45</v>
      </c>
      <c r="F131" s="42"/>
      <c r="G131" s="42"/>
      <c r="H131" s="42"/>
      <c r="I131" s="42"/>
      <c r="J131" s="62"/>
      <c r="K131" s="42"/>
      <c r="L131" s="42"/>
      <c r="M131" s="42"/>
      <c r="N131" s="43"/>
      <c r="O131" s="42"/>
    </row>
    <row r="132" customFormat="false" ht="18" hidden="false" customHeight="true" outlineLevel="0" collapsed="false">
      <c r="A132" s="38" t="n">
        <v>46276</v>
      </c>
      <c r="B132" s="38" t="n">
        <f aca="false">A132</f>
        <v>46276</v>
      </c>
      <c r="C132" s="39" t="n">
        <v>315</v>
      </c>
      <c r="D132" s="39" t="n">
        <f aca="false">D125+1</f>
        <v>46</v>
      </c>
      <c r="E132" s="39" t="str">
        <f aca="false">_xlfn.CONCAT("S-",TEXT(D132,"00"))</f>
        <v>S-46</v>
      </c>
      <c r="F132" s="42"/>
      <c r="G132" s="42"/>
      <c r="H132" s="42"/>
      <c r="I132" s="42"/>
      <c r="J132" s="62"/>
      <c r="K132" s="42"/>
      <c r="L132" s="42"/>
      <c r="M132" s="42"/>
      <c r="N132" s="43"/>
      <c r="O132" s="42"/>
    </row>
    <row r="133" customFormat="false" ht="18" hidden="false" customHeight="true" outlineLevel="0" collapsed="false">
      <c r="A133" s="46" t="n">
        <v>46277</v>
      </c>
      <c r="B133" s="46" t="n">
        <f aca="false">A133</f>
        <v>46277</v>
      </c>
      <c r="C133" s="47" t="n">
        <v>316</v>
      </c>
      <c r="D133" s="47" t="n">
        <f aca="false">D126+1</f>
        <v>46</v>
      </c>
      <c r="E133" s="47" t="str">
        <f aca="false">_xlfn.CONCAT("S-",TEXT(D133,"00"))</f>
        <v>S-46</v>
      </c>
      <c r="F133" s="48"/>
      <c r="G133" s="48"/>
      <c r="H133" s="48"/>
      <c r="I133" s="48"/>
      <c r="J133" s="49"/>
      <c r="K133" s="48"/>
      <c r="L133" s="48"/>
      <c r="M133" s="48"/>
      <c r="N133" s="50"/>
      <c r="O133" s="48"/>
    </row>
    <row r="134" customFormat="false" ht="18" hidden="false" customHeight="true" outlineLevel="0" collapsed="false">
      <c r="A134" s="46" t="n">
        <v>46278</v>
      </c>
      <c r="B134" s="46" t="n">
        <f aca="false">A134</f>
        <v>46278</v>
      </c>
      <c r="C134" s="47" t="n">
        <v>317</v>
      </c>
      <c r="D134" s="47" t="n">
        <f aca="false">D127+1</f>
        <v>46</v>
      </c>
      <c r="E134" s="47" t="str">
        <f aca="false">_xlfn.CONCAT("S-",TEXT(D134,"00"))</f>
        <v>S-46</v>
      </c>
      <c r="F134" s="48"/>
      <c r="G134" s="48"/>
      <c r="H134" s="48"/>
      <c r="I134" s="48"/>
      <c r="J134" s="49"/>
      <c r="K134" s="48"/>
      <c r="L134" s="48"/>
      <c r="M134" s="48"/>
      <c r="N134" s="50"/>
      <c r="O134" s="48"/>
    </row>
    <row r="135" customFormat="false" ht="18" hidden="false" customHeight="true" outlineLevel="0" collapsed="false">
      <c r="A135" s="38" t="n">
        <v>46279</v>
      </c>
      <c r="B135" s="38" t="n">
        <f aca="false">A135</f>
        <v>46279</v>
      </c>
      <c r="C135" s="39" t="n">
        <v>318</v>
      </c>
      <c r="D135" s="39" t="n">
        <f aca="false">D128+1</f>
        <v>46</v>
      </c>
      <c r="E135" s="39" t="str">
        <f aca="false">_xlfn.CONCAT("S-",TEXT(D135,"00"))</f>
        <v>S-46</v>
      </c>
      <c r="F135" s="42"/>
      <c r="G135" s="42"/>
      <c r="H135" s="42"/>
      <c r="I135" s="42"/>
      <c r="J135" s="62"/>
      <c r="K135" s="42"/>
      <c r="L135" s="42"/>
      <c r="M135" s="42"/>
      <c r="N135" s="43"/>
      <c r="O135" s="42"/>
    </row>
    <row r="136" customFormat="false" ht="18" hidden="false" customHeight="true" outlineLevel="0" collapsed="false">
      <c r="A136" s="38" t="n">
        <v>46280</v>
      </c>
      <c r="B136" s="38" t="n">
        <f aca="false">A136</f>
        <v>46280</v>
      </c>
      <c r="C136" s="39" t="n">
        <v>319</v>
      </c>
      <c r="D136" s="39" t="n">
        <f aca="false">D129+1</f>
        <v>46</v>
      </c>
      <c r="E136" s="39" t="str">
        <f aca="false">_xlfn.CONCAT("S-",TEXT(D136,"00"))</f>
        <v>S-46</v>
      </c>
      <c r="F136" s="42"/>
      <c r="G136" s="42"/>
      <c r="H136" s="42"/>
      <c r="I136" s="42"/>
      <c r="J136" s="62"/>
      <c r="K136" s="42"/>
      <c r="L136" s="42"/>
      <c r="M136" s="42"/>
      <c r="N136" s="43"/>
      <c r="O136" s="42"/>
    </row>
    <row r="137" customFormat="false" ht="18" hidden="false" customHeight="true" outlineLevel="0" collapsed="false">
      <c r="A137" s="38" t="n">
        <v>46281</v>
      </c>
      <c r="B137" s="38" t="n">
        <f aca="false">A137</f>
        <v>46281</v>
      </c>
      <c r="C137" s="39" t="n">
        <v>320</v>
      </c>
      <c r="D137" s="39" t="n">
        <f aca="false">D130+1</f>
        <v>46</v>
      </c>
      <c r="E137" s="39" t="str">
        <f aca="false">_xlfn.CONCAT("S-",TEXT(D137,"00"))</f>
        <v>S-46</v>
      </c>
      <c r="F137" s="42"/>
      <c r="G137" s="42"/>
      <c r="H137" s="42"/>
      <c r="I137" s="42"/>
      <c r="J137" s="62"/>
      <c r="K137" s="42"/>
      <c r="L137" s="42"/>
      <c r="M137" s="42"/>
      <c r="N137" s="43"/>
      <c r="O137" s="42"/>
    </row>
    <row r="138" customFormat="false" ht="18" hidden="false" customHeight="true" outlineLevel="0" collapsed="false">
      <c r="A138" s="38" t="n">
        <v>46282</v>
      </c>
      <c r="B138" s="38" t="n">
        <f aca="false">A138</f>
        <v>46282</v>
      </c>
      <c r="C138" s="39" t="n">
        <v>321</v>
      </c>
      <c r="D138" s="39" t="n">
        <f aca="false">D131+1</f>
        <v>46</v>
      </c>
      <c r="E138" s="39" t="str">
        <f aca="false">_xlfn.CONCAT("S-",TEXT(D138,"00"))</f>
        <v>S-46</v>
      </c>
      <c r="F138" s="42"/>
      <c r="G138" s="42"/>
      <c r="H138" s="42"/>
      <c r="I138" s="42"/>
      <c r="J138" s="62"/>
      <c r="K138" s="42"/>
      <c r="L138" s="42"/>
      <c r="M138" s="42"/>
      <c r="N138" s="43"/>
      <c r="O138" s="42"/>
    </row>
    <row r="139" customFormat="false" ht="18" hidden="false" customHeight="true" outlineLevel="0" collapsed="false">
      <c r="A139" s="38" t="n">
        <v>46283</v>
      </c>
      <c r="B139" s="38" t="n">
        <f aca="false">A139</f>
        <v>46283</v>
      </c>
      <c r="C139" s="39" t="n">
        <v>322</v>
      </c>
      <c r="D139" s="39" t="n">
        <f aca="false">D132+1</f>
        <v>47</v>
      </c>
      <c r="E139" s="39" t="str">
        <f aca="false">_xlfn.CONCAT("S-",TEXT(D139,"00"))</f>
        <v>S-47</v>
      </c>
      <c r="F139" s="42"/>
      <c r="G139" s="42"/>
      <c r="H139" s="42"/>
      <c r="I139" s="42"/>
      <c r="J139" s="62"/>
      <c r="K139" s="42"/>
      <c r="L139" s="42"/>
      <c r="M139" s="42"/>
      <c r="N139" s="43"/>
      <c r="O139" s="42"/>
    </row>
    <row r="140" customFormat="false" ht="18" hidden="false" customHeight="true" outlineLevel="0" collapsed="false">
      <c r="A140" s="46" t="n">
        <v>46284</v>
      </c>
      <c r="B140" s="46" t="n">
        <f aca="false">A140</f>
        <v>46284</v>
      </c>
      <c r="C140" s="47" t="n">
        <v>323</v>
      </c>
      <c r="D140" s="47" t="n">
        <f aca="false">D133+1</f>
        <v>47</v>
      </c>
      <c r="E140" s="47" t="str">
        <f aca="false">_xlfn.CONCAT("S-",TEXT(D140,"00"))</f>
        <v>S-47</v>
      </c>
      <c r="F140" s="48"/>
      <c r="G140" s="48"/>
      <c r="H140" s="48"/>
      <c r="I140" s="48"/>
      <c r="J140" s="49"/>
      <c r="K140" s="48"/>
      <c r="L140" s="48"/>
      <c r="M140" s="48"/>
      <c r="N140" s="50"/>
      <c r="O140" s="48"/>
    </row>
    <row r="141" customFormat="false" ht="18" hidden="false" customHeight="true" outlineLevel="0" collapsed="false">
      <c r="A141" s="46" t="n">
        <v>46285</v>
      </c>
      <c r="B141" s="46" t="n">
        <f aca="false">A141</f>
        <v>46285</v>
      </c>
      <c r="C141" s="47" t="n">
        <v>324</v>
      </c>
      <c r="D141" s="47" t="n">
        <f aca="false">D134+1</f>
        <v>47</v>
      </c>
      <c r="E141" s="47" t="str">
        <f aca="false">_xlfn.CONCAT("S-",TEXT(D141,"00"))</f>
        <v>S-47</v>
      </c>
      <c r="F141" s="48"/>
      <c r="G141" s="48"/>
      <c r="H141" s="48"/>
      <c r="I141" s="48"/>
      <c r="J141" s="49"/>
      <c r="K141" s="48"/>
      <c r="L141" s="48"/>
      <c r="M141" s="48"/>
      <c r="N141" s="50"/>
      <c r="O141" s="48"/>
    </row>
    <row r="142" customFormat="false" ht="18" hidden="false" customHeight="true" outlineLevel="0" collapsed="false">
      <c r="A142" s="38" t="n">
        <v>46286</v>
      </c>
      <c r="B142" s="38" t="n">
        <f aca="false">A142</f>
        <v>46286</v>
      </c>
      <c r="C142" s="39" t="n">
        <v>325</v>
      </c>
      <c r="D142" s="39" t="n">
        <f aca="false">D135+1</f>
        <v>47</v>
      </c>
      <c r="E142" s="39" t="str">
        <f aca="false">_xlfn.CONCAT("S-",TEXT(D142,"00"))</f>
        <v>S-47</v>
      </c>
      <c r="F142" s="42"/>
      <c r="G142" s="42"/>
      <c r="H142" s="42"/>
      <c r="I142" s="42"/>
      <c r="J142" s="62"/>
      <c r="K142" s="42"/>
      <c r="L142" s="42"/>
      <c r="M142" s="42"/>
      <c r="N142" s="43"/>
      <c r="O142" s="42"/>
    </row>
    <row r="143" customFormat="false" ht="18" hidden="false" customHeight="true" outlineLevel="0" collapsed="false">
      <c r="A143" s="38" t="n">
        <v>46287</v>
      </c>
      <c r="B143" s="38" t="n">
        <f aca="false">A143</f>
        <v>46287</v>
      </c>
      <c r="C143" s="39" t="n">
        <v>326</v>
      </c>
      <c r="D143" s="39" t="n">
        <f aca="false">D136+1</f>
        <v>47</v>
      </c>
      <c r="E143" s="39" t="str">
        <f aca="false">_xlfn.CONCAT("S-",TEXT(D143,"00"))</f>
        <v>S-47</v>
      </c>
      <c r="F143" s="42"/>
      <c r="G143" s="42"/>
      <c r="H143" s="42"/>
      <c r="I143" s="42"/>
      <c r="J143" s="62"/>
      <c r="K143" s="42"/>
      <c r="L143" s="42"/>
      <c r="M143" s="42"/>
      <c r="N143" s="43"/>
      <c r="O143" s="42"/>
    </row>
    <row r="144" customFormat="false" ht="18" hidden="false" customHeight="true" outlineLevel="0" collapsed="false">
      <c r="A144" s="38" t="n">
        <v>46288</v>
      </c>
      <c r="B144" s="38" t="n">
        <f aca="false">A144</f>
        <v>46288</v>
      </c>
      <c r="C144" s="39" t="n">
        <v>327</v>
      </c>
      <c r="D144" s="39" t="n">
        <f aca="false">D137+1</f>
        <v>47</v>
      </c>
      <c r="E144" s="39" t="str">
        <f aca="false">_xlfn.CONCAT("S-",TEXT(D144,"00"))</f>
        <v>S-47</v>
      </c>
      <c r="F144" s="42"/>
      <c r="G144" s="42"/>
      <c r="H144" s="42"/>
      <c r="I144" s="42"/>
      <c r="J144" s="62"/>
      <c r="K144" s="42"/>
      <c r="L144" s="42"/>
      <c r="M144" s="42"/>
      <c r="N144" s="43"/>
      <c r="O144" s="42"/>
    </row>
    <row r="145" customFormat="false" ht="18" hidden="false" customHeight="true" outlineLevel="0" collapsed="false">
      <c r="A145" s="38" t="n">
        <v>46289</v>
      </c>
      <c r="B145" s="38" t="n">
        <f aca="false">A145</f>
        <v>46289</v>
      </c>
      <c r="C145" s="39" t="n">
        <v>328</v>
      </c>
      <c r="D145" s="39" t="n">
        <f aca="false">D138+1</f>
        <v>47</v>
      </c>
      <c r="E145" s="39" t="str">
        <f aca="false">_xlfn.CONCAT("S-",TEXT(D145,"00"))</f>
        <v>S-47</v>
      </c>
      <c r="F145" s="42"/>
      <c r="G145" s="42"/>
      <c r="H145" s="42"/>
      <c r="I145" s="42"/>
      <c r="J145" s="62"/>
      <c r="K145" s="42"/>
      <c r="L145" s="42"/>
      <c r="M145" s="42"/>
      <c r="N145" s="43"/>
      <c r="O145" s="42"/>
    </row>
    <row r="146" customFormat="false" ht="18" hidden="false" customHeight="true" outlineLevel="0" collapsed="false">
      <c r="A146" s="38" t="n">
        <v>46290</v>
      </c>
      <c r="B146" s="38" t="n">
        <f aca="false">A146</f>
        <v>46290</v>
      </c>
      <c r="C146" s="39" t="n">
        <v>329</v>
      </c>
      <c r="D146" s="39" t="n">
        <f aca="false">D139+1</f>
        <v>48</v>
      </c>
      <c r="E146" s="39" t="str">
        <f aca="false">_xlfn.CONCAT("S-",TEXT(D146,"00"))</f>
        <v>S-48</v>
      </c>
      <c r="F146" s="42"/>
      <c r="G146" s="42"/>
      <c r="H146" s="42"/>
      <c r="I146" s="42"/>
      <c r="J146" s="62"/>
      <c r="K146" s="42"/>
      <c r="L146" s="42"/>
      <c r="M146" s="42"/>
      <c r="N146" s="43"/>
      <c r="O146" s="42"/>
    </row>
    <row r="147" customFormat="false" ht="18" hidden="false" customHeight="true" outlineLevel="0" collapsed="false">
      <c r="A147" s="46" t="n">
        <v>46291</v>
      </c>
      <c r="B147" s="46" t="n">
        <f aca="false">A147</f>
        <v>46291</v>
      </c>
      <c r="C147" s="47" t="n">
        <v>330</v>
      </c>
      <c r="D147" s="47" t="n">
        <f aca="false">D140+1</f>
        <v>48</v>
      </c>
      <c r="E147" s="47" t="str">
        <f aca="false">_xlfn.CONCAT("S-",TEXT(D147,"00"))</f>
        <v>S-48</v>
      </c>
      <c r="F147" s="48"/>
      <c r="G147" s="48"/>
      <c r="H147" s="48"/>
      <c r="I147" s="48"/>
      <c r="J147" s="49"/>
      <c r="K147" s="48"/>
      <c r="L147" s="48"/>
      <c r="M147" s="48"/>
      <c r="N147" s="50"/>
      <c r="O147" s="48"/>
    </row>
    <row r="148" customFormat="false" ht="18" hidden="false" customHeight="true" outlineLevel="0" collapsed="false">
      <c r="A148" s="46" t="n">
        <v>46292</v>
      </c>
      <c r="B148" s="46" t="n">
        <f aca="false">A148</f>
        <v>46292</v>
      </c>
      <c r="C148" s="47" t="n">
        <v>331</v>
      </c>
      <c r="D148" s="47" t="n">
        <f aca="false">D141+1</f>
        <v>48</v>
      </c>
      <c r="E148" s="47" t="str">
        <f aca="false">_xlfn.CONCAT("S-",TEXT(D148,"00"))</f>
        <v>S-48</v>
      </c>
      <c r="F148" s="48"/>
      <c r="G148" s="48"/>
      <c r="H148" s="48"/>
      <c r="I148" s="48"/>
      <c r="J148" s="49"/>
      <c r="K148" s="48"/>
      <c r="L148" s="48"/>
      <c r="M148" s="48"/>
      <c r="N148" s="50"/>
      <c r="O148" s="48"/>
    </row>
    <row r="149" customFormat="false" ht="18" hidden="false" customHeight="true" outlineLevel="0" collapsed="false">
      <c r="A149" s="38" t="n">
        <v>46293</v>
      </c>
      <c r="B149" s="38" t="n">
        <f aca="false">A149</f>
        <v>46293</v>
      </c>
      <c r="C149" s="39" t="n">
        <v>332</v>
      </c>
      <c r="D149" s="39" t="n">
        <f aca="false">D142+1</f>
        <v>48</v>
      </c>
      <c r="E149" s="39" t="str">
        <f aca="false">_xlfn.CONCAT("S-",TEXT(D149,"00"))</f>
        <v>S-48</v>
      </c>
      <c r="F149" s="42"/>
      <c r="G149" s="42"/>
      <c r="H149" s="42"/>
      <c r="I149" s="42"/>
      <c r="J149" s="62"/>
      <c r="K149" s="42"/>
      <c r="L149" s="42"/>
      <c r="M149" s="42"/>
      <c r="N149" s="43"/>
      <c r="O149" s="42"/>
    </row>
    <row r="150" customFormat="false" ht="18" hidden="false" customHeight="true" outlineLevel="0" collapsed="false">
      <c r="A150" s="38" t="n">
        <v>46294</v>
      </c>
      <c r="B150" s="38" t="n">
        <f aca="false">A150</f>
        <v>46294</v>
      </c>
      <c r="C150" s="39" t="n">
        <v>333</v>
      </c>
      <c r="D150" s="39" t="n">
        <f aca="false">D143+1</f>
        <v>48</v>
      </c>
      <c r="E150" s="39" t="str">
        <f aca="false">_xlfn.CONCAT("S-",TEXT(D150,"00"))</f>
        <v>S-48</v>
      </c>
      <c r="F150" s="42"/>
      <c r="G150" s="42"/>
      <c r="H150" s="42"/>
      <c r="I150" s="42"/>
      <c r="J150" s="62"/>
      <c r="K150" s="42"/>
      <c r="L150" s="42"/>
      <c r="M150" s="42"/>
      <c r="N150" s="43"/>
      <c r="O150" s="42"/>
    </row>
    <row r="151" customFormat="false" ht="18" hidden="false" customHeight="true" outlineLevel="0" collapsed="false">
      <c r="A151" s="38" t="n">
        <v>46295</v>
      </c>
      <c r="B151" s="38" t="n">
        <f aca="false">A151</f>
        <v>46295</v>
      </c>
      <c r="C151" s="39" t="n">
        <v>334</v>
      </c>
      <c r="D151" s="39" t="n">
        <f aca="false">D144+1</f>
        <v>48</v>
      </c>
      <c r="E151" s="39" t="str">
        <f aca="false">_xlfn.CONCAT("S-",TEXT(D151,"00"))</f>
        <v>S-48</v>
      </c>
      <c r="F151" s="42"/>
      <c r="G151" s="42"/>
      <c r="H151" s="42"/>
      <c r="I151" s="42"/>
      <c r="J151" s="62"/>
      <c r="K151" s="42"/>
      <c r="L151" s="42"/>
      <c r="M151" s="42"/>
      <c r="N151" s="43"/>
      <c r="O151" s="42"/>
    </row>
    <row r="152" customFormat="false" ht="18" hidden="false" customHeight="true" outlineLevel="0" collapsed="false">
      <c r="A152" s="38" t="n">
        <v>46296</v>
      </c>
      <c r="B152" s="38" t="n">
        <f aca="false">A152</f>
        <v>46296</v>
      </c>
      <c r="C152" s="39" t="n">
        <v>335</v>
      </c>
      <c r="D152" s="39" t="n">
        <f aca="false">D145+1</f>
        <v>48</v>
      </c>
      <c r="E152" s="39" t="str">
        <f aca="false">_xlfn.CONCAT("S-",TEXT(D152,"00"))</f>
        <v>S-48</v>
      </c>
      <c r="F152" s="42"/>
      <c r="G152" s="42"/>
      <c r="H152" s="42"/>
      <c r="I152" s="42"/>
      <c r="J152" s="62"/>
      <c r="K152" s="42"/>
      <c r="L152" s="42"/>
      <c r="M152" s="42"/>
      <c r="N152" s="43"/>
      <c r="O152" s="42"/>
    </row>
    <row r="153" customFormat="false" ht="18" hidden="false" customHeight="true" outlineLevel="0" collapsed="false">
      <c r="A153" s="38" t="n">
        <v>46297</v>
      </c>
      <c r="B153" s="38" t="n">
        <f aca="false">A153</f>
        <v>46297</v>
      </c>
      <c r="C153" s="39" t="n">
        <v>336</v>
      </c>
      <c r="D153" s="39" t="n">
        <f aca="false">D146+1</f>
        <v>49</v>
      </c>
      <c r="E153" s="39" t="str">
        <f aca="false">_xlfn.CONCAT("S-",TEXT(D153,"00"))</f>
        <v>S-49</v>
      </c>
      <c r="F153" s="42"/>
      <c r="G153" s="42"/>
      <c r="H153" s="42"/>
      <c r="I153" s="42"/>
      <c r="J153" s="62"/>
      <c r="K153" s="42"/>
      <c r="L153" s="42"/>
      <c r="M153" s="42"/>
      <c r="N153" s="43"/>
      <c r="O153" s="42"/>
    </row>
    <row r="154" customFormat="false" ht="18" hidden="false" customHeight="true" outlineLevel="0" collapsed="false">
      <c r="A154" s="46" t="n">
        <v>46298</v>
      </c>
      <c r="B154" s="46" t="n">
        <f aca="false">A154</f>
        <v>46298</v>
      </c>
      <c r="C154" s="47" t="n">
        <v>337</v>
      </c>
      <c r="D154" s="47" t="n">
        <f aca="false">D147+1</f>
        <v>49</v>
      </c>
      <c r="E154" s="47" t="str">
        <f aca="false">_xlfn.CONCAT("S-",TEXT(D154,"00"))</f>
        <v>S-49</v>
      </c>
      <c r="F154" s="48"/>
      <c r="G154" s="48"/>
      <c r="H154" s="48"/>
      <c r="I154" s="48"/>
      <c r="J154" s="49"/>
      <c r="K154" s="48"/>
      <c r="L154" s="48"/>
      <c r="M154" s="48"/>
      <c r="N154" s="50"/>
      <c r="O154" s="48"/>
    </row>
    <row r="155" customFormat="false" ht="18" hidden="false" customHeight="true" outlineLevel="0" collapsed="false">
      <c r="A155" s="46" t="n">
        <v>46299</v>
      </c>
      <c r="B155" s="46" t="n">
        <f aca="false">A155</f>
        <v>46299</v>
      </c>
      <c r="C155" s="47" t="n">
        <v>338</v>
      </c>
      <c r="D155" s="47" t="n">
        <f aca="false">D148+1</f>
        <v>49</v>
      </c>
      <c r="E155" s="47" t="str">
        <f aca="false">_xlfn.CONCAT("S-",TEXT(D155,"00"))</f>
        <v>S-49</v>
      </c>
      <c r="F155" s="48"/>
      <c r="G155" s="48"/>
      <c r="H155" s="48"/>
      <c r="I155" s="48"/>
      <c r="J155" s="49"/>
      <c r="K155" s="48"/>
      <c r="L155" s="48"/>
      <c r="M155" s="48"/>
      <c r="N155" s="50"/>
      <c r="O155" s="48"/>
    </row>
    <row r="156" customFormat="false" ht="18" hidden="false" customHeight="true" outlineLevel="0" collapsed="false">
      <c r="A156" s="38" t="n">
        <v>46300</v>
      </c>
      <c r="B156" s="38" t="n">
        <f aca="false">A156</f>
        <v>46300</v>
      </c>
      <c r="C156" s="39" t="n">
        <v>339</v>
      </c>
      <c r="D156" s="39" t="n">
        <f aca="false">D149+1</f>
        <v>49</v>
      </c>
      <c r="E156" s="39" t="str">
        <f aca="false">_xlfn.CONCAT("S-",TEXT(D156,"00"))</f>
        <v>S-49</v>
      </c>
      <c r="F156" s="42"/>
      <c r="G156" s="42"/>
      <c r="H156" s="42"/>
      <c r="I156" s="42"/>
      <c r="J156" s="62"/>
      <c r="K156" s="42"/>
      <c r="L156" s="42"/>
      <c r="M156" s="42"/>
      <c r="N156" s="43"/>
      <c r="O156" s="42"/>
    </row>
    <row r="157" customFormat="false" ht="18" hidden="false" customHeight="true" outlineLevel="0" collapsed="false">
      <c r="A157" s="38" t="n">
        <v>46301</v>
      </c>
      <c r="B157" s="38" t="n">
        <f aca="false">A157</f>
        <v>46301</v>
      </c>
      <c r="C157" s="39" t="n">
        <v>340</v>
      </c>
      <c r="D157" s="39" t="n">
        <f aca="false">D150+1</f>
        <v>49</v>
      </c>
      <c r="E157" s="39" t="str">
        <f aca="false">_xlfn.CONCAT("S-",TEXT(D157,"00"))</f>
        <v>S-49</v>
      </c>
      <c r="F157" s="42"/>
      <c r="G157" s="42"/>
      <c r="H157" s="42"/>
      <c r="I157" s="42"/>
      <c r="J157" s="62"/>
      <c r="K157" s="42"/>
      <c r="L157" s="42"/>
      <c r="M157" s="42"/>
      <c r="N157" s="43"/>
      <c r="O157" s="42"/>
    </row>
    <row r="158" customFormat="false" ht="18" hidden="false" customHeight="true" outlineLevel="0" collapsed="false">
      <c r="A158" s="38" t="n">
        <v>46302</v>
      </c>
      <c r="B158" s="38" t="n">
        <f aca="false">A158</f>
        <v>46302</v>
      </c>
      <c r="C158" s="39" t="n">
        <v>341</v>
      </c>
      <c r="D158" s="39" t="n">
        <f aca="false">D151+1</f>
        <v>49</v>
      </c>
      <c r="E158" s="39" t="str">
        <f aca="false">_xlfn.CONCAT("S-",TEXT(D158,"00"))</f>
        <v>S-49</v>
      </c>
      <c r="F158" s="42"/>
      <c r="G158" s="42"/>
      <c r="H158" s="42"/>
      <c r="I158" s="42"/>
      <c r="J158" s="62"/>
      <c r="K158" s="42"/>
      <c r="L158" s="42"/>
      <c r="M158" s="42"/>
      <c r="N158" s="43"/>
      <c r="O158" s="42"/>
    </row>
    <row r="159" customFormat="false" ht="18" hidden="false" customHeight="true" outlineLevel="0" collapsed="false">
      <c r="A159" s="38" t="n">
        <v>46303</v>
      </c>
      <c r="B159" s="38" t="n">
        <f aca="false">A159</f>
        <v>46303</v>
      </c>
      <c r="C159" s="39" t="n">
        <v>342</v>
      </c>
      <c r="D159" s="39" t="n">
        <f aca="false">D152+1</f>
        <v>49</v>
      </c>
      <c r="E159" s="39" t="str">
        <f aca="false">_xlfn.CONCAT("S-",TEXT(D159,"00"))</f>
        <v>S-49</v>
      </c>
      <c r="F159" s="42"/>
      <c r="G159" s="42"/>
      <c r="H159" s="42"/>
      <c r="I159" s="42"/>
      <c r="J159" s="62"/>
      <c r="K159" s="42"/>
      <c r="L159" s="42"/>
      <c r="M159" s="42"/>
      <c r="N159" s="43"/>
      <c r="O159" s="42"/>
    </row>
    <row r="160" customFormat="false" ht="18" hidden="false" customHeight="true" outlineLevel="0" collapsed="false">
      <c r="A160" s="38" t="n">
        <v>46304</v>
      </c>
      <c r="B160" s="38" t="n">
        <f aca="false">A160</f>
        <v>46304</v>
      </c>
      <c r="C160" s="39" t="n">
        <v>343</v>
      </c>
      <c r="D160" s="39" t="n">
        <f aca="false">D153+1</f>
        <v>50</v>
      </c>
      <c r="E160" s="39" t="str">
        <f aca="false">_xlfn.CONCAT("S-",TEXT(D160,"00"))</f>
        <v>S-50</v>
      </c>
      <c r="F160" s="42"/>
      <c r="G160" s="42"/>
      <c r="H160" s="42"/>
      <c r="I160" s="42"/>
      <c r="J160" s="62"/>
      <c r="K160" s="42"/>
      <c r="L160" s="42"/>
      <c r="M160" s="42"/>
      <c r="N160" s="43"/>
      <c r="O160" s="42"/>
    </row>
    <row r="161" customFormat="false" ht="18" hidden="false" customHeight="true" outlineLevel="0" collapsed="false">
      <c r="A161" s="46" t="n">
        <v>46305</v>
      </c>
      <c r="B161" s="46" t="n">
        <f aca="false">A161</f>
        <v>46305</v>
      </c>
      <c r="C161" s="47" t="n">
        <v>344</v>
      </c>
      <c r="D161" s="47" t="n">
        <f aca="false">D154+1</f>
        <v>50</v>
      </c>
      <c r="E161" s="47" t="str">
        <f aca="false">_xlfn.CONCAT("S-",TEXT(D161,"00"))</f>
        <v>S-50</v>
      </c>
      <c r="F161" s="48"/>
      <c r="G161" s="48"/>
      <c r="H161" s="48"/>
      <c r="I161" s="48"/>
      <c r="J161" s="49"/>
      <c r="K161" s="48"/>
      <c r="L161" s="48"/>
      <c r="M161" s="48"/>
      <c r="N161" s="50"/>
      <c r="O161" s="48"/>
    </row>
    <row r="162" customFormat="false" ht="18" hidden="false" customHeight="true" outlineLevel="0" collapsed="false">
      <c r="A162" s="46" t="n">
        <v>46306</v>
      </c>
      <c r="B162" s="46" t="n">
        <f aca="false">A162</f>
        <v>46306</v>
      </c>
      <c r="C162" s="47" t="n">
        <v>345</v>
      </c>
      <c r="D162" s="47" t="n">
        <f aca="false">D155+1</f>
        <v>50</v>
      </c>
      <c r="E162" s="47" t="str">
        <f aca="false">_xlfn.CONCAT("S-",TEXT(D162,"00"))</f>
        <v>S-50</v>
      </c>
      <c r="F162" s="48"/>
      <c r="G162" s="48"/>
      <c r="H162" s="48"/>
      <c r="I162" s="48"/>
      <c r="J162" s="49"/>
      <c r="K162" s="48"/>
      <c r="L162" s="48"/>
      <c r="M162" s="48"/>
      <c r="N162" s="50"/>
      <c r="O162" s="48"/>
    </row>
    <row r="163" customFormat="false" ht="18" hidden="false" customHeight="true" outlineLevel="0" collapsed="false">
      <c r="A163" s="38" t="n">
        <v>46307</v>
      </c>
      <c r="B163" s="38" t="n">
        <f aca="false">A163</f>
        <v>46307</v>
      </c>
      <c r="C163" s="39" t="n">
        <v>346</v>
      </c>
      <c r="D163" s="39" t="n">
        <f aca="false">D156+1</f>
        <v>50</v>
      </c>
      <c r="E163" s="39" t="str">
        <f aca="false">_xlfn.CONCAT("S-",TEXT(D163,"00"))</f>
        <v>S-50</v>
      </c>
      <c r="F163" s="42"/>
      <c r="G163" s="42"/>
      <c r="H163" s="42"/>
      <c r="I163" s="42"/>
      <c r="J163" s="62"/>
      <c r="K163" s="42"/>
      <c r="L163" s="42"/>
      <c r="M163" s="42"/>
      <c r="N163" s="43"/>
      <c r="O163" s="42"/>
    </row>
    <row r="164" customFormat="false" ht="18" hidden="false" customHeight="true" outlineLevel="0" collapsed="false">
      <c r="A164" s="38" t="n">
        <v>46308</v>
      </c>
      <c r="B164" s="38" t="n">
        <f aca="false">A164</f>
        <v>46308</v>
      </c>
      <c r="C164" s="39" t="n">
        <v>347</v>
      </c>
      <c r="D164" s="39" t="n">
        <f aca="false">D157+1</f>
        <v>50</v>
      </c>
      <c r="E164" s="39" t="str">
        <f aca="false">_xlfn.CONCAT("S-",TEXT(D164,"00"))</f>
        <v>S-50</v>
      </c>
      <c r="F164" s="42"/>
      <c r="G164" s="42"/>
      <c r="H164" s="42"/>
      <c r="I164" s="42"/>
      <c r="J164" s="62"/>
      <c r="K164" s="42"/>
      <c r="L164" s="42"/>
      <c r="M164" s="42"/>
      <c r="N164" s="43"/>
      <c r="O164" s="42"/>
    </row>
    <row r="165" customFormat="false" ht="18" hidden="false" customHeight="true" outlineLevel="0" collapsed="false">
      <c r="A165" s="38" t="n">
        <v>46309</v>
      </c>
      <c r="B165" s="38" t="n">
        <f aca="false">A165</f>
        <v>46309</v>
      </c>
      <c r="C165" s="39" t="n">
        <v>348</v>
      </c>
      <c r="D165" s="39" t="n">
        <f aca="false">D158+1</f>
        <v>50</v>
      </c>
      <c r="E165" s="39" t="str">
        <f aca="false">_xlfn.CONCAT("S-",TEXT(D165,"00"))</f>
        <v>S-50</v>
      </c>
      <c r="F165" s="42"/>
      <c r="G165" s="42"/>
      <c r="H165" s="42"/>
      <c r="I165" s="42"/>
      <c r="J165" s="62"/>
      <c r="K165" s="42"/>
      <c r="L165" s="42"/>
      <c r="M165" s="42"/>
      <c r="N165" s="43"/>
      <c r="O165" s="42"/>
    </row>
    <row r="166" customFormat="false" ht="18" hidden="false" customHeight="true" outlineLevel="0" collapsed="false">
      <c r="A166" s="38" t="n">
        <v>46310</v>
      </c>
      <c r="B166" s="38" t="n">
        <f aca="false">A166</f>
        <v>46310</v>
      </c>
      <c r="C166" s="39" t="n">
        <v>349</v>
      </c>
      <c r="D166" s="39" t="n">
        <f aca="false">D159+1</f>
        <v>50</v>
      </c>
      <c r="E166" s="39" t="str">
        <f aca="false">_xlfn.CONCAT("S-",TEXT(D166,"00"))</f>
        <v>S-50</v>
      </c>
      <c r="F166" s="42"/>
      <c r="G166" s="42"/>
      <c r="H166" s="42"/>
      <c r="I166" s="42"/>
      <c r="J166" s="62"/>
      <c r="K166" s="42"/>
      <c r="L166" s="42"/>
      <c r="M166" s="42"/>
      <c r="N166" s="43"/>
      <c r="O166" s="42"/>
    </row>
    <row r="167" customFormat="false" ht="18" hidden="false" customHeight="true" outlineLevel="0" collapsed="false">
      <c r="A167" s="38" t="n">
        <v>46311</v>
      </c>
      <c r="B167" s="38" t="n">
        <f aca="false">A167</f>
        <v>46311</v>
      </c>
      <c r="C167" s="39" t="n">
        <v>350</v>
      </c>
      <c r="D167" s="39" t="n">
        <f aca="false">D160+1</f>
        <v>51</v>
      </c>
      <c r="E167" s="39" t="str">
        <f aca="false">_xlfn.CONCAT("S-",TEXT(D167,"00"))</f>
        <v>S-51</v>
      </c>
      <c r="F167" s="42"/>
      <c r="G167" s="42"/>
      <c r="H167" s="42"/>
      <c r="I167" s="42"/>
      <c r="J167" s="62"/>
      <c r="K167" s="42"/>
      <c r="L167" s="42"/>
      <c r="M167" s="42"/>
      <c r="N167" s="43"/>
      <c r="O167" s="42"/>
    </row>
    <row r="168" customFormat="false" ht="18" hidden="false" customHeight="true" outlineLevel="0" collapsed="false">
      <c r="A168" s="46" t="n">
        <v>46312</v>
      </c>
      <c r="B168" s="46" t="n">
        <f aca="false">A168</f>
        <v>46312</v>
      </c>
      <c r="C168" s="47" t="n">
        <v>351</v>
      </c>
      <c r="D168" s="47" t="n">
        <f aca="false">D161+1</f>
        <v>51</v>
      </c>
      <c r="E168" s="47" t="str">
        <f aca="false">_xlfn.CONCAT("S-",TEXT(D168,"00"))</f>
        <v>S-51</v>
      </c>
      <c r="F168" s="48"/>
      <c r="G168" s="48"/>
      <c r="H168" s="48"/>
      <c r="I168" s="48"/>
      <c r="J168" s="49"/>
      <c r="K168" s="48"/>
      <c r="L168" s="48"/>
      <c r="M168" s="48"/>
      <c r="N168" s="50"/>
      <c r="O168" s="48"/>
    </row>
    <row r="169" customFormat="false" ht="18" hidden="false" customHeight="true" outlineLevel="0" collapsed="false">
      <c r="A169" s="46" t="n">
        <v>46313</v>
      </c>
      <c r="B169" s="46" t="n">
        <f aca="false">A169</f>
        <v>46313</v>
      </c>
      <c r="C169" s="47" t="n">
        <v>352</v>
      </c>
      <c r="D169" s="47" t="n">
        <f aca="false">D162+1</f>
        <v>51</v>
      </c>
      <c r="E169" s="47" t="str">
        <f aca="false">_xlfn.CONCAT("S-",TEXT(D169,"00"))</f>
        <v>S-51</v>
      </c>
      <c r="F169" s="48"/>
      <c r="G169" s="48"/>
      <c r="H169" s="48"/>
      <c r="I169" s="48"/>
      <c r="J169" s="49"/>
      <c r="K169" s="48"/>
      <c r="L169" s="48"/>
      <c r="M169" s="48"/>
      <c r="N169" s="50"/>
      <c r="O169" s="48"/>
    </row>
    <row r="170" customFormat="false" ht="18" hidden="false" customHeight="true" outlineLevel="0" collapsed="false">
      <c r="A170" s="38" t="n">
        <v>46314</v>
      </c>
      <c r="B170" s="38" t="n">
        <f aca="false">A170</f>
        <v>46314</v>
      </c>
      <c r="C170" s="39" t="n">
        <v>353</v>
      </c>
      <c r="D170" s="39" t="n">
        <f aca="false">D163+1</f>
        <v>51</v>
      </c>
      <c r="E170" s="39" t="str">
        <f aca="false">_xlfn.CONCAT("S-",TEXT(D170,"00"))</f>
        <v>S-51</v>
      </c>
      <c r="F170" s="42"/>
      <c r="G170" s="42"/>
      <c r="H170" s="42"/>
      <c r="I170" s="42"/>
      <c r="J170" s="62"/>
      <c r="K170" s="42"/>
      <c r="L170" s="42"/>
      <c r="M170" s="42"/>
      <c r="N170" s="43"/>
      <c r="O170" s="42"/>
    </row>
    <row r="171" customFormat="false" ht="18" hidden="false" customHeight="true" outlineLevel="0" collapsed="false">
      <c r="A171" s="38" t="n">
        <v>46315</v>
      </c>
      <c r="B171" s="38" t="n">
        <f aca="false">A171</f>
        <v>46315</v>
      </c>
      <c r="C171" s="39" t="n">
        <v>354</v>
      </c>
      <c r="D171" s="39" t="n">
        <f aca="false">D164+1</f>
        <v>51</v>
      </c>
      <c r="E171" s="39" t="str">
        <f aca="false">_xlfn.CONCAT("S-",TEXT(D171,"00"))</f>
        <v>S-51</v>
      </c>
      <c r="F171" s="42"/>
      <c r="G171" s="42"/>
      <c r="H171" s="42"/>
      <c r="I171" s="42"/>
      <c r="J171" s="62"/>
      <c r="K171" s="42"/>
      <c r="L171" s="42"/>
      <c r="M171" s="42"/>
      <c r="N171" s="43"/>
      <c r="O171" s="42"/>
    </row>
    <row r="172" customFormat="false" ht="18" hidden="false" customHeight="true" outlineLevel="0" collapsed="false">
      <c r="A172" s="38" t="n">
        <v>46316</v>
      </c>
      <c r="B172" s="38" t="n">
        <f aca="false">A172</f>
        <v>46316</v>
      </c>
      <c r="C172" s="39" t="n">
        <v>355</v>
      </c>
      <c r="D172" s="39" t="n">
        <f aca="false">D165+1</f>
        <v>51</v>
      </c>
      <c r="E172" s="39" t="str">
        <f aca="false">_xlfn.CONCAT("S-",TEXT(D172,"00"))</f>
        <v>S-51</v>
      </c>
      <c r="F172" s="42"/>
      <c r="G172" s="42"/>
      <c r="H172" s="42"/>
      <c r="I172" s="42"/>
      <c r="J172" s="62"/>
      <c r="K172" s="42"/>
      <c r="L172" s="42"/>
      <c r="M172" s="42"/>
      <c r="N172" s="43"/>
      <c r="O172" s="42"/>
    </row>
    <row r="173" customFormat="false" ht="18" hidden="false" customHeight="true" outlineLevel="0" collapsed="false">
      <c r="A173" s="38" t="n">
        <v>46317</v>
      </c>
      <c r="B173" s="38" t="n">
        <f aca="false">A173</f>
        <v>46317</v>
      </c>
      <c r="C173" s="39" t="n">
        <v>356</v>
      </c>
      <c r="D173" s="39" t="n">
        <f aca="false">D166+1</f>
        <v>51</v>
      </c>
      <c r="E173" s="39" t="str">
        <f aca="false">_xlfn.CONCAT("S-",TEXT(D173,"00"))</f>
        <v>S-51</v>
      </c>
      <c r="F173" s="42"/>
      <c r="G173" s="42"/>
      <c r="H173" s="42"/>
      <c r="I173" s="42"/>
      <c r="J173" s="62"/>
      <c r="K173" s="42"/>
      <c r="L173" s="42"/>
      <c r="M173" s="42"/>
      <c r="N173" s="43"/>
      <c r="O173" s="42"/>
    </row>
    <row r="174" customFormat="false" ht="18" hidden="false" customHeight="true" outlineLevel="0" collapsed="false">
      <c r="A174" s="38" t="n">
        <v>46318</v>
      </c>
      <c r="B174" s="38" t="n">
        <f aca="false">A174</f>
        <v>46318</v>
      </c>
      <c r="C174" s="39" t="n">
        <v>357</v>
      </c>
      <c r="D174" s="39" t="n">
        <f aca="false">D167+1</f>
        <v>52</v>
      </c>
      <c r="E174" s="39" t="str">
        <f aca="false">_xlfn.CONCAT("S-",TEXT(D174,"00"))</f>
        <v>S-52</v>
      </c>
      <c r="F174" s="42"/>
      <c r="G174" s="42"/>
      <c r="H174" s="42"/>
      <c r="I174" s="42"/>
      <c r="J174" s="62"/>
      <c r="K174" s="42"/>
      <c r="L174" s="42"/>
      <c r="M174" s="42"/>
      <c r="N174" s="43"/>
      <c r="O174" s="42"/>
    </row>
    <row r="175" customFormat="false" ht="18" hidden="false" customHeight="true" outlineLevel="0" collapsed="false">
      <c r="A175" s="46" t="n">
        <v>46319</v>
      </c>
      <c r="B175" s="46" t="n">
        <f aca="false">A175</f>
        <v>46319</v>
      </c>
      <c r="C175" s="47" t="n">
        <v>358</v>
      </c>
      <c r="D175" s="47" t="n">
        <f aca="false">D168+1</f>
        <v>52</v>
      </c>
      <c r="E175" s="47" t="str">
        <f aca="false">_xlfn.CONCAT("S-",TEXT(D175,"00"))</f>
        <v>S-52</v>
      </c>
      <c r="F175" s="48"/>
      <c r="G175" s="48"/>
      <c r="H175" s="48"/>
      <c r="I175" s="48"/>
      <c r="J175" s="49"/>
      <c r="K175" s="48"/>
      <c r="L175" s="48"/>
      <c r="M175" s="48"/>
      <c r="N175" s="50"/>
      <c r="O175" s="48"/>
    </row>
    <row r="176" customFormat="false" ht="18" hidden="false" customHeight="true" outlineLevel="0" collapsed="false">
      <c r="A176" s="46" t="n">
        <v>46320</v>
      </c>
      <c r="B176" s="46" t="n">
        <f aca="false">A176</f>
        <v>46320</v>
      </c>
      <c r="C176" s="47" t="n">
        <v>359</v>
      </c>
      <c r="D176" s="47" t="n">
        <f aca="false">D169+1</f>
        <v>52</v>
      </c>
      <c r="E176" s="47" t="str">
        <f aca="false">_xlfn.CONCAT("S-",TEXT(D176,"00"))</f>
        <v>S-52</v>
      </c>
      <c r="F176" s="48"/>
      <c r="G176" s="48"/>
      <c r="H176" s="48"/>
      <c r="I176" s="48"/>
      <c r="J176" s="49"/>
      <c r="K176" s="48"/>
      <c r="L176" s="48"/>
      <c r="M176" s="48"/>
      <c r="N176" s="50"/>
      <c r="O176" s="48"/>
    </row>
    <row r="177" customFormat="false" ht="18" hidden="false" customHeight="true" outlineLevel="0" collapsed="false">
      <c r="A177" s="38" t="n">
        <v>46321</v>
      </c>
      <c r="B177" s="38" t="n">
        <f aca="false">A177</f>
        <v>46321</v>
      </c>
      <c r="C177" s="39" t="n">
        <v>360</v>
      </c>
      <c r="D177" s="39" t="n">
        <f aca="false">D170+1</f>
        <v>52</v>
      </c>
      <c r="E177" s="39" t="str">
        <f aca="false">_xlfn.CONCAT("S-",TEXT(D177,"00"))</f>
        <v>S-52</v>
      </c>
      <c r="F177" s="42"/>
      <c r="G177" s="42"/>
      <c r="H177" s="42"/>
      <c r="I177" s="42"/>
      <c r="J177" s="62"/>
      <c r="K177" s="42"/>
      <c r="L177" s="42"/>
      <c r="M177" s="42"/>
      <c r="N177" s="43"/>
      <c r="O177" s="42"/>
    </row>
    <row r="178" customFormat="false" ht="18" hidden="false" customHeight="true" outlineLevel="0" collapsed="false">
      <c r="A178" s="38" t="n">
        <v>46322</v>
      </c>
      <c r="B178" s="38" t="n">
        <f aca="false">A178</f>
        <v>46322</v>
      </c>
      <c r="C178" s="39" t="n">
        <v>361</v>
      </c>
      <c r="D178" s="39" t="n">
        <f aca="false">D171+1</f>
        <v>52</v>
      </c>
      <c r="E178" s="39" t="str">
        <f aca="false">_xlfn.CONCAT("S-",TEXT(D178,"00"))</f>
        <v>S-52</v>
      </c>
      <c r="F178" s="42"/>
      <c r="G178" s="42"/>
      <c r="H178" s="42"/>
      <c r="I178" s="42"/>
      <c r="J178" s="62"/>
      <c r="K178" s="42"/>
      <c r="L178" s="42"/>
      <c r="M178" s="42"/>
      <c r="N178" s="43"/>
      <c r="O178" s="42"/>
    </row>
    <row r="179" customFormat="false" ht="18" hidden="false" customHeight="true" outlineLevel="0" collapsed="false">
      <c r="A179" s="38" t="n">
        <v>46323</v>
      </c>
      <c r="B179" s="38" t="n">
        <f aca="false">A179</f>
        <v>46323</v>
      </c>
      <c r="C179" s="39" t="n">
        <v>362</v>
      </c>
      <c r="D179" s="39" t="n">
        <f aca="false">D172+1</f>
        <v>52</v>
      </c>
      <c r="E179" s="39" t="str">
        <f aca="false">_xlfn.CONCAT("S-",TEXT(D179,"00"))</f>
        <v>S-52</v>
      </c>
      <c r="F179" s="42"/>
      <c r="G179" s="42"/>
      <c r="H179" s="42"/>
      <c r="I179" s="42"/>
      <c r="J179" s="62"/>
      <c r="K179" s="42"/>
      <c r="L179" s="42"/>
      <c r="M179" s="42"/>
      <c r="N179" s="43"/>
      <c r="O179" s="42"/>
    </row>
    <row r="180" customFormat="false" ht="18" hidden="false" customHeight="true" outlineLevel="0" collapsed="false">
      <c r="A180" s="38" t="n">
        <v>46324</v>
      </c>
      <c r="B180" s="38" t="n">
        <f aca="false">A180</f>
        <v>46324</v>
      </c>
      <c r="C180" s="39" t="n">
        <v>363</v>
      </c>
      <c r="D180" s="39" t="n">
        <f aca="false">D173+1</f>
        <v>52</v>
      </c>
      <c r="E180" s="39" t="str">
        <f aca="false">_xlfn.CONCAT("S-",TEXT(D180,"00"))</f>
        <v>S-52</v>
      </c>
      <c r="F180" s="42"/>
      <c r="G180" s="42"/>
      <c r="H180" s="42"/>
      <c r="I180" s="42"/>
      <c r="J180" s="62"/>
      <c r="K180" s="42"/>
      <c r="L180" s="42"/>
      <c r="M180" s="42"/>
      <c r="N180" s="43"/>
      <c r="O180" s="42"/>
    </row>
    <row r="181" customFormat="false" ht="18" hidden="false" customHeight="true" outlineLevel="0" collapsed="false">
      <c r="A181" s="38" t="n">
        <v>46325</v>
      </c>
      <c r="B181" s="38" t="n">
        <f aca="false">A181</f>
        <v>46325</v>
      </c>
      <c r="C181" s="39" t="n">
        <v>364</v>
      </c>
      <c r="D181" s="39" t="n">
        <f aca="false">D174+1</f>
        <v>53</v>
      </c>
      <c r="E181" s="39" t="str">
        <f aca="false">_xlfn.CONCAT("S-",TEXT(D181,"00"))</f>
        <v>S-53</v>
      </c>
      <c r="F181" s="42"/>
      <c r="G181" s="42"/>
      <c r="H181" s="42"/>
      <c r="I181" s="42"/>
      <c r="J181" s="62"/>
      <c r="K181" s="42"/>
      <c r="L181" s="42"/>
      <c r="M181" s="42"/>
      <c r="N181" s="43"/>
      <c r="O181" s="42"/>
    </row>
    <row r="182" customFormat="false" ht="18" hidden="false" customHeight="true" outlineLevel="0" collapsed="false">
      <c r="A182" s="46" t="n">
        <v>46326</v>
      </c>
      <c r="B182" s="46" t="n">
        <f aca="false">A182</f>
        <v>46326</v>
      </c>
      <c r="C182" s="47" t="n">
        <v>365</v>
      </c>
      <c r="D182" s="47" t="n">
        <f aca="false">D175+1</f>
        <v>53</v>
      </c>
      <c r="E182" s="47" t="str">
        <f aca="false">_xlfn.CONCAT("S-",TEXT(D182,"00"))</f>
        <v>S-53</v>
      </c>
      <c r="F182" s="48"/>
      <c r="G182" s="48"/>
      <c r="H182" s="48"/>
      <c r="I182" s="48"/>
      <c r="J182" s="49"/>
      <c r="K182" s="48"/>
      <c r="L182" s="48"/>
      <c r="M182" s="48"/>
      <c r="N182" s="50"/>
      <c r="O182" s="48"/>
    </row>
    <row r="183" customFormat="false" ht="18" hidden="false" customHeight="true" outlineLevel="0" collapsed="false">
      <c r="A183" s="46" t="n">
        <v>46327</v>
      </c>
      <c r="B183" s="46" t="n">
        <f aca="false">A183</f>
        <v>46327</v>
      </c>
      <c r="C183" s="47" t="n">
        <v>366</v>
      </c>
      <c r="D183" s="47" t="n">
        <f aca="false">D176+1</f>
        <v>53</v>
      </c>
      <c r="E183" s="47" t="str">
        <f aca="false">_xlfn.CONCAT("S-",TEXT(D183,"00"))</f>
        <v>S-53</v>
      </c>
      <c r="F183" s="48"/>
      <c r="G183" s="48"/>
      <c r="H183" s="48"/>
      <c r="I183" s="48"/>
      <c r="J183" s="49"/>
      <c r="K183" s="48"/>
      <c r="L183" s="48"/>
      <c r="M183" s="48"/>
      <c r="N183" s="50"/>
      <c r="O183" s="48"/>
    </row>
    <row r="184" customFormat="false" ht="18" hidden="false" customHeight="true" outlineLevel="0" collapsed="false">
      <c r="A184" s="38" t="n">
        <v>46328</v>
      </c>
      <c r="B184" s="38" t="n">
        <f aca="false">A184</f>
        <v>46328</v>
      </c>
      <c r="C184" s="39" t="n">
        <v>367</v>
      </c>
      <c r="D184" s="39" t="n">
        <f aca="false">D177+1</f>
        <v>53</v>
      </c>
      <c r="E184" s="39" t="str">
        <f aca="false">_xlfn.CONCAT("S-",TEXT(D184,"00"))</f>
        <v>S-53</v>
      </c>
      <c r="F184" s="42"/>
      <c r="G184" s="42"/>
      <c r="H184" s="42"/>
      <c r="I184" s="42"/>
      <c r="J184" s="62"/>
      <c r="K184" s="42"/>
      <c r="L184" s="42"/>
      <c r="M184" s="42"/>
      <c r="N184" s="43"/>
      <c r="O184" s="42"/>
    </row>
    <row r="185" customFormat="false" ht="18" hidden="false" customHeight="true" outlineLevel="0" collapsed="false">
      <c r="A185" s="38" t="n">
        <v>46329</v>
      </c>
      <c r="B185" s="38" t="n">
        <f aca="false">A185</f>
        <v>46329</v>
      </c>
      <c r="C185" s="39" t="n">
        <v>368</v>
      </c>
      <c r="D185" s="39" t="n">
        <f aca="false">D178+1</f>
        <v>53</v>
      </c>
      <c r="E185" s="39" t="str">
        <f aca="false">_xlfn.CONCAT("S-",TEXT(D185,"00"))</f>
        <v>S-53</v>
      </c>
      <c r="F185" s="42"/>
      <c r="G185" s="42"/>
      <c r="H185" s="42"/>
      <c r="I185" s="42"/>
      <c r="J185" s="62"/>
      <c r="K185" s="42"/>
      <c r="L185" s="42"/>
      <c r="M185" s="42"/>
      <c r="N185" s="43"/>
      <c r="O185" s="42"/>
    </row>
    <row r="186" customFormat="false" ht="18" hidden="false" customHeight="true" outlineLevel="0" collapsed="false">
      <c r="A186" s="38" t="n">
        <v>46330</v>
      </c>
      <c r="B186" s="38" t="n">
        <f aca="false">A186</f>
        <v>46330</v>
      </c>
      <c r="C186" s="39" t="n">
        <v>369</v>
      </c>
      <c r="D186" s="39" t="n">
        <f aca="false">D179+1</f>
        <v>53</v>
      </c>
      <c r="E186" s="39" t="str">
        <f aca="false">_xlfn.CONCAT("S-",TEXT(D186,"00"))</f>
        <v>S-53</v>
      </c>
      <c r="F186" s="42"/>
      <c r="G186" s="42"/>
      <c r="H186" s="42"/>
      <c r="I186" s="42"/>
      <c r="J186" s="62"/>
      <c r="K186" s="42"/>
      <c r="L186" s="42"/>
      <c r="M186" s="42"/>
      <c r="N186" s="43"/>
      <c r="O186" s="42"/>
    </row>
    <row r="187" customFormat="false" ht="18" hidden="false" customHeight="true" outlineLevel="0" collapsed="false">
      <c r="A187" s="38" t="n">
        <v>46331</v>
      </c>
      <c r="B187" s="38" t="n">
        <f aca="false">A187</f>
        <v>46331</v>
      </c>
      <c r="C187" s="39" t="n">
        <v>370</v>
      </c>
      <c r="D187" s="39" t="n">
        <f aca="false">D180+1</f>
        <v>53</v>
      </c>
      <c r="E187" s="39" t="str">
        <f aca="false">_xlfn.CONCAT("S-",TEXT(D187,"00"))</f>
        <v>S-53</v>
      </c>
      <c r="F187" s="42"/>
      <c r="G187" s="42"/>
      <c r="H187" s="42"/>
      <c r="I187" s="42"/>
      <c r="J187" s="62"/>
      <c r="K187" s="42"/>
      <c r="L187" s="42"/>
      <c r="M187" s="42"/>
      <c r="N187" s="43"/>
      <c r="O187" s="42"/>
    </row>
    <row r="188" customFormat="false" ht="18" hidden="false" customHeight="true" outlineLevel="0" collapsed="false">
      <c r="A188" s="38" t="n">
        <v>46332</v>
      </c>
      <c r="B188" s="38" t="n">
        <f aca="false">A188</f>
        <v>46332</v>
      </c>
      <c r="C188" s="39" t="n">
        <v>371</v>
      </c>
      <c r="D188" s="39" t="n">
        <f aca="false">D181+1</f>
        <v>54</v>
      </c>
      <c r="E188" s="39" t="str">
        <f aca="false">_xlfn.CONCAT("S-",TEXT(D188,"00"))</f>
        <v>S-54</v>
      </c>
      <c r="F188" s="42"/>
      <c r="G188" s="42"/>
      <c r="H188" s="42"/>
      <c r="I188" s="42"/>
      <c r="J188" s="62"/>
      <c r="K188" s="42"/>
      <c r="L188" s="42"/>
      <c r="M188" s="42"/>
      <c r="N188" s="43"/>
      <c r="O188" s="42"/>
    </row>
    <row r="189" customFormat="false" ht="18" hidden="false" customHeight="true" outlineLevel="0" collapsed="false">
      <c r="A189" s="46" t="n">
        <v>46333</v>
      </c>
      <c r="B189" s="46" t="n">
        <f aca="false">A189</f>
        <v>46333</v>
      </c>
      <c r="C189" s="47" t="n">
        <v>372</v>
      </c>
      <c r="D189" s="47" t="n">
        <f aca="false">D182+1</f>
        <v>54</v>
      </c>
      <c r="E189" s="47" t="str">
        <f aca="false">_xlfn.CONCAT("S-",TEXT(D189,"00"))</f>
        <v>S-54</v>
      </c>
      <c r="F189" s="48"/>
      <c r="G189" s="48"/>
      <c r="H189" s="48"/>
      <c r="I189" s="48"/>
      <c r="J189" s="49"/>
      <c r="K189" s="48"/>
      <c r="L189" s="48"/>
      <c r="M189" s="48"/>
      <c r="N189" s="50"/>
      <c r="O189" s="48"/>
    </row>
    <row r="190" customFormat="false" ht="18" hidden="false" customHeight="true" outlineLevel="0" collapsed="false">
      <c r="A190" s="46" t="n">
        <v>46334</v>
      </c>
      <c r="B190" s="46" t="n">
        <f aca="false">A190</f>
        <v>46334</v>
      </c>
      <c r="C190" s="47" t="n">
        <v>373</v>
      </c>
      <c r="D190" s="47" t="n">
        <f aca="false">D183+1</f>
        <v>54</v>
      </c>
      <c r="E190" s="47" t="str">
        <f aca="false">_xlfn.CONCAT("S-",TEXT(D190,"00"))</f>
        <v>S-54</v>
      </c>
      <c r="F190" s="48"/>
      <c r="G190" s="48"/>
      <c r="H190" s="48"/>
      <c r="I190" s="48"/>
      <c r="J190" s="49"/>
      <c r="K190" s="48"/>
      <c r="L190" s="48"/>
      <c r="M190" s="48"/>
      <c r="N190" s="50"/>
      <c r="O190" s="48"/>
    </row>
    <row r="191" customFormat="false" ht="18" hidden="false" customHeight="true" outlineLevel="0" collapsed="false">
      <c r="A191" s="38" t="n">
        <v>46335</v>
      </c>
      <c r="B191" s="38" t="n">
        <f aca="false">A191</f>
        <v>46335</v>
      </c>
      <c r="C191" s="39" t="n">
        <v>374</v>
      </c>
      <c r="D191" s="39" t="n">
        <f aca="false">D184+1</f>
        <v>54</v>
      </c>
      <c r="E191" s="39" t="str">
        <f aca="false">_xlfn.CONCAT("S-",TEXT(D191,"00"))</f>
        <v>S-54</v>
      </c>
      <c r="F191" s="42"/>
      <c r="G191" s="42"/>
      <c r="H191" s="42"/>
      <c r="I191" s="42"/>
      <c r="J191" s="62"/>
      <c r="K191" s="42"/>
      <c r="L191" s="42"/>
      <c r="M191" s="42"/>
      <c r="N191" s="43"/>
      <c r="O191" s="42"/>
    </row>
    <row r="192" customFormat="false" ht="18" hidden="false" customHeight="true" outlineLevel="0" collapsed="false">
      <c r="A192" s="38" t="n">
        <v>46336</v>
      </c>
      <c r="B192" s="38" t="n">
        <f aca="false">A192</f>
        <v>46336</v>
      </c>
      <c r="C192" s="39" t="n">
        <v>375</v>
      </c>
      <c r="D192" s="39" t="n">
        <f aca="false">D185+1</f>
        <v>54</v>
      </c>
      <c r="E192" s="39" t="str">
        <f aca="false">_xlfn.CONCAT("S-",TEXT(D192,"00"))</f>
        <v>S-54</v>
      </c>
      <c r="F192" s="42"/>
      <c r="G192" s="42"/>
      <c r="H192" s="42"/>
      <c r="I192" s="42"/>
      <c r="J192" s="62"/>
      <c r="K192" s="42"/>
      <c r="L192" s="42"/>
      <c r="M192" s="42"/>
      <c r="N192" s="43"/>
      <c r="O192" s="42"/>
    </row>
    <row r="193" customFormat="false" ht="18" hidden="false" customHeight="true" outlineLevel="0" collapsed="false">
      <c r="A193" s="38" t="n">
        <v>46337</v>
      </c>
      <c r="B193" s="38" t="n">
        <f aca="false">A193</f>
        <v>46337</v>
      </c>
      <c r="C193" s="39" t="n">
        <v>376</v>
      </c>
      <c r="D193" s="39" t="n">
        <f aca="false">D186+1</f>
        <v>54</v>
      </c>
      <c r="E193" s="39" t="str">
        <f aca="false">_xlfn.CONCAT("S-",TEXT(D193,"00"))</f>
        <v>S-54</v>
      </c>
      <c r="F193" s="42"/>
      <c r="G193" s="42"/>
      <c r="H193" s="42"/>
      <c r="I193" s="42"/>
      <c r="J193" s="62"/>
      <c r="K193" s="42"/>
      <c r="L193" s="42"/>
      <c r="M193" s="42"/>
      <c r="N193" s="43"/>
      <c r="O193" s="42"/>
    </row>
    <row r="194" customFormat="false" ht="18" hidden="false" customHeight="true" outlineLevel="0" collapsed="false">
      <c r="A194" s="38" t="n">
        <v>46338</v>
      </c>
      <c r="B194" s="38" t="n">
        <f aca="false">A194</f>
        <v>46338</v>
      </c>
      <c r="C194" s="39" t="n">
        <v>377</v>
      </c>
      <c r="D194" s="39" t="n">
        <f aca="false">D187+1</f>
        <v>54</v>
      </c>
      <c r="E194" s="39" t="str">
        <f aca="false">_xlfn.CONCAT("S-",TEXT(D194,"00"))</f>
        <v>S-54</v>
      </c>
      <c r="F194" s="42"/>
      <c r="G194" s="42"/>
      <c r="H194" s="42"/>
      <c r="I194" s="42"/>
      <c r="J194" s="62"/>
      <c r="K194" s="42"/>
      <c r="L194" s="42"/>
      <c r="M194" s="42"/>
      <c r="N194" s="43"/>
      <c r="O194" s="42"/>
    </row>
    <row r="195" customFormat="false" ht="18" hidden="false" customHeight="true" outlineLevel="0" collapsed="false">
      <c r="A195" s="38" t="n">
        <v>46339</v>
      </c>
      <c r="B195" s="38" t="n">
        <f aca="false">A195</f>
        <v>46339</v>
      </c>
      <c r="C195" s="39" t="n">
        <v>378</v>
      </c>
      <c r="D195" s="39" t="n">
        <f aca="false">D188+1</f>
        <v>55</v>
      </c>
      <c r="E195" s="39" t="str">
        <f aca="false">_xlfn.CONCAT("S-",TEXT(D195,"00"))</f>
        <v>S-55</v>
      </c>
      <c r="F195" s="42"/>
      <c r="G195" s="42"/>
      <c r="H195" s="42"/>
      <c r="I195" s="42"/>
      <c r="J195" s="62"/>
      <c r="K195" s="42"/>
      <c r="L195" s="42"/>
      <c r="M195" s="42"/>
      <c r="N195" s="43"/>
      <c r="O195" s="42"/>
    </row>
    <row r="196" customFormat="false" ht="18" hidden="false" customHeight="true" outlineLevel="0" collapsed="false">
      <c r="A196" s="46" t="n">
        <v>46340</v>
      </c>
      <c r="B196" s="46" t="n">
        <f aca="false">A196</f>
        <v>46340</v>
      </c>
      <c r="C196" s="47" t="n">
        <v>379</v>
      </c>
      <c r="D196" s="47" t="n">
        <f aca="false">D189+1</f>
        <v>55</v>
      </c>
      <c r="E196" s="47" t="str">
        <f aca="false">_xlfn.CONCAT("S-",TEXT(D196,"00"))</f>
        <v>S-55</v>
      </c>
      <c r="F196" s="48"/>
      <c r="G196" s="48"/>
      <c r="H196" s="48"/>
      <c r="I196" s="48"/>
      <c r="J196" s="49"/>
      <c r="K196" s="48"/>
      <c r="L196" s="48"/>
      <c r="M196" s="48"/>
      <c r="N196" s="50"/>
      <c r="O196" s="48"/>
    </row>
    <row r="197" customFormat="false" ht="18" hidden="false" customHeight="true" outlineLevel="0" collapsed="false">
      <c r="A197" s="46" t="n">
        <v>46341</v>
      </c>
      <c r="B197" s="46" t="n">
        <f aca="false">A197</f>
        <v>46341</v>
      </c>
      <c r="C197" s="47" t="n">
        <v>380</v>
      </c>
      <c r="D197" s="47" t="n">
        <f aca="false">D190+1</f>
        <v>55</v>
      </c>
      <c r="E197" s="47" t="str">
        <f aca="false">_xlfn.CONCAT("S-",TEXT(D197,"00"))</f>
        <v>S-55</v>
      </c>
      <c r="F197" s="48"/>
      <c r="G197" s="48"/>
      <c r="H197" s="48"/>
      <c r="I197" s="48"/>
      <c r="J197" s="49"/>
      <c r="K197" s="48"/>
      <c r="L197" s="48"/>
      <c r="M197" s="48"/>
      <c r="N197" s="50"/>
      <c r="O197" s="48"/>
    </row>
    <row r="198" customFormat="false" ht="18" hidden="false" customHeight="true" outlineLevel="0" collapsed="false">
      <c r="A198" s="38" t="n">
        <v>46342</v>
      </c>
      <c r="B198" s="38" t="n">
        <f aca="false">A198</f>
        <v>46342</v>
      </c>
      <c r="C198" s="39" t="n">
        <v>381</v>
      </c>
      <c r="D198" s="39" t="n">
        <f aca="false">D191+1</f>
        <v>55</v>
      </c>
      <c r="E198" s="39" t="str">
        <f aca="false">_xlfn.CONCAT("S-",TEXT(D198,"00"))</f>
        <v>S-55</v>
      </c>
      <c r="F198" s="42"/>
      <c r="G198" s="42"/>
      <c r="H198" s="42"/>
      <c r="I198" s="42"/>
      <c r="J198" s="62"/>
      <c r="K198" s="42"/>
      <c r="L198" s="42"/>
      <c r="M198" s="42"/>
      <c r="N198" s="43"/>
      <c r="O198" s="42"/>
    </row>
    <row r="199" customFormat="false" ht="18" hidden="false" customHeight="true" outlineLevel="0" collapsed="false">
      <c r="A199" s="38" t="n">
        <v>46343</v>
      </c>
      <c r="B199" s="38" t="n">
        <f aca="false">A199</f>
        <v>46343</v>
      </c>
      <c r="C199" s="39" t="n">
        <v>382</v>
      </c>
      <c r="D199" s="39" t="n">
        <f aca="false">D192+1</f>
        <v>55</v>
      </c>
      <c r="E199" s="39" t="str">
        <f aca="false">_xlfn.CONCAT("S-",TEXT(D199,"00"))</f>
        <v>S-55</v>
      </c>
      <c r="F199" s="42"/>
      <c r="G199" s="42"/>
      <c r="H199" s="42"/>
      <c r="I199" s="42"/>
      <c r="J199" s="62"/>
      <c r="K199" s="42"/>
      <c r="L199" s="42"/>
      <c r="M199" s="42"/>
      <c r="N199" s="43"/>
      <c r="O199" s="42"/>
    </row>
    <row r="200" customFormat="false" ht="18" hidden="false" customHeight="true" outlineLevel="0" collapsed="false">
      <c r="A200" s="38" t="n">
        <v>46344</v>
      </c>
      <c r="B200" s="38" t="n">
        <f aca="false">A200</f>
        <v>46344</v>
      </c>
      <c r="C200" s="39" t="n">
        <v>383</v>
      </c>
      <c r="D200" s="39" t="n">
        <f aca="false">D193+1</f>
        <v>55</v>
      </c>
      <c r="E200" s="39" t="str">
        <f aca="false">_xlfn.CONCAT("S-",TEXT(D200,"00"))</f>
        <v>S-55</v>
      </c>
      <c r="F200" s="42"/>
      <c r="G200" s="42"/>
      <c r="H200" s="42"/>
      <c r="I200" s="42"/>
      <c r="J200" s="62"/>
      <c r="K200" s="42"/>
      <c r="L200" s="42"/>
      <c r="M200" s="42"/>
      <c r="N200" s="43"/>
      <c r="O200" s="42"/>
    </row>
    <row r="201" customFormat="false" ht="18" hidden="false" customHeight="true" outlineLevel="0" collapsed="false">
      <c r="A201" s="38" t="n">
        <v>46345</v>
      </c>
      <c r="B201" s="38" t="n">
        <f aca="false">A201</f>
        <v>46345</v>
      </c>
      <c r="C201" s="39" t="n">
        <v>384</v>
      </c>
      <c r="D201" s="39" t="n">
        <f aca="false">D194+1</f>
        <v>55</v>
      </c>
      <c r="E201" s="39" t="str">
        <f aca="false">_xlfn.CONCAT("S-",TEXT(D201,"00"))</f>
        <v>S-55</v>
      </c>
      <c r="F201" s="42"/>
      <c r="G201" s="42"/>
      <c r="H201" s="42"/>
      <c r="I201" s="42"/>
      <c r="J201" s="62"/>
      <c r="K201" s="42"/>
      <c r="L201" s="42"/>
      <c r="M201" s="42"/>
      <c r="N201" s="43"/>
      <c r="O201" s="42"/>
    </row>
    <row r="202" customFormat="false" ht="18" hidden="false" customHeight="true" outlineLevel="0" collapsed="false">
      <c r="A202" s="38" t="n">
        <v>46346</v>
      </c>
      <c r="B202" s="38" t="n">
        <f aca="false">A202</f>
        <v>46346</v>
      </c>
      <c r="C202" s="39" t="n">
        <v>385</v>
      </c>
      <c r="D202" s="39" t="n">
        <f aca="false">D195+1</f>
        <v>56</v>
      </c>
      <c r="E202" s="39" t="str">
        <f aca="false">_xlfn.CONCAT("S-",TEXT(D202,"00"))</f>
        <v>S-56</v>
      </c>
      <c r="F202" s="42"/>
      <c r="G202" s="42"/>
      <c r="H202" s="42"/>
      <c r="I202" s="42"/>
      <c r="J202" s="62"/>
      <c r="K202" s="42"/>
      <c r="L202" s="42"/>
      <c r="M202" s="42"/>
      <c r="N202" s="43"/>
      <c r="O202" s="42"/>
    </row>
    <row r="203" customFormat="false" ht="18" hidden="false" customHeight="true" outlineLevel="0" collapsed="false">
      <c r="A203" s="46" t="n">
        <v>46347</v>
      </c>
      <c r="B203" s="46" t="n">
        <f aca="false">A203</f>
        <v>46347</v>
      </c>
      <c r="C203" s="47" t="n">
        <v>386</v>
      </c>
      <c r="D203" s="47" t="n">
        <f aca="false">D196+1</f>
        <v>56</v>
      </c>
      <c r="E203" s="47" t="str">
        <f aca="false">_xlfn.CONCAT("S-",TEXT(D203,"00"))</f>
        <v>S-56</v>
      </c>
      <c r="F203" s="48"/>
      <c r="G203" s="48"/>
      <c r="H203" s="48"/>
      <c r="I203" s="48"/>
      <c r="J203" s="49"/>
      <c r="K203" s="48"/>
      <c r="L203" s="48"/>
      <c r="M203" s="48"/>
      <c r="N203" s="50"/>
      <c r="O203" s="48"/>
    </row>
    <row r="204" customFormat="false" ht="18" hidden="false" customHeight="true" outlineLevel="0" collapsed="false">
      <c r="A204" s="46" t="n">
        <v>46348</v>
      </c>
      <c r="B204" s="46" t="n">
        <f aca="false">A204</f>
        <v>46348</v>
      </c>
      <c r="C204" s="47" t="n">
        <v>387</v>
      </c>
      <c r="D204" s="47" t="n">
        <f aca="false">D197+1</f>
        <v>56</v>
      </c>
      <c r="E204" s="47" t="str">
        <f aca="false">_xlfn.CONCAT("S-",TEXT(D204,"00"))</f>
        <v>S-56</v>
      </c>
      <c r="F204" s="48"/>
      <c r="G204" s="48"/>
      <c r="H204" s="48"/>
      <c r="I204" s="48"/>
      <c r="J204" s="49"/>
      <c r="K204" s="48"/>
      <c r="L204" s="48"/>
      <c r="M204" s="48"/>
      <c r="N204" s="50"/>
      <c r="O204" s="48"/>
    </row>
    <row r="205" customFormat="false" ht="18" hidden="false" customHeight="true" outlineLevel="0" collapsed="false">
      <c r="A205" s="38" t="n">
        <v>46349</v>
      </c>
      <c r="B205" s="38" t="n">
        <f aca="false">A205</f>
        <v>46349</v>
      </c>
      <c r="C205" s="39" t="n">
        <v>388</v>
      </c>
      <c r="D205" s="39" t="n">
        <f aca="false">D198+1</f>
        <v>56</v>
      </c>
      <c r="E205" s="39" t="str">
        <f aca="false">_xlfn.CONCAT("S-",TEXT(D205,"00"))</f>
        <v>S-56</v>
      </c>
      <c r="F205" s="42"/>
      <c r="G205" s="42"/>
      <c r="H205" s="42"/>
      <c r="I205" s="42"/>
      <c r="J205" s="62"/>
      <c r="K205" s="42"/>
      <c r="L205" s="42"/>
      <c r="M205" s="42"/>
      <c r="N205" s="43"/>
      <c r="O205" s="42"/>
    </row>
    <row r="206" customFormat="false" ht="18" hidden="false" customHeight="true" outlineLevel="0" collapsed="false">
      <c r="A206" s="38" t="n">
        <v>46350</v>
      </c>
      <c r="B206" s="38" t="n">
        <f aca="false">A206</f>
        <v>46350</v>
      </c>
      <c r="C206" s="39" t="n">
        <v>389</v>
      </c>
      <c r="D206" s="39" t="n">
        <f aca="false">D199+1</f>
        <v>56</v>
      </c>
      <c r="E206" s="39" t="str">
        <f aca="false">_xlfn.CONCAT("S-",TEXT(D206,"00"))</f>
        <v>S-56</v>
      </c>
      <c r="F206" s="42"/>
      <c r="G206" s="42"/>
      <c r="H206" s="42"/>
      <c r="I206" s="42"/>
      <c r="J206" s="62"/>
      <c r="K206" s="42"/>
      <c r="L206" s="42"/>
      <c r="M206" s="42"/>
      <c r="N206" s="43"/>
      <c r="O206" s="42"/>
    </row>
    <row r="207" customFormat="false" ht="18" hidden="false" customHeight="true" outlineLevel="0" collapsed="false">
      <c r="A207" s="38" t="n">
        <v>46351</v>
      </c>
      <c r="B207" s="38" t="n">
        <f aca="false">A207</f>
        <v>46351</v>
      </c>
      <c r="C207" s="39" t="n">
        <v>390</v>
      </c>
      <c r="D207" s="39" t="n">
        <f aca="false">D200+1</f>
        <v>56</v>
      </c>
      <c r="E207" s="39" t="str">
        <f aca="false">_xlfn.CONCAT("S-",TEXT(D207,"00"))</f>
        <v>S-56</v>
      </c>
      <c r="F207" s="42"/>
      <c r="G207" s="42"/>
      <c r="H207" s="42"/>
      <c r="I207" s="42"/>
      <c r="J207" s="62"/>
      <c r="K207" s="42"/>
      <c r="L207" s="42"/>
      <c r="M207" s="42"/>
      <c r="N207" s="43"/>
      <c r="O207" s="42"/>
    </row>
    <row r="208" customFormat="false" ht="18" hidden="false" customHeight="true" outlineLevel="0" collapsed="false">
      <c r="A208" s="38" t="n">
        <v>46352</v>
      </c>
      <c r="B208" s="38" t="n">
        <f aca="false">A208</f>
        <v>46352</v>
      </c>
      <c r="C208" s="39" t="n">
        <v>391</v>
      </c>
      <c r="D208" s="39" t="n">
        <f aca="false">D201+1</f>
        <v>56</v>
      </c>
      <c r="E208" s="39" t="str">
        <f aca="false">_xlfn.CONCAT("S-",TEXT(D208,"00"))</f>
        <v>S-56</v>
      </c>
      <c r="F208" s="42"/>
      <c r="G208" s="42"/>
      <c r="H208" s="42"/>
      <c r="I208" s="42"/>
      <c r="J208" s="62"/>
      <c r="K208" s="42"/>
      <c r="L208" s="42"/>
      <c r="M208" s="42"/>
      <c r="N208" s="43"/>
      <c r="O208" s="42"/>
    </row>
    <row r="209" customFormat="false" ht="18" hidden="false" customHeight="true" outlineLevel="0" collapsed="false">
      <c r="A209" s="38" t="n">
        <v>46353</v>
      </c>
      <c r="B209" s="38" t="n">
        <f aca="false">A209</f>
        <v>46353</v>
      </c>
      <c r="C209" s="39" t="n">
        <v>392</v>
      </c>
      <c r="D209" s="39" t="n">
        <f aca="false">D202+1</f>
        <v>57</v>
      </c>
      <c r="E209" s="39" t="str">
        <f aca="false">_xlfn.CONCAT("S-",TEXT(D209,"00"))</f>
        <v>S-57</v>
      </c>
      <c r="F209" s="42"/>
      <c r="G209" s="42"/>
      <c r="H209" s="42"/>
      <c r="I209" s="42"/>
      <c r="J209" s="62"/>
      <c r="K209" s="42"/>
      <c r="L209" s="42"/>
      <c r="M209" s="42"/>
      <c r="N209" s="43"/>
      <c r="O209" s="42"/>
    </row>
    <row r="210" customFormat="false" ht="18" hidden="false" customHeight="true" outlineLevel="0" collapsed="false">
      <c r="A210" s="46" t="n">
        <v>46354</v>
      </c>
      <c r="B210" s="46" t="n">
        <f aca="false">A210</f>
        <v>46354</v>
      </c>
      <c r="C210" s="47" t="n">
        <v>393</v>
      </c>
      <c r="D210" s="47" t="n">
        <f aca="false">D203+1</f>
        <v>57</v>
      </c>
      <c r="E210" s="47" t="str">
        <f aca="false">_xlfn.CONCAT("S-",TEXT(D210,"00"))</f>
        <v>S-57</v>
      </c>
      <c r="F210" s="48"/>
      <c r="G210" s="48"/>
      <c r="H210" s="48"/>
      <c r="I210" s="48"/>
      <c r="J210" s="49"/>
      <c r="K210" s="48"/>
      <c r="L210" s="48"/>
      <c r="M210" s="48"/>
      <c r="N210" s="50"/>
      <c r="O210" s="48"/>
    </row>
    <row r="211" customFormat="false" ht="18" hidden="false" customHeight="true" outlineLevel="0" collapsed="false">
      <c r="A211" s="46" t="n">
        <v>46355</v>
      </c>
      <c r="B211" s="46" t="n">
        <f aca="false">A211</f>
        <v>46355</v>
      </c>
      <c r="C211" s="47" t="n">
        <v>394</v>
      </c>
      <c r="D211" s="47" t="n">
        <f aca="false">D204+1</f>
        <v>57</v>
      </c>
      <c r="E211" s="47" t="str">
        <f aca="false">_xlfn.CONCAT("S-",TEXT(D211,"00"))</f>
        <v>S-57</v>
      </c>
      <c r="F211" s="48"/>
      <c r="G211" s="48"/>
      <c r="H211" s="48"/>
      <c r="I211" s="48"/>
      <c r="J211" s="49"/>
      <c r="K211" s="48"/>
      <c r="L211" s="48"/>
      <c r="M211" s="48"/>
      <c r="N211" s="50"/>
      <c r="O211" s="48"/>
    </row>
    <row r="212" customFormat="false" ht="18" hidden="false" customHeight="true" outlineLevel="0" collapsed="false">
      <c r="A212" s="38" t="n">
        <v>46356</v>
      </c>
      <c r="B212" s="38" t="n">
        <f aca="false">A212</f>
        <v>46356</v>
      </c>
      <c r="C212" s="39" t="n">
        <v>395</v>
      </c>
      <c r="D212" s="39" t="n">
        <f aca="false">D205+1</f>
        <v>57</v>
      </c>
      <c r="E212" s="39" t="str">
        <f aca="false">_xlfn.CONCAT("S-",TEXT(D212,"00"))</f>
        <v>S-57</v>
      </c>
      <c r="F212" s="42"/>
      <c r="G212" s="42"/>
      <c r="H212" s="42"/>
      <c r="I212" s="42"/>
      <c r="J212" s="62"/>
      <c r="K212" s="42"/>
      <c r="L212" s="42"/>
      <c r="M212" s="42"/>
      <c r="N212" s="43"/>
      <c r="O212" s="42"/>
    </row>
    <row r="213" customFormat="false" ht="18" hidden="false" customHeight="true" outlineLevel="0" collapsed="false">
      <c r="A213" s="38" t="n">
        <v>46357</v>
      </c>
      <c r="B213" s="38" t="n">
        <f aca="false">A213</f>
        <v>46357</v>
      </c>
      <c r="C213" s="39" t="n">
        <v>396</v>
      </c>
      <c r="D213" s="39" t="n">
        <f aca="false">D206+1</f>
        <v>57</v>
      </c>
      <c r="E213" s="39" t="str">
        <f aca="false">_xlfn.CONCAT("S-",TEXT(D213,"00"))</f>
        <v>S-57</v>
      </c>
      <c r="F213" s="42"/>
      <c r="G213" s="42"/>
      <c r="H213" s="42"/>
      <c r="I213" s="42"/>
      <c r="J213" s="62"/>
      <c r="K213" s="42"/>
      <c r="L213" s="42"/>
      <c r="M213" s="42"/>
      <c r="N213" s="43"/>
      <c r="O213" s="42"/>
    </row>
    <row r="214" customFormat="false" ht="18" hidden="false" customHeight="true" outlineLevel="0" collapsed="false">
      <c r="A214" s="38" t="n">
        <v>46358</v>
      </c>
      <c r="B214" s="38" t="n">
        <f aca="false">A214</f>
        <v>46358</v>
      </c>
      <c r="C214" s="39" t="n">
        <v>397</v>
      </c>
      <c r="D214" s="39" t="n">
        <f aca="false">D207+1</f>
        <v>57</v>
      </c>
      <c r="E214" s="39" t="str">
        <f aca="false">_xlfn.CONCAT("S-",TEXT(D214,"00"))</f>
        <v>S-57</v>
      </c>
      <c r="F214" s="42"/>
      <c r="G214" s="42"/>
      <c r="H214" s="42"/>
      <c r="I214" s="42"/>
      <c r="J214" s="62"/>
      <c r="K214" s="42"/>
      <c r="L214" s="42"/>
      <c r="M214" s="42"/>
      <c r="N214" s="43"/>
      <c r="O214" s="42"/>
    </row>
    <row r="215" customFormat="false" ht="18" hidden="false" customHeight="true" outlineLevel="0" collapsed="false">
      <c r="A215" s="38" t="n">
        <v>46359</v>
      </c>
      <c r="B215" s="38" t="n">
        <f aca="false">A215</f>
        <v>46359</v>
      </c>
      <c r="C215" s="39" t="n">
        <v>398</v>
      </c>
      <c r="D215" s="39" t="n">
        <f aca="false">D208+1</f>
        <v>57</v>
      </c>
      <c r="E215" s="39" t="str">
        <f aca="false">_xlfn.CONCAT("S-",TEXT(D215,"00"))</f>
        <v>S-57</v>
      </c>
      <c r="F215" s="42"/>
      <c r="G215" s="42"/>
      <c r="H215" s="42"/>
      <c r="I215" s="42"/>
      <c r="J215" s="62"/>
      <c r="K215" s="42"/>
      <c r="L215" s="42"/>
      <c r="M215" s="42"/>
      <c r="N215" s="43"/>
      <c r="O215" s="42"/>
    </row>
    <row r="216" customFormat="false" ht="18" hidden="false" customHeight="true" outlineLevel="0" collapsed="false">
      <c r="A216" s="38" t="n">
        <v>46360</v>
      </c>
      <c r="B216" s="38" t="n">
        <f aca="false">A216</f>
        <v>46360</v>
      </c>
      <c r="C216" s="39" t="n">
        <v>399</v>
      </c>
      <c r="D216" s="39" t="n">
        <f aca="false">D209+1</f>
        <v>58</v>
      </c>
      <c r="E216" s="39" t="str">
        <f aca="false">_xlfn.CONCAT("S-",TEXT(D216,"00"))</f>
        <v>S-58</v>
      </c>
      <c r="F216" s="42"/>
      <c r="G216" s="42"/>
      <c r="H216" s="42"/>
      <c r="I216" s="42"/>
      <c r="J216" s="62"/>
      <c r="K216" s="42"/>
      <c r="L216" s="42"/>
      <c r="M216" s="42"/>
      <c r="N216" s="43"/>
      <c r="O216" s="42"/>
    </row>
    <row r="217" customFormat="false" ht="18" hidden="false" customHeight="true" outlineLevel="0" collapsed="false">
      <c r="A217" s="46" t="n">
        <v>46361</v>
      </c>
      <c r="B217" s="46" t="n">
        <f aca="false">A217</f>
        <v>46361</v>
      </c>
      <c r="C217" s="47" t="n">
        <v>400</v>
      </c>
      <c r="D217" s="47" t="n">
        <f aca="false">D210+1</f>
        <v>58</v>
      </c>
      <c r="E217" s="47" t="str">
        <f aca="false">_xlfn.CONCAT("S-",TEXT(D217,"00"))</f>
        <v>S-58</v>
      </c>
      <c r="F217" s="48"/>
      <c r="G217" s="48"/>
      <c r="H217" s="48"/>
      <c r="I217" s="48"/>
      <c r="J217" s="49"/>
      <c r="K217" s="48"/>
      <c r="L217" s="48"/>
      <c r="M217" s="48"/>
      <c r="N217" s="50"/>
      <c r="O217" s="48"/>
    </row>
    <row r="218" customFormat="false" ht="18" hidden="false" customHeight="true" outlineLevel="0" collapsed="false">
      <c r="A218" s="46" t="n">
        <v>46362</v>
      </c>
      <c r="B218" s="46" t="n">
        <f aca="false">A218</f>
        <v>46362</v>
      </c>
      <c r="C218" s="47" t="n">
        <v>401</v>
      </c>
      <c r="D218" s="47" t="n">
        <f aca="false">D211+1</f>
        <v>58</v>
      </c>
      <c r="E218" s="47" t="str">
        <f aca="false">_xlfn.CONCAT("S-",TEXT(D218,"00"))</f>
        <v>S-58</v>
      </c>
      <c r="F218" s="48"/>
      <c r="G218" s="48"/>
      <c r="H218" s="48"/>
      <c r="I218" s="48"/>
      <c r="J218" s="49"/>
      <c r="K218" s="48"/>
      <c r="L218" s="48"/>
      <c r="M218" s="48"/>
      <c r="N218" s="50"/>
      <c r="O218" s="48"/>
    </row>
    <row r="219" customFormat="false" ht="18" hidden="false" customHeight="true" outlineLevel="0" collapsed="false">
      <c r="A219" s="38" t="n">
        <v>46363</v>
      </c>
      <c r="B219" s="38" t="n">
        <f aca="false">A219</f>
        <v>46363</v>
      </c>
      <c r="C219" s="39" t="n">
        <v>402</v>
      </c>
      <c r="D219" s="39" t="n">
        <f aca="false">D212+1</f>
        <v>58</v>
      </c>
      <c r="E219" s="39" t="str">
        <f aca="false">_xlfn.CONCAT("S-",TEXT(D219,"00"))</f>
        <v>S-58</v>
      </c>
      <c r="F219" s="42"/>
      <c r="G219" s="42"/>
      <c r="H219" s="42"/>
      <c r="I219" s="42"/>
      <c r="J219" s="62"/>
      <c r="K219" s="42"/>
      <c r="L219" s="42"/>
      <c r="M219" s="42"/>
      <c r="N219" s="43"/>
      <c r="O219" s="42"/>
    </row>
    <row r="220" customFormat="false" ht="18" hidden="false" customHeight="true" outlineLevel="0" collapsed="false">
      <c r="A220" s="38" t="n">
        <v>46364</v>
      </c>
      <c r="B220" s="38" t="n">
        <f aca="false">A220</f>
        <v>46364</v>
      </c>
      <c r="C220" s="39" t="n">
        <v>403</v>
      </c>
      <c r="D220" s="39" t="n">
        <f aca="false">D213+1</f>
        <v>58</v>
      </c>
      <c r="E220" s="39" t="str">
        <f aca="false">_xlfn.CONCAT("S-",TEXT(D220,"00"))</f>
        <v>S-58</v>
      </c>
      <c r="F220" s="42"/>
      <c r="G220" s="42"/>
      <c r="H220" s="42"/>
      <c r="I220" s="42"/>
      <c r="J220" s="62"/>
      <c r="K220" s="42"/>
      <c r="L220" s="42"/>
      <c r="M220" s="42"/>
      <c r="N220" s="43"/>
      <c r="O220" s="42"/>
    </row>
    <row r="221" customFormat="false" ht="18" hidden="false" customHeight="true" outlineLevel="0" collapsed="false">
      <c r="A221" s="38" t="n">
        <v>46365</v>
      </c>
      <c r="B221" s="38" t="n">
        <f aca="false">A221</f>
        <v>46365</v>
      </c>
      <c r="C221" s="39" t="n">
        <v>404</v>
      </c>
      <c r="D221" s="39" t="n">
        <f aca="false">D214+1</f>
        <v>58</v>
      </c>
      <c r="E221" s="39" t="str">
        <f aca="false">_xlfn.CONCAT("S-",TEXT(D221,"00"))</f>
        <v>S-58</v>
      </c>
      <c r="F221" s="42"/>
      <c r="G221" s="42"/>
      <c r="H221" s="42"/>
      <c r="I221" s="42"/>
      <c r="J221" s="62"/>
      <c r="K221" s="42"/>
      <c r="L221" s="42"/>
      <c r="M221" s="42"/>
      <c r="N221" s="43"/>
      <c r="O221" s="42"/>
    </row>
    <row r="222" customFormat="false" ht="18" hidden="false" customHeight="true" outlineLevel="0" collapsed="false">
      <c r="A222" s="38" t="n">
        <v>46366</v>
      </c>
      <c r="B222" s="38" t="n">
        <f aca="false">A222</f>
        <v>46366</v>
      </c>
      <c r="C222" s="39" t="n">
        <v>405</v>
      </c>
      <c r="D222" s="39" t="n">
        <f aca="false">D215+1</f>
        <v>58</v>
      </c>
      <c r="E222" s="39" t="str">
        <f aca="false">_xlfn.CONCAT("S-",TEXT(D222,"00"))</f>
        <v>S-58</v>
      </c>
      <c r="F222" s="42"/>
      <c r="G222" s="42"/>
      <c r="H222" s="42"/>
      <c r="I222" s="42"/>
      <c r="J222" s="62"/>
      <c r="K222" s="42"/>
      <c r="L222" s="42"/>
      <c r="M222" s="42"/>
      <c r="N222" s="43"/>
      <c r="O222" s="42"/>
    </row>
    <row r="223" customFormat="false" ht="18" hidden="false" customHeight="true" outlineLevel="0" collapsed="false">
      <c r="A223" s="38" t="n">
        <v>46367</v>
      </c>
      <c r="B223" s="38" t="n">
        <f aca="false">A223</f>
        <v>46367</v>
      </c>
      <c r="C223" s="39" t="n">
        <v>406</v>
      </c>
      <c r="D223" s="39" t="n">
        <f aca="false">D216+1</f>
        <v>59</v>
      </c>
      <c r="E223" s="39" t="str">
        <f aca="false">_xlfn.CONCAT("S-",TEXT(D223,"00"))</f>
        <v>S-59</v>
      </c>
      <c r="F223" s="42"/>
      <c r="G223" s="42"/>
      <c r="H223" s="42"/>
      <c r="I223" s="42"/>
      <c r="J223" s="62"/>
      <c r="K223" s="42"/>
      <c r="L223" s="42"/>
      <c r="M223" s="42"/>
      <c r="N223" s="43"/>
      <c r="O223" s="42"/>
    </row>
    <row r="224" customFormat="false" ht="18" hidden="false" customHeight="true" outlineLevel="0" collapsed="false">
      <c r="A224" s="46" t="n">
        <v>46368</v>
      </c>
      <c r="B224" s="46" t="n">
        <f aca="false">A224</f>
        <v>46368</v>
      </c>
      <c r="C224" s="47" t="n">
        <v>407</v>
      </c>
      <c r="D224" s="47" t="n">
        <f aca="false">D217+1</f>
        <v>59</v>
      </c>
      <c r="E224" s="47" t="str">
        <f aca="false">_xlfn.CONCAT("S-",TEXT(D224,"00"))</f>
        <v>S-59</v>
      </c>
      <c r="F224" s="48"/>
      <c r="G224" s="48"/>
      <c r="H224" s="48"/>
      <c r="I224" s="48"/>
      <c r="J224" s="49"/>
      <c r="K224" s="48"/>
      <c r="L224" s="48"/>
      <c r="M224" s="48"/>
      <c r="N224" s="50"/>
      <c r="O224" s="48"/>
    </row>
    <row r="225" customFormat="false" ht="18" hidden="false" customHeight="true" outlineLevel="0" collapsed="false">
      <c r="A225" s="46" t="n">
        <v>46369</v>
      </c>
      <c r="B225" s="46" t="n">
        <f aca="false">A225</f>
        <v>46369</v>
      </c>
      <c r="C225" s="47" t="n">
        <v>408</v>
      </c>
      <c r="D225" s="47" t="n">
        <f aca="false">D218+1</f>
        <v>59</v>
      </c>
      <c r="E225" s="47" t="str">
        <f aca="false">_xlfn.CONCAT("S-",TEXT(D225,"00"))</f>
        <v>S-59</v>
      </c>
      <c r="F225" s="48"/>
      <c r="G225" s="48"/>
      <c r="H225" s="48"/>
      <c r="I225" s="48"/>
      <c r="J225" s="49"/>
      <c r="K225" s="48"/>
      <c r="L225" s="48"/>
      <c r="M225" s="48"/>
      <c r="N225" s="50"/>
      <c r="O225" s="48"/>
    </row>
    <row r="226" customFormat="false" ht="18" hidden="false" customHeight="true" outlineLevel="0" collapsed="false">
      <c r="A226" s="38" t="n">
        <v>46370</v>
      </c>
      <c r="B226" s="38" t="n">
        <f aca="false">A226</f>
        <v>46370</v>
      </c>
      <c r="C226" s="39" t="n">
        <v>409</v>
      </c>
      <c r="D226" s="39" t="n">
        <f aca="false">D219+1</f>
        <v>59</v>
      </c>
      <c r="E226" s="39" t="str">
        <f aca="false">_xlfn.CONCAT("S-",TEXT(D226,"00"))</f>
        <v>S-59</v>
      </c>
      <c r="F226" s="42"/>
      <c r="G226" s="42"/>
      <c r="H226" s="42"/>
      <c r="I226" s="42"/>
      <c r="J226" s="62"/>
      <c r="K226" s="42"/>
      <c r="L226" s="42"/>
      <c r="M226" s="42"/>
      <c r="N226" s="43"/>
      <c r="O226" s="42"/>
    </row>
    <row r="227" customFormat="false" ht="18" hidden="false" customHeight="true" outlineLevel="0" collapsed="false">
      <c r="A227" s="38" t="n">
        <v>46371</v>
      </c>
      <c r="B227" s="38" t="n">
        <f aca="false">A227</f>
        <v>46371</v>
      </c>
      <c r="C227" s="39" t="n">
        <v>410</v>
      </c>
      <c r="D227" s="39" t="n">
        <f aca="false">D220+1</f>
        <v>59</v>
      </c>
      <c r="E227" s="39" t="str">
        <f aca="false">_xlfn.CONCAT("S-",TEXT(D227,"00"))</f>
        <v>S-59</v>
      </c>
      <c r="F227" s="42"/>
      <c r="G227" s="42"/>
      <c r="H227" s="42"/>
      <c r="I227" s="42"/>
      <c r="J227" s="62"/>
      <c r="K227" s="42"/>
      <c r="L227" s="42"/>
      <c r="M227" s="42"/>
      <c r="N227" s="43"/>
      <c r="O227" s="42"/>
    </row>
    <row r="228" customFormat="false" ht="16.5" hidden="false" customHeight="true" outlineLevel="0" collapsed="false">
      <c r="A228" s="38" t="n">
        <v>46372</v>
      </c>
      <c r="B228" s="38" t="n">
        <f aca="false">A228</f>
        <v>46372</v>
      </c>
      <c r="C228" s="39" t="n">
        <v>411</v>
      </c>
      <c r="D228" s="39" t="n">
        <f aca="false">D221+1</f>
        <v>59</v>
      </c>
      <c r="E228" s="39" t="str">
        <f aca="false">_xlfn.CONCAT("S-",TEXT(D228,"00"))</f>
        <v>S-59</v>
      </c>
      <c r="F228" s="42"/>
      <c r="G228" s="42"/>
      <c r="H228" s="42"/>
      <c r="I228" s="42"/>
      <c r="J228" s="62"/>
      <c r="K228" s="42"/>
      <c r="L228" s="42"/>
      <c r="M228" s="42"/>
      <c r="N228" s="43"/>
      <c r="O228" s="42"/>
    </row>
    <row r="229" customFormat="false" ht="16.5" hidden="false" customHeight="true" outlineLevel="0" collapsed="false">
      <c r="A229" s="38" t="n">
        <v>46373</v>
      </c>
      <c r="B229" s="38" t="n">
        <f aca="false">A229</f>
        <v>46373</v>
      </c>
      <c r="C229" s="39" t="n">
        <v>412</v>
      </c>
      <c r="D229" s="39" t="n">
        <f aca="false">D222+1</f>
        <v>59</v>
      </c>
      <c r="E229" s="39" t="str">
        <f aca="false">_xlfn.CONCAT("S-",TEXT(D229,"00"))</f>
        <v>S-59</v>
      </c>
      <c r="F229" s="42"/>
      <c r="G229" s="42"/>
      <c r="H229" s="42"/>
      <c r="I229" s="42"/>
      <c r="J229" s="62"/>
      <c r="K229" s="42"/>
      <c r="L229" s="42"/>
      <c r="M229" s="42"/>
      <c r="N229" s="43"/>
      <c r="O229" s="42"/>
    </row>
    <row r="230" customFormat="false" ht="16.5" hidden="false" customHeight="true" outlineLevel="0" collapsed="false">
      <c r="A230" s="38" t="n">
        <v>46374</v>
      </c>
      <c r="B230" s="38" t="n">
        <f aca="false">A230</f>
        <v>46374</v>
      </c>
      <c r="C230" s="39" t="n">
        <v>413</v>
      </c>
      <c r="D230" s="39" t="n">
        <f aca="false">D223+1</f>
        <v>60</v>
      </c>
      <c r="E230" s="39" t="str">
        <f aca="false">_xlfn.CONCAT("S-",TEXT(D230,"00"))</f>
        <v>S-60</v>
      </c>
      <c r="F230" s="42"/>
      <c r="G230" s="42"/>
      <c r="H230" s="42"/>
      <c r="I230" s="42"/>
      <c r="J230" s="62"/>
      <c r="K230" s="42"/>
      <c r="L230" s="42"/>
      <c r="M230" s="42"/>
      <c r="N230" s="43"/>
      <c r="O230" s="42"/>
    </row>
    <row r="231" customFormat="false" ht="16.5" hidden="false" customHeight="true" outlineLevel="0" collapsed="false">
      <c r="A231" s="46" t="n">
        <v>46375</v>
      </c>
      <c r="B231" s="46" t="n">
        <f aca="false">A231</f>
        <v>46375</v>
      </c>
      <c r="C231" s="47" t="n">
        <v>414</v>
      </c>
      <c r="D231" s="47" t="n">
        <f aca="false">D224+1</f>
        <v>60</v>
      </c>
      <c r="E231" s="47" t="str">
        <f aca="false">_xlfn.CONCAT("S-",TEXT(D231,"00"))</f>
        <v>S-60</v>
      </c>
      <c r="F231" s="48"/>
      <c r="G231" s="48"/>
      <c r="H231" s="48"/>
      <c r="I231" s="48"/>
      <c r="J231" s="49"/>
      <c r="K231" s="48"/>
      <c r="L231" s="48"/>
      <c r="M231" s="48"/>
      <c r="N231" s="50"/>
      <c r="O231" s="48"/>
    </row>
    <row r="232" customFormat="false" ht="16.5" hidden="false" customHeight="true" outlineLevel="0" collapsed="false">
      <c r="A232" s="46" t="n">
        <v>46376</v>
      </c>
      <c r="B232" s="46" t="n">
        <f aca="false">A232</f>
        <v>46376</v>
      </c>
      <c r="C232" s="47" t="n">
        <v>415</v>
      </c>
      <c r="D232" s="47" t="n">
        <f aca="false">D225+1</f>
        <v>60</v>
      </c>
      <c r="E232" s="47" t="str">
        <f aca="false">_xlfn.CONCAT("S-",TEXT(D232,"00"))</f>
        <v>S-60</v>
      </c>
      <c r="F232" s="48"/>
      <c r="G232" s="48"/>
      <c r="H232" s="48"/>
      <c r="I232" s="48"/>
      <c r="J232" s="49"/>
      <c r="K232" s="48"/>
      <c r="L232" s="48"/>
      <c r="M232" s="48"/>
      <c r="N232" s="50"/>
      <c r="O232" s="48"/>
    </row>
    <row r="233" customFormat="false" ht="16.5" hidden="false" customHeight="true" outlineLevel="0" collapsed="false">
      <c r="A233" s="38" t="n">
        <v>46377</v>
      </c>
      <c r="B233" s="38" t="n">
        <f aca="false">A233</f>
        <v>46377</v>
      </c>
      <c r="C233" s="39" t="n">
        <v>416</v>
      </c>
      <c r="D233" s="39" t="n">
        <f aca="false">D226+1</f>
        <v>60</v>
      </c>
      <c r="E233" s="39" t="str">
        <f aca="false">_xlfn.CONCAT("S-",TEXT(D233,"00"))</f>
        <v>S-60</v>
      </c>
      <c r="F233" s="42"/>
      <c r="G233" s="42"/>
      <c r="H233" s="42"/>
      <c r="I233" s="42"/>
      <c r="J233" s="62"/>
      <c r="K233" s="42"/>
      <c r="L233" s="42"/>
      <c r="M233" s="42"/>
      <c r="N233" s="43"/>
      <c r="O233" s="42"/>
    </row>
    <row r="234" customFormat="false" ht="16.5" hidden="false" customHeight="true" outlineLevel="0" collapsed="false">
      <c r="A234" s="38" t="n">
        <v>46378</v>
      </c>
      <c r="B234" s="38" t="n">
        <f aca="false">A234</f>
        <v>46378</v>
      </c>
      <c r="C234" s="39" t="n">
        <v>417</v>
      </c>
      <c r="D234" s="39" t="n">
        <f aca="false">D227+1</f>
        <v>60</v>
      </c>
      <c r="E234" s="39" t="str">
        <f aca="false">_xlfn.CONCAT("S-",TEXT(D234,"00"))</f>
        <v>S-60</v>
      </c>
      <c r="F234" s="42"/>
      <c r="G234" s="42"/>
      <c r="H234" s="42"/>
      <c r="I234" s="42"/>
      <c r="J234" s="62"/>
      <c r="K234" s="42"/>
      <c r="L234" s="42"/>
      <c r="M234" s="42"/>
      <c r="N234" s="43"/>
      <c r="O234" s="42"/>
    </row>
    <row r="235" customFormat="false" ht="16.5" hidden="false" customHeight="true" outlineLevel="0" collapsed="false">
      <c r="A235" s="38" t="n">
        <v>46379</v>
      </c>
      <c r="B235" s="38" t="n">
        <f aca="false">A235</f>
        <v>46379</v>
      </c>
      <c r="C235" s="39" t="n">
        <v>418</v>
      </c>
      <c r="D235" s="39" t="n">
        <f aca="false">D228+1</f>
        <v>60</v>
      </c>
      <c r="E235" s="39" t="str">
        <f aca="false">_xlfn.CONCAT("S-",TEXT(D235,"00"))</f>
        <v>S-60</v>
      </c>
      <c r="F235" s="42"/>
      <c r="G235" s="42"/>
      <c r="H235" s="42"/>
      <c r="I235" s="42"/>
      <c r="J235" s="62"/>
      <c r="K235" s="42"/>
      <c r="L235" s="42"/>
      <c r="M235" s="42"/>
      <c r="N235" s="43"/>
      <c r="O235" s="42"/>
    </row>
    <row r="236" customFormat="false" ht="16.5" hidden="false" customHeight="true" outlineLevel="0" collapsed="false">
      <c r="A236" s="38" t="n">
        <v>46380</v>
      </c>
      <c r="B236" s="38" t="n">
        <f aca="false">A236</f>
        <v>46380</v>
      </c>
      <c r="C236" s="39" t="n">
        <v>419</v>
      </c>
      <c r="D236" s="39" t="n">
        <f aca="false">D229+1</f>
        <v>60</v>
      </c>
      <c r="E236" s="39" t="str">
        <f aca="false">_xlfn.CONCAT("S-",TEXT(D236,"00"))</f>
        <v>S-60</v>
      </c>
      <c r="F236" s="42"/>
      <c r="G236" s="42"/>
      <c r="H236" s="42"/>
      <c r="I236" s="42"/>
      <c r="J236" s="62"/>
      <c r="K236" s="42"/>
      <c r="L236" s="42"/>
      <c r="M236" s="42"/>
      <c r="N236" s="43"/>
      <c r="O236" s="42"/>
    </row>
    <row r="237" customFormat="false" ht="16.5" hidden="false" customHeight="true" outlineLevel="0" collapsed="false">
      <c r="A237" s="38" t="n">
        <v>46381</v>
      </c>
      <c r="B237" s="38" t="n">
        <f aca="false">A237</f>
        <v>46381</v>
      </c>
      <c r="C237" s="39" t="n">
        <v>420</v>
      </c>
      <c r="D237" s="39" t="n">
        <f aca="false">D230+1</f>
        <v>61</v>
      </c>
      <c r="E237" s="39" t="str">
        <f aca="false">_xlfn.CONCAT("S-",TEXT(D237,"00"))</f>
        <v>S-61</v>
      </c>
      <c r="F237" s="42"/>
      <c r="G237" s="42"/>
      <c r="H237" s="42"/>
      <c r="I237" s="42"/>
      <c r="J237" s="62"/>
      <c r="K237" s="42"/>
      <c r="L237" s="42"/>
      <c r="M237" s="42"/>
      <c r="N237" s="43"/>
      <c r="O237" s="42"/>
    </row>
    <row r="238" customFormat="false" ht="16.5" hidden="false" customHeight="true" outlineLevel="0" collapsed="false">
      <c r="A238" s="46" t="n">
        <v>46382</v>
      </c>
      <c r="B238" s="46" t="n">
        <f aca="false">A238</f>
        <v>46382</v>
      </c>
      <c r="C238" s="47" t="n">
        <v>421</v>
      </c>
      <c r="D238" s="47" t="n">
        <f aca="false">D231+1</f>
        <v>61</v>
      </c>
      <c r="E238" s="47" t="str">
        <f aca="false">_xlfn.CONCAT("S-",TEXT(D238,"00"))</f>
        <v>S-61</v>
      </c>
      <c r="F238" s="48"/>
      <c r="G238" s="48"/>
      <c r="H238" s="48"/>
      <c r="I238" s="48"/>
      <c r="J238" s="49"/>
      <c r="K238" s="48"/>
      <c r="L238" s="48"/>
      <c r="M238" s="48"/>
      <c r="N238" s="50"/>
      <c r="O238" s="48"/>
    </row>
    <row r="239" customFormat="false" ht="16.5" hidden="false" customHeight="true" outlineLevel="0" collapsed="false">
      <c r="A239" s="46" t="n">
        <v>46383</v>
      </c>
      <c r="B239" s="46" t="n">
        <f aca="false">A239</f>
        <v>46383</v>
      </c>
      <c r="C239" s="47" t="n">
        <v>422</v>
      </c>
      <c r="D239" s="47" t="n">
        <f aca="false">D232+1</f>
        <v>61</v>
      </c>
      <c r="E239" s="47" t="str">
        <f aca="false">_xlfn.CONCAT("S-",TEXT(D239,"00"))</f>
        <v>S-61</v>
      </c>
      <c r="F239" s="48"/>
      <c r="G239" s="48"/>
      <c r="H239" s="48"/>
      <c r="I239" s="48"/>
      <c r="J239" s="49"/>
      <c r="K239" s="48"/>
      <c r="L239" s="48"/>
      <c r="M239" s="48"/>
      <c r="N239" s="50"/>
      <c r="O239" s="48"/>
    </row>
    <row r="240" customFormat="false" ht="16.5" hidden="false" customHeight="true" outlineLevel="0" collapsed="false">
      <c r="A240" s="38" t="n">
        <v>46384</v>
      </c>
      <c r="B240" s="38" t="n">
        <f aca="false">A240</f>
        <v>46384</v>
      </c>
      <c r="C240" s="39" t="n">
        <v>423</v>
      </c>
      <c r="D240" s="39" t="n">
        <f aca="false">D233+1</f>
        <v>61</v>
      </c>
      <c r="E240" s="39" t="str">
        <f aca="false">_xlfn.CONCAT("S-",TEXT(D240,"00"))</f>
        <v>S-61</v>
      </c>
      <c r="F240" s="42"/>
      <c r="G240" s="42"/>
      <c r="H240" s="42"/>
      <c r="I240" s="42"/>
      <c r="J240" s="62"/>
      <c r="K240" s="42"/>
      <c r="L240" s="42"/>
      <c r="M240" s="42"/>
      <c r="N240" s="43"/>
      <c r="O240" s="42"/>
    </row>
    <row r="241" customFormat="false" ht="16.5" hidden="false" customHeight="true" outlineLevel="0" collapsed="false">
      <c r="A241" s="38" t="n">
        <v>46385</v>
      </c>
      <c r="B241" s="38" t="n">
        <f aca="false">A241</f>
        <v>46385</v>
      </c>
      <c r="C241" s="39" t="n">
        <v>424</v>
      </c>
      <c r="D241" s="39" t="n">
        <f aca="false">D234+1</f>
        <v>61</v>
      </c>
      <c r="E241" s="39" t="str">
        <f aca="false">_xlfn.CONCAT("S-",TEXT(D241,"00"))</f>
        <v>S-61</v>
      </c>
      <c r="F241" s="42"/>
      <c r="G241" s="42"/>
      <c r="H241" s="42"/>
      <c r="I241" s="42"/>
      <c r="J241" s="62"/>
      <c r="K241" s="42"/>
      <c r="L241" s="42"/>
      <c r="M241" s="42"/>
      <c r="N241" s="43"/>
      <c r="O241" s="42"/>
    </row>
    <row r="242" customFormat="false" ht="16.5" hidden="false" customHeight="true" outlineLevel="0" collapsed="false">
      <c r="A242" s="38" t="n">
        <v>46386</v>
      </c>
      <c r="B242" s="38" t="n">
        <f aca="false">A242</f>
        <v>46386</v>
      </c>
      <c r="C242" s="39" t="n">
        <v>425</v>
      </c>
      <c r="D242" s="39" t="n">
        <f aca="false">D235+1</f>
        <v>61</v>
      </c>
      <c r="E242" s="39" t="str">
        <f aca="false">_xlfn.CONCAT("S-",TEXT(D242,"00"))</f>
        <v>S-61</v>
      </c>
      <c r="F242" s="42"/>
      <c r="G242" s="42"/>
      <c r="H242" s="42"/>
      <c r="I242" s="42"/>
      <c r="J242" s="62"/>
      <c r="K242" s="42"/>
      <c r="L242" s="42"/>
      <c r="M242" s="42"/>
      <c r="N242" s="43"/>
      <c r="O242" s="42"/>
    </row>
    <row r="243" customFormat="false" ht="17.25" hidden="false" customHeight="true" outlineLevel="0" collapsed="false">
      <c r="A243" s="38" t="n">
        <v>46387</v>
      </c>
      <c r="B243" s="38" t="n">
        <f aca="false">A243</f>
        <v>46387</v>
      </c>
      <c r="C243" s="39" t="n">
        <v>426</v>
      </c>
      <c r="D243" s="39" t="n">
        <f aca="false">D236+1</f>
        <v>61</v>
      </c>
      <c r="E243" s="39" t="str">
        <f aca="false">_xlfn.CONCAT("S-",TEXT(D243,"00"))</f>
        <v>S-61</v>
      </c>
      <c r="F243" s="60"/>
      <c r="G243" s="42"/>
      <c r="H243" s="42"/>
      <c r="I243" s="42"/>
      <c r="J243" s="62"/>
      <c r="K243" s="42"/>
      <c r="L243" s="42"/>
      <c r="M243" s="42"/>
      <c r="N243" s="43"/>
      <c r="O243" s="42"/>
    </row>
    <row r="244" customFormat="false" ht="18" hidden="false" customHeight="true" outlineLevel="0" collapsed="false">
      <c r="A244" s="63" t="s">
        <v>79</v>
      </c>
      <c r="B244" s="63"/>
      <c r="D244" s="64" t="s">
        <v>80</v>
      </c>
      <c r="E244" s="65" t="str">
        <f aca="false">COUNT($F$2:$F$243)&amp;" / "&amp;COUNT($H$2:$H$243)</f>
        <v>92 / 13</v>
      </c>
      <c r="F244" s="66" t="n">
        <f aca="false">COUNT($F$2:$F$243)+COUNT($H$2:$H$243)</f>
        <v>105</v>
      </c>
      <c r="G244" s="67"/>
      <c r="H244" s="64" t="s">
        <v>81</v>
      </c>
      <c r="I244" s="68" t="n">
        <f aca="false">MAX(0,$F$245-$F$244)</f>
        <v>119</v>
      </c>
      <c r="J244" s="69"/>
      <c r="K244" s="67"/>
      <c r="L244" s="67"/>
      <c r="M244" s="67"/>
      <c r="N244" s="70"/>
      <c r="O244" s="71"/>
    </row>
    <row r="245" customFormat="false" ht="18" hidden="false" customHeight="true" outlineLevel="0" collapsed="false">
      <c r="A245" s="72" t="s">
        <v>82</v>
      </c>
      <c r="B245" s="72"/>
      <c r="F245" s="73" t="n">
        <f aca="false">COUNT('Programação Estaca'!$A$2:$A$1000)</f>
        <v>224</v>
      </c>
    </row>
    <row r="246" customFormat="false" ht="18" hidden="false" customHeight="true" outlineLevel="0" collapsed="false">
      <c r="A246" s="72" t="s">
        <v>83</v>
      </c>
      <c r="B246" s="72"/>
      <c r="F246" s="74" t="n">
        <f aca="false">IF($F$245=0,0,$F$244/$F$245)</f>
        <v>0.46875</v>
      </c>
    </row>
    <row r="247" customFormat="false" ht="18" hidden="false" customHeight="true" outlineLevel="0" collapsed="false"/>
    <row r="248" customFormat="false" ht="22.5" hidden="false" customHeight="true" outlineLevel="0" collapsed="false"/>
    <row r="249" customFormat="false" ht="17.25" hidden="false" customHeight="true" outlineLevel="0" collapsed="false"/>
    <row r="251" customFormat="false" ht="16.5" hidden="false" customHeight="true" outlineLevel="0" collapsed="false">
      <c r="A251" s="38" t="n">
        <v>46260</v>
      </c>
      <c r="B251" s="38" t="n">
        <f aca="false">A251</f>
        <v>46260</v>
      </c>
      <c r="D251" s="39" t="n">
        <f aca="false">D219+1</f>
        <v>59</v>
      </c>
      <c r="F251" s="75"/>
      <c r="G251" s="75"/>
      <c r="H251" s="76"/>
      <c r="I251" s="76"/>
      <c r="J251" s="38" t="n">
        <f aca="false">A251+14</f>
        <v>46274</v>
      </c>
      <c r="K251" s="75"/>
      <c r="L251" s="75"/>
      <c r="M251" s="75"/>
      <c r="N251" s="75"/>
      <c r="O251" s="77"/>
    </row>
    <row r="252" customFormat="false" ht="11.25" hidden="false" customHeight="true" outlineLevel="0" collapsed="false">
      <c r="A252" s="38" t="n">
        <v>46260</v>
      </c>
      <c r="B252" s="38" t="n">
        <f aca="false">A252</f>
        <v>46260</v>
      </c>
      <c r="D252" s="39" t="n">
        <f aca="false">D220+1</f>
        <v>59</v>
      </c>
      <c r="F252" s="75"/>
      <c r="G252" s="75"/>
      <c r="H252" s="76"/>
      <c r="I252" s="76"/>
      <c r="J252" s="38" t="n">
        <f aca="false">A252+14</f>
        <v>46274</v>
      </c>
      <c r="K252" s="75"/>
      <c r="L252" s="75"/>
      <c r="M252" s="75"/>
      <c r="N252" s="75"/>
      <c r="O252" s="77"/>
    </row>
    <row r="253" customFormat="false" ht="16.5" hidden="false" customHeight="true" outlineLevel="0" collapsed="false">
      <c r="A253" s="38" t="n">
        <v>46260</v>
      </c>
      <c r="B253" s="38" t="n">
        <f aca="false">A253</f>
        <v>46260</v>
      </c>
      <c r="D253" s="39" t="n">
        <f aca="false">D221+1</f>
        <v>59</v>
      </c>
      <c r="F253" s="75"/>
      <c r="G253" s="75"/>
      <c r="H253" s="76"/>
      <c r="I253" s="76"/>
      <c r="J253" s="38" t="n">
        <f aca="false">A253+14</f>
        <v>46274</v>
      </c>
      <c r="K253" s="75"/>
      <c r="L253" s="75"/>
      <c r="M253" s="75"/>
      <c r="N253" s="75"/>
      <c r="O253" s="77"/>
    </row>
    <row r="254" customFormat="false" ht="16.5" hidden="false" customHeight="true" outlineLevel="0" collapsed="false">
      <c r="A254" s="38" t="n">
        <v>46260</v>
      </c>
      <c r="B254" s="38" t="n">
        <f aca="false">A254</f>
        <v>46260</v>
      </c>
      <c r="D254" s="39" t="n">
        <f aca="false">D222+1</f>
        <v>59</v>
      </c>
      <c r="F254" s="75"/>
      <c r="G254" s="75"/>
      <c r="H254" s="76"/>
      <c r="I254" s="76"/>
      <c r="J254" s="38" t="n">
        <f aca="false">A254+14</f>
        <v>46274</v>
      </c>
      <c r="K254" s="75"/>
      <c r="L254" s="75"/>
      <c r="M254" s="75"/>
      <c r="N254" s="75"/>
      <c r="O254" s="77"/>
    </row>
    <row r="255" customFormat="false" ht="16.5" hidden="false" customHeight="true" outlineLevel="0" collapsed="false">
      <c r="A255" s="38" t="n">
        <v>46260</v>
      </c>
      <c r="B255" s="38" t="n">
        <f aca="false">A255</f>
        <v>46260</v>
      </c>
      <c r="D255" s="39" t="n">
        <f aca="false">D223+1</f>
        <v>60</v>
      </c>
      <c r="F255" s="75"/>
      <c r="G255" s="75"/>
      <c r="H255" s="76"/>
      <c r="I255" s="76"/>
      <c r="J255" s="38" t="n">
        <f aca="false">A255+14</f>
        <v>46274</v>
      </c>
      <c r="K255" s="75"/>
      <c r="L255" s="75"/>
      <c r="M255" s="75"/>
      <c r="N255" s="75"/>
      <c r="O255" s="77"/>
    </row>
    <row r="256" customFormat="false" ht="16.5" hidden="false" customHeight="true" outlineLevel="0" collapsed="false">
      <c r="A256" s="38" t="n">
        <v>46260</v>
      </c>
      <c r="B256" s="38" t="n">
        <f aca="false">A256</f>
        <v>46260</v>
      </c>
      <c r="D256" s="39" t="n">
        <f aca="false">D224+1</f>
        <v>60</v>
      </c>
      <c r="F256" s="75"/>
      <c r="G256" s="75"/>
      <c r="H256" s="76"/>
      <c r="I256" s="76"/>
      <c r="J256" s="38" t="n">
        <f aca="false">A256+14</f>
        <v>46274</v>
      </c>
      <c r="K256" s="75"/>
      <c r="L256" s="75"/>
      <c r="M256" s="75"/>
      <c r="N256" s="75"/>
      <c r="O256" s="77"/>
    </row>
    <row r="257" customFormat="false" ht="16.5" hidden="false" customHeight="true" outlineLevel="0" collapsed="false">
      <c r="A257" s="38" t="n">
        <v>46260</v>
      </c>
      <c r="B257" s="38" t="n">
        <f aca="false">A257</f>
        <v>46260</v>
      </c>
      <c r="D257" s="39" t="n">
        <f aca="false">D225+1</f>
        <v>60</v>
      </c>
      <c r="F257" s="75"/>
      <c r="G257" s="75"/>
      <c r="H257" s="76"/>
      <c r="I257" s="76"/>
      <c r="J257" s="38" t="n">
        <f aca="false">A257+14</f>
        <v>46274</v>
      </c>
      <c r="K257" s="75"/>
      <c r="L257" s="75"/>
      <c r="M257" s="75"/>
      <c r="N257" s="75"/>
      <c r="O257" s="77"/>
    </row>
    <row r="258" customFormat="false" ht="16.5" hidden="false" customHeight="true" outlineLevel="0" collapsed="false">
      <c r="A258" s="38" t="n">
        <v>46260</v>
      </c>
      <c r="B258" s="38" t="n">
        <f aca="false">A258</f>
        <v>46260</v>
      </c>
      <c r="D258" s="39" t="n">
        <f aca="false">D226+1</f>
        <v>60</v>
      </c>
      <c r="F258" s="75"/>
      <c r="G258" s="75"/>
      <c r="H258" s="76"/>
      <c r="I258" s="76"/>
      <c r="J258" s="38" t="n">
        <f aca="false">A258+14</f>
        <v>46274</v>
      </c>
      <c r="K258" s="75"/>
      <c r="L258" s="75"/>
      <c r="M258" s="75"/>
      <c r="N258" s="75"/>
      <c r="O258" s="77"/>
    </row>
    <row r="259" customFormat="false" ht="16.5" hidden="false" customHeight="true" outlineLevel="0" collapsed="false">
      <c r="A259" s="38" t="n">
        <v>46260</v>
      </c>
      <c r="B259" s="38" t="n">
        <f aca="false">A259</f>
        <v>46260</v>
      </c>
      <c r="D259" s="39" t="n">
        <f aca="false">D227+1</f>
        <v>60</v>
      </c>
      <c r="F259" s="75"/>
      <c r="G259" s="75"/>
      <c r="H259" s="76"/>
      <c r="I259" s="76"/>
      <c r="J259" s="38" t="n">
        <f aca="false">A259+14</f>
        <v>46274</v>
      </c>
      <c r="K259" s="75"/>
      <c r="L259" s="75"/>
      <c r="M259" s="75"/>
      <c r="N259" s="75"/>
      <c r="O259" s="77"/>
    </row>
    <row r="260" customFormat="false" ht="16.5" hidden="false" customHeight="true" outlineLevel="0" collapsed="false">
      <c r="A260" s="38" t="n">
        <v>46260</v>
      </c>
      <c r="B260" s="38" t="n">
        <f aca="false">A260</f>
        <v>46260</v>
      </c>
      <c r="D260" s="39" t="n">
        <f aca="false">D228+1</f>
        <v>60</v>
      </c>
      <c r="F260" s="75"/>
      <c r="G260" s="75"/>
      <c r="H260" s="76"/>
      <c r="I260" s="76"/>
      <c r="J260" s="38" t="n">
        <f aca="false">A260+14</f>
        <v>46274</v>
      </c>
      <c r="K260" s="75"/>
      <c r="L260" s="75"/>
      <c r="M260" s="75"/>
      <c r="N260" s="75"/>
      <c r="O260" s="77"/>
    </row>
    <row r="261" customFormat="false" ht="16.5" hidden="false" customHeight="true" outlineLevel="0" collapsed="false">
      <c r="A261" s="38" t="n">
        <v>46260</v>
      </c>
      <c r="B261" s="38" t="n">
        <f aca="false">A261</f>
        <v>46260</v>
      </c>
      <c r="D261" s="39" t="n">
        <f aca="false">D229+1</f>
        <v>60</v>
      </c>
      <c r="F261" s="75"/>
      <c r="G261" s="75"/>
      <c r="H261" s="76"/>
      <c r="I261" s="76"/>
      <c r="J261" s="75"/>
      <c r="K261" s="75"/>
      <c r="L261" s="75"/>
      <c r="M261" s="75"/>
      <c r="N261" s="75"/>
      <c r="O261" s="77"/>
    </row>
    <row r="262" customFormat="false" ht="15" hidden="false" customHeight="false" outlineLevel="0" collapsed="false">
      <c r="A262" s="40"/>
      <c r="B262" s="40"/>
      <c r="D262" s="40"/>
      <c r="F262" s="75"/>
      <c r="G262" s="75"/>
      <c r="H262" s="76"/>
      <c r="I262" s="76"/>
      <c r="J262" s="75"/>
      <c r="K262" s="75"/>
      <c r="L262" s="75"/>
      <c r="M262" s="75"/>
      <c r="N262" s="75"/>
      <c r="O262" s="77"/>
    </row>
    <row r="263" customFormat="false" ht="15" hidden="false" customHeight="false" outlineLevel="0" collapsed="false">
      <c r="A263" s="40"/>
      <c r="B263" s="40"/>
      <c r="D263" s="40"/>
      <c r="F263" s="75"/>
      <c r="G263" s="75"/>
      <c r="H263" s="76"/>
      <c r="I263" s="76"/>
      <c r="J263" s="75"/>
      <c r="K263" s="75"/>
      <c r="L263" s="75"/>
      <c r="M263" s="75"/>
      <c r="N263" s="75"/>
      <c r="O263" s="77"/>
    </row>
    <row r="264" customFormat="false" ht="15" hidden="false" customHeight="false" outlineLevel="0" collapsed="false">
      <c r="A264" s="40"/>
      <c r="B264" s="40"/>
      <c r="D264" s="40"/>
      <c r="F264" s="75"/>
      <c r="G264" s="75"/>
      <c r="H264" s="76"/>
      <c r="I264" s="76"/>
      <c r="J264" s="75"/>
      <c r="K264" s="75"/>
      <c r="L264" s="75"/>
      <c r="M264" s="75"/>
      <c r="N264" s="75"/>
      <c r="O264" s="77"/>
    </row>
    <row r="265" customFormat="false" ht="15" hidden="false" customHeight="false" outlineLevel="0" collapsed="false">
      <c r="A265" s="40"/>
      <c r="B265" s="40"/>
      <c r="D265" s="40"/>
      <c r="F265" s="75"/>
      <c r="G265" s="75"/>
      <c r="H265" s="76"/>
      <c r="I265" s="76"/>
      <c r="J265" s="75"/>
      <c r="K265" s="75"/>
      <c r="L265" s="75"/>
      <c r="M265" s="75"/>
      <c r="N265" s="75"/>
      <c r="O265" s="77"/>
    </row>
    <row r="266" customFormat="false" ht="15" hidden="false" customHeight="false" outlineLevel="0" collapsed="false">
      <c r="A266" s="40"/>
      <c r="B266" s="40"/>
      <c r="D266" s="40"/>
      <c r="F266" s="75"/>
      <c r="G266" s="75"/>
      <c r="H266" s="76"/>
      <c r="I266" s="76"/>
      <c r="J266" s="75"/>
      <c r="K266" s="75"/>
      <c r="L266" s="75"/>
      <c r="M266" s="75"/>
      <c r="N266" s="75"/>
      <c r="O266" s="77"/>
    </row>
    <row r="267" customFormat="false" ht="15" hidden="false" customHeight="false" outlineLevel="0" collapsed="false">
      <c r="A267" s="40"/>
      <c r="B267" s="40"/>
      <c r="D267" s="40"/>
      <c r="F267" s="75"/>
      <c r="G267" s="75"/>
      <c r="H267" s="76"/>
      <c r="I267" s="76"/>
      <c r="J267" s="75"/>
      <c r="K267" s="75"/>
      <c r="L267" s="75"/>
      <c r="M267" s="75"/>
      <c r="N267" s="75"/>
      <c r="O267" s="77"/>
    </row>
    <row r="268" customFormat="false" ht="15" hidden="false" customHeight="false" outlineLevel="0" collapsed="false">
      <c r="A268" s="40"/>
      <c r="B268" s="40"/>
      <c r="D268" s="40"/>
      <c r="F268" s="75"/>
      <c r="G268" s="75"/>
      <c r="H268" s="76"/>
      <c r="I268" s="76"/>
      <c r="J268" s="75"/>
      <c r="K268" s="75"/>
      <c r="L268" s="75"/>
      <c r="M268" s="75"/>
      <c r="N268" s="75"/>
      <c r="O268" s="77"/>
    </row>
    <row r="269" customFormat="false" ht="15" hidden="false" customHeight="false" outlineLevel="0" collapsed="false">
      <c r="A269" s="40"/>
      <c r="B269" s="40"/>
      <c r="D269" s="40"/>
      <c r="F269" s="75"/>
      <c r="G269" s="75"/>
      <c r="H269" s="76"/>
      <c r="I269" s="76"/>
      <c r="J269" s="75"/>
      <c r="K269" s="75"/>
      <c r="L269" s="75"/>
      <c r="M269" s="75"/>
      <c r="N269" s="75"/>
      <c r="O269" s="77"/>
    </row>
    <row r="270" customFormat="false" ht="15" hidden="false" customHeight="false" outlineLevel="0" collapsed="false">
      <c r="A270" s="40"/>
      <c r="B270" s="40"/>
      <c r="D270" s="40"/>
      <c r="F270" s="75"/>
      <c r="G270" s="75"/>
      <c r="H270" s="76"/>
      <c r="I270" s="76"/>
      <c r="J270" s="75"/>
      <c r="K270" s="75"/>
      <c r="L270" s="75"/>
      <c r="M270" s="75"/>
      <c r="N270" s="75"/>
      <c r="O270" s="77"/>
    </row>
    <row r="271" customFormat="false" ht="15" hidden="false" customHeight="false" outlineLevel="0" collapsed="false">
      <c r="A271" s="40"/>
      <c r="B271" s="40"/>
      <c r="D271" s="40"/>
      <c r="F271" s="75"/>
      <c r="G271" s="75"/>
      <c r="H271" s="76"/>
      <c r="I271" s="76"/>
      <c r="J271" s="75"/>
      <c r="K271" s="75"/>
      <c r="L271" s="75"/>
      <c r="M271" s="75"/>
      <c r="N271" s="75"/>
      <c r="O271" s="77"/>
    </row>
    <row r="272" customFormat="false" ht="15" hidden="false" customHeight="false" outlineLevel="0" collapsed="false">
      <c r="A272" s="40"/>
      <c r="B272" s="40"/>
      <c r="D272" s="40"/>
      <c r="F272" s="75"/>
      <c r="G272" s="75"/>
      <c r="H272" s="76"/>
      <c r="I272" s="76"/>
      <c r="J272" s="75"/>
      <c r="K272" s="75"/>
      <c r="L272" s="75"/>
      <c r="M272" s="75"/>
      <c r="N272" s="75"/>
      <c r="O272" s="77"/>
    </row>
    <row r="273" customFormat="false" ht="15" hidden="false" customHeight="false" outlineLevel="0" collapsed="false">
      <c r="A273" s="40"/>
      <c r="B273" s="40"/>
      <c r="D273" s="40"/>
      <c r="F273" s="75"/>
      <c r="G273" s="75"/>
      <c r="H273" s="76"/>
      <c r="I273" s="76"/>
      <c r="J273" s="75"/>
      <c r="K273" s="75"/>
      <c r="L273" s="75"/>
      <c r="M273" s="75"/>
      <c r="N273" s="75"/>
      <c r="O273" s="77"/>
    </row>
    <row r="274" customFormat="false" ht="15" hidden="false" customHeight="false" outlineLevel="0" collapsed="false">
      <c r="A274" s="40"/>
      <c r="B274" s="40"/>
      <c r="D274" s="40"/>
      <c r="F274" s="75"/>
      <c r="G274" s="75"/>
      <c r="H274" s="76"/>
      <c r="I274" s="76"/>
      <c r="J274" s="75"/>
      <c r="K274" s="75"/>
      <c r="L274" s="75"/>
      <c r="M274" s="75"/>
      <c r="N274" s="75"/>
      <c r="O274" s="77"/>
    </row>
    <row r="275" customFormat="false" ht="15" hidden="false" customHeight="false" outlineLevel="0" collapsed="false">
      <c r="A275" s="40"/>
      <c r="B275" s="40"/>
      <c r="D275" s="40"/>
      <c r="F275" s="75"/>
      <c r="G275" s="75"/>
      <c r="H275" s="76"/>
      <c r="I275" s="76"/>
      <c r="J275" s="75"/>
      <c r="K275" s="75"/>
      <c r="L275" s="75"/>
      <c r="M275" s="75"/>
      <c r="N275" s="75"/>
      <c r="O275" s="77"/>
    </row>
    <row r="276" customFormat="false" ht="15" hidden="false" customHeight="false" outlineLevel="0" collapsed="false">
      <c r="A276" s="40"/>
      <c r="B276" s="40"/>
      <c r="D276" s="40"/>
      <c r="F276" s="75"/>
      <c r="G276" s="75"/>
      <c r="H276" s="76"/>
      <c r="I276" s="76"/>
      <c r="J276" s="75"/>
      <c r="K276" s="75"/>
      <c r="L276" s="75"/>
      <c r="M276" s="75"/>
      <c r="N276" s="75"/>
      <c r="O276" s="77"/>
    </row>
    <row r="277" customFormat="false" ht="15" hidden="false" customHeight="false" outlineLevel="0" collapsed="false">
      <c r="A277" s="40"/>
      <c r="B277" s="40"/>
      <c r="D277" s="40"/>
      <c r="F277" s="75"/>
      <c r="G277" s="75"/>
      <c r="H277" s="76"/>
      <c r="I277" s="76"/>
      <c r="J277" s="75"/>
      <c r="K277" s="75"/>
      <c r="L277" s="75"/>
      <c r="M277" s="75"/>
      <c r="N277" s="75"/>
      <c r="O277" s="77"/>
    </row>
    <row r="278" customFormat="false" ht="15" hidden="false" customHeight="false" outlineLevel="0" collapsed="false">
      <c r="A278" s="40"/>
      <c r="B278" s="40"/>
      <c r="D278" s="40"/>
      <c r="F278" s="75"/>
      <c r="G278" s="75"/>
      <c r="H278" s="76"/>
      <c r="I278" s="76"/>
      <c r="J278" s="75"/>
      <c r="K278" s="75"/>
      <c r="L278" s="75"/>
      <c r="M278" s="75"/>
      <c r="N278" s="75"/>
      <c r="O278" s="77"/>
    </row>
    <row r="279" customFormat="false" ht="15" hidden="false" customHeight="false" outlineLevel="0" collapsed="false">
      <c r="A279" s="40"/>
      <c r="B279" s="40"/>
      <c r="D279" s="40"/>
      <c r="F279" s="75"/>
      <c r="G279" s="75"/>
      <c r="H279" s="76"/>
      <c r="I279" s="76"/>
      <c r="J279" s="75"/>
      <c r="K279" s="75"/>
      <c r="L279" s="75"/>
      <c r="M279" s="75"/>
      <c r="N279" s="75"/>
      <c r="O279" s="77"/>
    </row>
    <row r="280" customFormat="false" ht="15" hidden="false" customHeight="false" outlineLevel="0" collapsed="false">
      <c r="A280" s="40"/>
      <c r="B280" s="40"/>
      <c r="D280" s="40"/>
      <c r="F280" s="75"/>
      <c r="G280" s="75"/>
      <c r="H280" s="76"/>
      <c r="I280" s="76"/>
      <c r="J280" s="75"/>
      <c r="K280" s="75"/>
      <c r="L280" s="75"/>
      <c r="M280" s="75"/>
      <c r="N280" s="75"/>
      <c r="O280" s="77"/>
    </row>
    <row r="281" customFormat="false" ht="15" hidden="false" customHeight="false" outlineLevel="0" collapsed="false">
      <c r="A281" s="40"/>
      <c r="B281" s="40"/>
      <c r="D281" s="40"/>
      <c r="F281" s="75"/>
      <c r="G281" s="75"/>
      <c r="H281" s="76"/>
      <c r="I281" s="76"/>
      <c r="J281" s="75"/>
      <c r="K281" s="75"/>
      <c r="L281" s="75"/>
      <c r="M281" s="75"/>
      <c r="N281" s="75"/>
      <c r="O281" s="77"/>
    </row>
    <row r="282" customFormat="false" ht="15" hidden="false" customHeight="false" outlineLevel="0" collapsed="false">
      <c r="A282" s="40"/>
      <c r="B282" s="40"/>
      <c r="D282" s="40"/>
      <c r="F282" s="75"/>
      <c r="G282" s="75"/>
      <c r="H282" s="76"/>
      <c r="I282" s="76"/>
      <c r="J282" s="75"/>
      <c r="K282" s="75"/>
      <c r="L282" s="75"/>
      <c r="M282" s="75"/>
      <c r="N282" s="75"/>
      <c r="O282" s="77"/>
    </row>
    <row r="283" customFormat="false" ht="15" hidden="false" customHeight="false" outlineLevel="0" collapsed="false">
      <c r="A283" s="40"/>
      <c r="B283" s="40"/>
      <c r="D283" s="40"/>
      <c r="F283" s="75"/>
      <c r="G283" s="75"/>
      <c r="H283" s="76"/>
      <c r="I283" s="76"/>
      <c r="J283" s="75"/>
      <c r="K283" s="75"/>
      <c r="L283" s="75"/>
      <c r="M283" s="75"/>
      <c r="N283" s="75"/>
      <c r="O283" s="77"/>
    </row>
    <row r="284" customFormat="false" ht="15" hidden="false" customHeight="false" outlineLevel="0" collapsed="false">
      <c r="A284" s="40"/>
      <c r="B284" s="40"/>
      <c r="D284" s="40"/>
      <c r="F284" s="75"/>
      <c r="G284" s="75"/>
      <c r="H284" s="76"/>
      <c r="I284" s="76"/>
      <c r="J284" s="75"/>
      <c r="K284" s="75"/>
      <c r="L284" s="75"/>
      <c r="M284" s="75"/>
      <c r="N284" s="75"/>
      <c r="O284" s="77"/>
    </row>
    <row r="285" customFormat="false" ht="15" hidden="false" customHeight="false" outlineLevel="0" collapsed="false">
      <c r="A285" s="40"/>
      <c r="B285" s="40"/>
      <c r="D285" s="40"/>
      <c r="F285" s="75"/>
      <c r="G285" s="75"/>
      <c r="H285" s="76"/>
      <c r="I285" s="76"/>
      <c r="J285" s="75"/>
      <c r="K285" s="75"/>
      <c r="L285" s="75"/>
      <c r="M285" s="75"/>
      <c r="N285" s="75"/>
      <c r="O285" s="77"/>
    </row>
    <row r="286" customFormat="false" ht="15" hidden="false" customHeight="false" outlineLevel="0" collapsed="false">
      <c r="A286" s="40"/>
      <c r="B286" s="40"/>
      <c r="D286" s="40"/>
      <c r="F286" s="75"/>
      <c r="G286" s="75"/>
      <c r="H286" s="76"/>
      <c r="I286" s="76"/>
      <c r="J286" s="75"/>
      <c r="K286" s="75"/>
      <c r="L286" s="75"/>
      <c r="M286" s="75"/>
      <c r="N286" s="75"/>
      <c r="O286" s="77"/>
    </row>
    <row r="287" customFormat="false" ht="15" hidden="false" customHeight="false" outlineLevel="0" collapsed="false">
      <c r="A287" s="40"/>
      <c r="B287" s="40"/>
      <c r="D287" s="40"/>
      <c r="F287" s="75"/>
      <c r="G287" s="75"/>
      <c r="H287" s="76"/>
      <c r="I287" s="76"/>
      <c r="J287" s="75"/>
      <c r="K287" s="75"/>
      <c r="L287" s="75"/>
      <c r="M287" s="75"/>
      <c r="N287" s="75"/>
      <c r="O287" s="77"/>
    </row>
    <row r="288" customFormat="false" ht="15" hidden="false" customHeight="false" outlineLevel="0" collapsed="false">
      <c r="A288" s="40"/>
      <c r="B288" s="40"/>
      <c r="D288" s="40"/>
      <c r="F288" s="75"/>
      <c r="G288" s="75"/>
      <c r="H288" s="76"/>
      <c r="I288" s="76"/>
      <c r="J288" s="75"/>
      <c r="K288" s="75"/>
      <c r="L288" s="75"/>
      <c r="M288" s="75"/>
      <c r="N288" s="75"/>
      <c r="O288" s="77"/>
    </row>
    <row r="289" customFormat="false" ht="15" hidden="false" customHeight="false" outlineLevel="0" collapsed="false">
      <c r="A289" s="40"/>
      <c r="B289" s="40"/>
      <c r="D289" s="40"/>
      <c r="F289" s="75"/>
      <c r="G289" s="75"/>
      <c r="H289" s="76"/>
      <c r="I289" s="76"/>
      <c r="J289" s="75"/>
      <c r="K289" s="75"/>
      <c r="L289" s="75"/>
      <c r="M289" s="75"/>
      <c r="N289" s="75"/>
      <c r="O289" s="77"/>
    </row>
  </sheetData>
  <mergeCells count="3">
    <mergeCell ref="A244:B244"/>
    <mergeCell ref="A245:B245"/>
    <mergeCell ref="A246:B24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N121"/>
  <sheetViews>
    <sheetView showFormulas="false" showGridLines="true" showRowColHeaders="true" showZeros="true" rightToLeft="false" tabSelected="false" showOutlineSymbols="true" defaultGridColor="true" view="normal" topLeftCell="A81" colorId="64" zoomScale="100" zoomScaleNormal="100" zoomScalePageLayoutView="100" workbookViewId="0">
      <selection pane="topLeft" activeCell="G100" activeCellId="0" sqref="G100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C3" s="40"/>
    </row>
    <row r="4" customFormat="false" ht="15" hidden="false" customHeight="false" outlineLevel="0" collapsed="false">
      <c r="C4" s="40" t="n">
        <v>1</v>
      </c>
      <c r="F4" s="0" t="str">
        <f aca="false">RIGHT(N4,3)</f>
        <v>001</v>
      </c>
      <c r="N4" s="1" t="s">
        <v>84</v>
      </c>
    </row>
    <row r="5" customFormat="false" ht="15" hidden="false" customHeight="false" outlineLevel="0" collapsed="false">
      <c r="C5" s="40" t="n">
        <v>2</v>
      </c>
      <c r="F5" s="0" t="str">
        <f aca="false">RIGHT(N5,3)</f>
        <v>002</v>
      </c>
      <c r="N5" s="1" t="s">
        <v>85</v>
      </c>
    </row>
    <row r="6" customFormat="false" ht="15" hidden="false" customHeight="false" outlineLevel="0" collapsed="false">
      <c r="C6" s="57" t="n">
        <v>3</v>
      </c>
      <c r="F6" s="0" t="str">
        <f aca="false">RIGHT(N6,3)</f>
        <v>003</v>
      </c>
      <c r="N6" s="1" t="s">
        <v>86</v>
      </c>
    </row>
    <row r="7" customFormat="false" ht="15" hidden="false" customHeight="false" outlineLevel="0" collapsed="false">
      <c r="C7" s="40" t="n">
        <v>4</v>
      </c>
      <c r="F7" s="0" t="str">
        <f aca="false">RIGHT(N7,3)</f>
        <v>004</v>
      </c>
      <c r="N7" s="1" t="s">
        <v>87</v>
      </c>
    </row>
    <row r="8" customFormat="false" ht="15" hidden="false" customHeight="false" outlineLevel="0" collapsed="false">
      <c r="C8" s="40" t="n">
        <v>5</v>
      </c>
      <c r="F8" s="0" t="str">
        <f aca="false">RIGHT(N8,3)</f>
        <v>005</v>
      </c>
      <c r="N8" s="1" t="s">
        <v>88</v>
      </c>
    </row>
    <row r="9" customFormat="false" ht="15" hidden="false" customHeight="false" outlineLevel="0" collapsed="false">
      <c r="C9" s="40" t="n">
        <v>6</v>
      </c>
      <c r="F9" s="0" t="str">
        <f aca="false">RIGHT(N9,3)</f>
        <v>006</v>
      </c>
      <c r="N9" s="1" t="s">
        <v>89</v>
      </c>
    </row>
    <row r="10" customFormat="false" ht="15" hidden="false" customHeight="false" outlineLevel="0" collapsed="false">
      <c r="C10" s="57" t="n">
        <v>7</v>
      </c>
      <c r="F10" s="0" t="str">
        <f aca="false">RIGHT(N10,3)</f>
        <v>007</v>
      </c>
      <c r="N10" s="1" t="s">
        <v>90</v>
      </c>
    </row>
    <row r="11" customFormat="false" ht="15" hidden="false" customHeight="false" outlineLevel="0" collapsed="false">
      <c r="C11" s="40" t="n">
        <v>8</v>
      </c>
      <c r="F11" s="0" t="str">
        <f aca="false">RIGHT(N11,3)</f>
        <v>008</v>
      </c>
      <c r="N11" s="1" t="s">
        <v>91</v>
      </c>
    </row>
    <row r="12" customFormat="false" ht="15" hidden="false" customHeight="false" outlineLevel="0" collapsed="false">
      <c r="C12" s="40" t="n">
        <v>9</v>
      </c>
      <c r="F12" s="0" t="str">
        <f aca="false">RIGHT(N12,3)</f>
        <v>009</v>
      </c>
      <c r="N12" s="1" t="s">
        <v>92</v>
      </c>
    </row>
    <row r="13" customFormat="false" ht="15" hidden="false" customHeight="false" outlineLevel="0" collapsed="false">
      <c r="C13" s="40" t="n">
        <v>10</v>
      </c>
      <c r="F13" s="0" t="str">
        <f aca="false">RIGHT(N13,3)</f>
        <v>010</v>
      </c>
      <c r="N13" s="1" t="s">
        <v>93</v>
      </c>
    </row>
    <row r="14" customFormat="false" ht="15" hidden="false" customHeight="false" outlineLevel="0" collapsed="false">
      <c r="C14" s="40" t="n">
        <v>11</v>
      </c>
      <c r="F14" s="0" t="str">
        <f aca="false">RIGHT(N14,3)</f>
        <v>011</v>
      </c>
      <c r="N14" s="1" t="s">
        <v>94</v>
      </c>
    </row>
    <row r="15" customFormat="false" ht="15" hidden="false" customHeight="false" outlineLevel="0" collapsed="false">
      <c r="C15" s="57" t="n">
        <v>12</v>
      </c>
      <c r="F15" s="0" t="str">
        <f aca="false">RIGHT(N15,3)</f>
        <v>012</v>
      </c>
      <c r="N15" s="1" t="s">
        <v>95</v>
      </c>
    </row>
    <row r="16" customFormat="false" ht="15" hidden="false" customHeight="false" outlineLevel="0" collapsed="false">
      <c r="C16" s="40" t="n">
        <v>13</v>
      </c>
      <c r="F16" s="0" t="str">
        <f aca="false">RIGHT(N16,3)</f>
        <v>013</v>
      </c>
      <c r="N16" s="1" t="s">
        <v>96</v>
      </c>
    </row>
    <row r="17" customFormat="false" ht="15" hidden="false" customHeight="false" outlineLevel="0" collapsed="false">
      <c r="C17" s="40" t="n">
        <v>14</v>
      </c>
      <c r="F17" s="0" t="str">
        <f aca="false">RIGHT(N17,3)</f>
        <v>014</v>
      </c>
      <c r="N17" s="1" t="s">
        <v>97</v>
      </c>
    </row>
    <row r="18" customFormat="false" ht="15" hidden="false" customHeight="false" outlineLevel="0" collapsed="false">
      <c r="C18" s="40" t="n">
        <v>15</v>
      </c>
      <c r="F18" s="0" t="str">
        <f aca="false">RIGHT(N18,3)</f>
        <v>015</v>
      </c>
      <c r="N18" s="1" t="s">
        <v>98</v>
      </c>
    </row>
    <row r="19" customFormat="false" ht="15" hidden="false" customHeight="false" outlineLevel="0" collapsed="false">
      <c r="C19" s="57" t="n">
        <v>16</v>
      </c>
      <c r="F19" s="0" t="str">
        <f aca="false">RIGHT(N19,3)</f>
        <v>016</v>
      </c>
      <c r="N19" s="1" t="s">
        <v>99</v>
      </c>
    </row>
    <row r="20" customFormat="false" ht="15" hidden="false" customHeight="false" outlineLevel="0" collapsed="false">
      <c r="C20" s="40" t="n">
        <v>18</v>
      </c>
      <c r="F20" s="0" t="str">
        <f aca="false">RIGHT(N20,3)</f>
        <v>018</v>
      </c>
      <c r="N20" s="1" t="s">
        <v>100</v>
      </c>
    </row>
    <row r="21" customFormat="false" ht="15" hidden="false" customHeight="false" outlineLevel="0" collapsed="false">
      <c r="C21" s="40" t="n">
        <v>19</v>
      </c>
      <c r="F21" s="0" t="str">
        <f aca="false">RIGHT(N21,3)</f>
        <v>019</v>
      </c>
      <c r="N21" s="1" t="s">
        <v>101</v>
      </c>
    </row>
    <row r="22" customFormat="false" ht="15" hidden="false" customHeight="false" outlineLevel="0" collapsed="false">
      <c r="C22" s="57" t="n">
        <v>20</v>
      </c>
      <c r="F22" s="0" t="str">
        <f aca="false">RIGHT(N22,3)</f>
        <v>020</v>
      </c>
      <c r="N22" s="1" t="s">
        <v>102</v>
      </c>
    </row>
    <row r="23" customFormat="false" ht="15" hidden="false" customHeight="false" outlineLevel="0" collapsed="false">
      <c r="C23" s="40" t="n">
        <v>22</v>
      </c>
      <c r="F23" s="0" t="str">
        <f aca="false">RIGHT(N23,3)</f>
        <v>022</v>
      </c>
      <c r="N23" s="1" t="s">
        <v>103</v>
      </c>
    </row>
    <row r="24" customFormat="false" ht="15" hidden="false" customHeight="false" outlineLevel="0" collapsed="false">
      <c r="C24" s="40" t="n">
        <v>23</v>
      </c>
      <c r="F24" s="0" t="str">
        <f aca="false">RIGHT(N24,3)</f>
        <v>023</v>
      </c>
      <c r="N24" s="1" t="s">
        <v>104</v>
      </c>
    </row>
    <row r="25" customFormat="false" ht="15" hidden="false" customHeight="false" outlineLevel="0" collapsed="false">
      <c r="C25" s="57" t="n">
        <v>24</v>
      </c>
      <c r="F25" s="0" t="str">
        <f aca="false">RIGHT(N25,3)</f>
        <v>024</v>
      </c>
      <c r="N25" s="1" t="s">
        <v>105</v>
      </c>
    </row>
    <row r="26" customFormat="false" ht="15" hidden="false" customHeight="false" outlineLevel="0" collapsed="false">
      <c r="C26" s="40" t="n">
        <v>25</v>
      </c>
      <c r="F26" s="0" t="str">
        <f aca="false">RIGHT(N26,3)</f>
        <v>025</v>
      </c>
      <c r="N26" s="1" t="s">
        <v>106</v>
      </c>
    </row>
    <row r="27" customFormat="false" ht="15" hidden="false" customHeight="false" outlineLevel="0" collapsed="false">
      <c r="C27" s="40" t="n">
        <v>26</v>
      </c>
      <c r="F27" s="0" t="str">
        <f aca="false">RIGHT(N27,3)</f>
        <v>026</v>
      </c>
      <c r="N27" s="1" t="s">
        <v>107</v>
      </c>
    </row>
    <row r="28" customFormat="false" ht="15" hidden="false" customHeight="false" outlineLevel="0" collapsed="false">
      <c r="C28" s="40" t="n">
        <v>27</v>
      </c>
      <c r="F28" s="0" t="str">
        <f aca="false">RIGHT(N28,3)</f>
        <v>027</v>
      </c>
      <c r="N28" s="1" t="s">
        <v>108</v>
      </c>
    </row>
    <row r="29" customFormat="false" ht="15" hidden="false" customHeight="false" outlineLevel="0" collapsed="false">
      <c r="C29" s="40" t="n">
        <v>28</v>
      </c>
      <c r="F29" s="0" t="str">
        <f aca="false">RIGHT(N29,3)</f>
        <v>028</v>
      </c>
      <c r="N29" s="1" t="s">
        <v>109</v>
      </c>
    </row>
    <row r="30" customFormat="false" ht="15" hidden="false" customHeight="false" outlineLevel="0" collapsed="false">
      <c r="C30" s="40" t="n">
        <v>30</v>
      </c>
      <c r="F30" s="0" t="str">
        <f aca="false">RIGHT(N30,3)</f>
        <v>030</v>
      </c>
      <c r="N30" s="1" t="s">
        <v>110</v>
      </c>
    </row>
    <row r="31" customFormat="false" ht="15" hidden="false" customHeight="false" outlineLevel="0" collapsed="false">
      <c r="C31" s="40" t="n">
        <v>31</v>
      </c>
      <c r="F31" s="0" t="str">
        <f aca="false">RIGHT(N31,3)</f>
        <v>031</v>
      </c>
      <c r="N31" s="1" t="s">
        <v>111</v>
      </c>
    </row>
    <row r="32" customFormat="false" ht="15" hidden="false" customHeight="false" outlineLevel="0" collapsed="false">
      <c r="C32" s="40" t="n">
        <v>32</v>
      </c>
      <c r="F32" s="0" t="str">
        <f aca="false">RIGHT(N32,3)</f>
        <v>032</v>
      </c>
      <c r="N32" s="1" t="s">
        <v>112</v>
      </c>
    </row>
    <row r="33" customFormat="false" ht="15" hidden="false" customHeight="false" outlineLevel="0" collapsed="false">
      <c r="C33" s="40" t="n">
        <v>34</v>
      </c>
      <c r="F33" s="0" t="str">
        <f aca="false">RIGHT(N33,3)</f>
        <v>034</v>
      </c>
      <c r="N33" s="1" t="s">
        <v>113</v>
      </c>
    </row>
    <row r="34" customFormat="false" ht="15" hidden="false" customHeight="false" outlineLevel="0" collapsed="false">
      <c r="C34" s="40" t="n">
        <v>35</v>
      </c>
      <c r="F34" s="0" t="str">
        <f aca="false">RIGHT(N34,3)</f>
        <v>035</v>
      </c>
      <c r="N34" s="1" t="s">
        <v>114</v>
      </c>
    </row>
    <row r="35" customFormat="false" ht="15" hidden="false" customHeight="false" outlineLevel="0" collapsed="false">
      <c r="C35" s="57" t="n">
        <v>36</v>
      </c>
      <c r="F35" s="0" t="str">
        <f aca="false">RIGHT(N35,3)</f>
        <v>036</v>
      </c>
      <c r="N35" s="1" t="s">
        <v>115</v>
      </c>
    </row>
    <row r="36" customFormat="false" ht="15" hidden="false" customHeight="false" outlineLevel="0" collapsed="false">
      <c r="C36" s="40" t="n">
        <v>38</v>
      </c>
      <c r="F36" s="0" t="str">
        <f aca="false">RIGHT(N36,3)</f>
        <v>038</v>
      </c>
      <c r="N36" s="1" t="s">
        <v>116</v>
      </c>
    </row>
    <row r="37" customFormat="false" ht="15" hidden="false" customHeight="false" outlineLevel="0" collapsed="false">
      <c r="C37" s="40" t="n">
        <v>39</v>
      </c>
      <c r="F37" s="0" t="str">
        <f aca="false">RIGHT(N37,3)</f>
        <v>039</v>
      </c>
      <c r="N37" s="1" t="s">
        <v>117</v>
      </c>
    </row>
    <row r="38" customFormat="false" ht="15" hidden="false" customHeight="false" outlineLevel="0" collapsed="false">
      <c r="C38" s="78" t="n">
        <v>40</v>
      </c>
      <c r="F38" s="0" t="str">
        <f aca="false">RIGHT(N38,3)</f>
        <v>040</v>
      </c>
      <c r="N38" s="1" t="s">
        <v>118</v>
      </c>
    </row>
    <row r="39" customFormat="false" ht="15" hidden="false" customHeight="false" outlineLevel="0" collapsed="false">
      <c r="C39" s="40" t="n">
        <v>42</v>
      </c>
      <c r="F39" s="0" t="str">
        <f aca="false">RIGHT(N39,3)</f>
        <v>042</v>
      </c>
      <c r="N39" s="1" t="s">
        <v>119</v>
      </c>
    </row>
    <row r="40" customFormat="false" ht="15" hidden="false" customHeight="false" outlineLevel="0" collapsed="false">
      <c r="C40" s="40" t="n">
        <v>43</v>
      </c>
      <c r="F40" s="0" t="str">
        <f aca="false">RIGHT(N40,3)</f>
        <v>043</v>
      </c>
      <c r="N40" s="1" t="s">
        <v>120</v>
      </c>
    </row>
    <row r="41" customFormat="false" ht="15" hidden="false" customHeight="false" outlineLevel="0" collapsed="false">
      <c r="C41" s="78" t="n">
        <v>44</v>
      </c>
      <c r="F41" s="0" t="str">
        <f aca="false">RIGHT(N41,3)</f>
        <v>044</v>
      </c>
      <c r="N41" s="1" t="s">
        <v>121</v>
      </c>
    </row>
    <row r="42" customFormat="false" ht="15" hidden="false" customHeight="false" outlineLevel="0" collapsed="false">
      <c r="C42" s="40" t="n">
        <v>46</v>
      </c>
      <c r="F42" s="0" t="str">
        <f aca="false">RIGHT(N42,3)</f>
        <v>046</v>
      </c>
      <c r="N42" s="1" t="s">
        <v>122</v>
      </c>
    </row>
    <row r="43" customFormat="false" ht="15" hidden="false" customHeight="false" outlineLevel="0" collapsed="false">
      <c r="C43" s="40" t="n">
        <v>47</v>
      </c>
      <c r="F43" s="0" t="str">
        <f aca="false">RIGHT(N43,3)</f>
        <v>047</v>
      </c>
      <c r="N43" s="1" t="s">
        <v>123</v>
      </c>
    </row>
    <row r="44" customFormat="false" ht="15" hidden="false" customHeight="false" outlineLevel="0" collapsed="false">
      <c r="C44" s="40" t="n">
        <v>48</v>
      </c>
      <c r="F44" s="0" t="str">
        <f aca="false">RIGHT(N44,3)</f>
        <v>048</v>
      </c>
      <c r="N44" s="1" t="s">
        <v>124</v>
      </c>
    </row>
    <row r="45" customFormat="false" ht="15" hidden="false" customHeight="false" outlineLevel="0" collapsed="false">
      <c r="C45" s="40" t="n">
        <v>51</v>
      </c>
      <c r="F45" s="0" t="str">
        <f aca="false">RIGHT(N45,3)</f>
        <v>051</v>
      </c>
      <c r="N45" s="1" t="s">
        <v>125</v>
      </c>
    </row>
    <row r="46" customFormat="false" ht="16.5" hidden="false" customHeight="true" outlineLevel="0" collapsed="false">
      <c r="C46" s="39" t="n">
        <v>54</v>
      </c>
      <c r="F46" s="0" t="str">
        <f aca="false">RIGHT(N46,3)</f>
        <v>054</v>
      </c>
      <c r="N46" s="1" t="s">
        <v>126</v>
      </c>
    </row>
    <row r="47" customFormat="false" ht="16.5" hidden="false" customHeight="true" outlineLevel="0" collapsed="false">
      <c r="C47" s="39" t="n">
        <v>55</v>
      </c>
      <c r="F47" s="0" t="str">
        <f aca="false">RIGHT(N47,3)</f>
        <v>055</v>
      </c>
      <c r="N47" s="1" t="s">
        <v>127</v>
      </c>
    </row>
    <row r="48" customFormat="false" ht="16.5" hidden="false" customHeight="true" outlineLevel="0" collapsed="false">
      <c r="C48" s="39" t="n">
        <v>58</v>
      </c>
      <c r="F48" s="0" t="str">
        <f aca="false">RIGHT(N48,3)</f>
        <v>058</v>
      </c>
      <c r="N48" s="1" t="s">
        <v>128</v>
      </c>
    </row>
    <row r="49" customFormat="false" ht="16.5" hidden="false" customHeight="true" outlineLevel="0" collapsed="false">
      <c r="C49" s="39" t="n">
        <v>59</v>
      </c>
      <c r="F49" s="0" t="str">
        <f aca="false">RIGHT(N49,3)</f>
        <v>059</v>
      </c>
      <c r="N49" s="1" t="s">
        <v>129</v>
      </c>
    </row>
    <row r="50" customFormat="false" ht="16.5" hidden="false" customHeight="true" outlineLevel="0" collapsed="false">
      <c r="C50" s="39" t="n">
        <v>63</v>
      </c>
      <c r="F50" s="0" t="str">
        <f aca="false">RIGHT(N50,3)</f>
        <v>063</v>
      </c>
      <c r="N50" s="1" t="s">
        <v>130</v>
      </c>
    </row>
    <row r="51" customFormat="false" ht="16.5" hidden="false" customHeight="true" outlineLevel="0" collapsed="false">
      <c r="C51" s="39" t="n">
        <v>66</v>
      </c>
      <c r="F51" s="0" t="str">
        <f aca="false">RIGHT(N51,3)</f>
        <v>066</v>
      </c>
      <c r="N51" s="1" t="s">
        <v>131</v>
      </c>
    </row>
    <row r="52" customFormat="false" ht="16.5" hidden="false" customHeight="true" outlineLevel="0" collapsed="false">
      <c r="C52" s="39" t="n">
        <v>67</v>
      </c>
      <c r="F52" s="0" t="str">
        <f aca="false">RIGHT(N52,3)</f>
        <v>067</v>
      </c>
      <c r="N52" s="1" t="s">
        <v>132</v>
      </c>
    </row>
    <row r="53" customFormat="false" ht="16.5" hidden="false" customHeight="true" outlineLevel="0" collapsed="false">
      <c r="C53" s="39" t="n">
        <v>70</v>
      </c>
      <c r="F53" s="0" t="str">
        <f aca="false">RIGHT(N53,3)</f>
        <v>070</v>
      </c>
      <c r="N53" s="1" t="s">
        <v>133</v>
      </c>
    </row>
    <row r="54" customFormat="false" ht="16.5" hidden="false" customHeight="true" outlineLevel="0" collapsed="false">
      <c r="C54" s="39" t="n">
        <v>71</v>
      </c>
      <c r="F54" s="0" t="str">
        <f aca="false">RIGHT(N54,3)</f>
        <v>071</v>
      </c>
      <c r="N54" s="1" t="s">
        <v>134</v>
      </c>
    </row>
    <row r="55" customFormat="false" ht="16.5" hidden="false" customHeight="true" outlineLevel="0" collapsed="false">
      <c r="C55" s="39" t="n">
        <v>74</v>
      </c>
      <c r="F55" s="0" t="str">
        <f aca="false">RIGHT(N55,3)</f>
        <v>074</v>
      </c>
      <c r="N55" s="1" t="s">
        <v>135</v>
      </c>
    </row>
    <row r="56" customFormat="false" ht="15" hidden="false" customHeight="false" outlineLevel="0" collapsed="false">
      <c r="C56" s="40" t="n">
        <v>78</v>
      </c>
      <c r="F56" s="0" t="str">
        <f aca="false">RIGHT(N56,3)</f>
        <v>078</v>
      </c>
      <c r="N56" s="1" t="s">
        <v>136</v>
      </c>
    </row>
    <row r="57" customFormat="false" ht="15" hidden="false" customHeight="false" outlineLevel="0" collapsed="false">
      <c r="C57" s="40" t="n">
        <v>79</v>
      </c>
      <c r="F57" s="0" t="str">
        <f aca="false">RIGHT(N57,3)</f>
        <v>079</v>
      </c>
      <c r="N57" s="1" t="s">
        <v>137</v>
      </c>
    </row>
    <row r="58" customFormat="false" ht="15" hidden="false" customHeight="false" outlineLevel="0" collapsed="false">
      <c r="C58" s="40" t="n">
        <v>82</v>
      </c>
      <c r="F58" s="0" t="str">
        <f aca="false">RIGHT(N58,3)</f>
        <v>082</v>
      </c>
      <c r="N58" s="1" t="s">
        <v>138</v>
      </c>
    </row>
    <row r="59" customFormat="false" ht="15" hidden="false" customHeight="false" outlineLevel="0" collapsed="false">
      <c r="C59" s="40" t="n">
        <v>83</v>
      </c>
      <c r="F59" s="0" t="str">
        <f aca="false">RIGHT(N59,3)</f>
        <v>083</v>
      </c>
      <c r="N59" s="1" t="s">
        <v>139</v>
      </c>
    </row>
    <row r="60" customFormat="false" ht="15" hidden="false" customHeight="false" outlineLevel="0" collapsed="false">
      <c r="C60" s="40" t="n">
        <v>86</v>
      </c>
      <c r="F60" s="0" t="str">
        <f aca="false">RIGHT(N60,3)</f>
        <v>086</v>
      </c>
      <c r="N60" s="1" t="s">
        <v>140</v>
      </c>
    </row>
    <row r="61" customFormat="false" ht="15" hidden="false" customHeight="false" outlineLevel="0" collapsed="false">
      <c r="C61" s="40" t="n">
        <v>87</v>
      </c>
      <c r="F61" s="0" t="str">
        <f aca="false">RIGHT(N61,3)</f>
        <v>087</v>
      </c>
      <c r="N61" s="1" t="s">
        <v>141</v>
      </c>
    </row>
    <row r="62" customFormat="false" ht="15" hidden="false" customHeight="false" outlineLevel="0" collapsed="false">
      <c r="C62" s="40" t="n">
        <v>88</v>
      </c>
      <c r="F62" s="0" t="str">
        <f aca="false">RIGHT(N62,3)</f>
        <v>088</v>
      </c>
      <c r="N62" s="1" t="s">
        <v>142</v>
      </c>
    </row>
    <row r="63" customFormat="false" ht="15" hidden="false" customHeight="false" outlineLevel="0" collapsed="false">
      <c r="C63" s="40" t="n">
        <v>90</v>
      </c>
      <c r="F63" s="0" t="str">
        <f aca="false">RIGHT(N63,3)</f>
        <v>090</v>
      </c>
      <c r="N63" s="1" t="s">
        <v>143</v>
      </c>
    </row>
    <row r="64" customFormat="false" ht="15" hidden="false" customHeight="false" outlineLevel="0" collapsed="false">
      <c r="C64" s="40" t="n">
        <v>91</v>
      </c>
      <c r="F64" s="0" t="str">
        <f aca="false">RIGHT(N64,3)</f>
        <v>091</v>
      </c>
      <c r="N64" s="1" t="s">
        <v>144</v>
      </c>
    </row>
    <row r="65" customFormat="false" ht="15" hidden="false" customHeight="false" outlineLevel="0" collapsed="false">
      <c r="C65" s="40" t="n">
        <v>92</v>
      </c>
      <c r="F65" s="0" t="str">
        <f aca="false">RIGHT(N65,3)</f>
        <v>092</v>
      </c>
      <c r="N65" s="1" t="s">
        <v>145</v>
      </c>
    </row>
    <row r="66" customFormat="false" ht="15" hidden="false" customHeight="false" outlineLevel="0" collapsed="false">
      <c r="C66" s="40" t="n">
        <v>93</v>
      </c>
      <c r="F66" s="0" t="str">
        <f aca="false">RIGHT(N66,3)</f>
        <v>093</v>
      </c>
      <c r="N66" s="1" t="s">
        <v>146</v>
      </c>
    </row>
    <row r="67" customFormat="false" ht="15" hidden="false" customHeight="false" outlineLevel="0" collapsed="false">
      <c r="C67" s="40" t="n">
        <v>94</v>
      </c>
      <c r="F67" s="0" t="str">
        <f aca="false">RIGHT(N67,3)</f>
        <v>094</v>
      </c>
      <c r="N67" s="1" t="s">
        <v>147</v>
      </c>
    </row>
    <row r="68" customFormat="false" ht="15" hidden="false" customHeight="false" outlineLevel="0" collapsed="false">
      <c r="C68" s="40" t="n">
        <v>95</v>
      </c>
      <c r="F68" s="0" t="str">
        <f aca="false">RIGHT(N68,3)</f>
        <v>095</v>
      </c>
      <c r="N68" s="1" t="s">
        <v>148</v>
      </c>
    </row>
    <row r="69" customFormat="false" ht="15" hidden="false" customHeight="false" outlineLevel="0" collapsed="false">
      <c r="C69" s="40" t="n">
        <v>96</v>
      </c>
      <c r="F69" s="0" t="str">
        <f aca="false">RIGHT(N69,3)</f>
        <v>096</v>
      </c>
      <c r="N69" s="1" t="s">
        <v>149</v>
      </c>
    </row>
    <row r="70" customFormat="false" ht="15" hidden="false" customHeight="false" outlineLevel="0" collapsed="false">
      <c r="C70" s="40" t="n">
        <v>97</v>
      </c>
      <c r="F70" s="0" t="str">
        <f aca="false">RIGHT(N70,3)</f>
        <v>097</v>
      </c>
      <c r="N70" s="1" t="s">
        <v>150</v>
      </c>
    </row>
    <row r="71" customFormat="false" ht="15" hidden="false" customHeight="false" outlineLevel="0" collapsed="false">
      <c r="C71" s="40" t="n">
        <v>98</v>
      </c>
      <c r="F71" s="0" t="str">
        <f aca="false">RIGHT(N71,3)</f>
        <v>098</v>
      </c>
      <c r="N71" s="1" t="s">
        <v>151</v>
      </c>
    </row>
    <row r="72" customFormat="false" ht="15" hidden="false" customHeight="false" outlineLevel="0" collapsed="false">
      <c r="C72" s="40" t="n">
        <v>99</v>
      </c>
      <c r="F72" s="0" t="str">
        <f aca="false">RIGHT(N72,3)</f>
        <v>099</v>
      </c>
      <c r="N72" s="1" t="s">
        <v>152</v>
      </c>
    </row>
    <row r="73" customFormat="false" ht="15" hidden="false" customHeight="false" outlineLevel="0" collapsed="false">
      <c r="C73" s="40" t="n">
        <v>100</v>
      </c>
      <c r="F73" s="0" t="str">
        <f aca="false">RIGHT(N73,3)</f>
        <v>100</v>
      </c>
      <c r="N73" s="1" t="s">
        <v>153</v>
      </c>
    </row>
    <row r="74" customFormat="false" ht="15" hidden="false" customHeight="false" outlineLevel="0" collapsed="false">
      <c r="C74" s="40" t="n">
        <v>101</v>
      </c>
      <c r="F74" s="0" t="str">
        <f aca="false">RIGHT(N74,3)</f>
        <v>101</v>
      </c>
      <c r="N74" s="1" t="s">
        <v>154</v>
      </c>
    </row>
    <row r="75" customFormat="false" ht="15" hidden="false" customHeight="false" outlineLevel="0" collapsed="false">
      <c r="C75" s="53" t="n">
        <v>102</v>
      </c>
      <c r="F75" s="0" t="str">
        <f aca="false">RIGHT(N75,3)</f>
        <v>102</v>
      </c>
      <c r="N75" s="1" t="s">
        <v>155</v>
      </c>
    </row>
    <row r="76" customFormat="false" ht="15" hidden="false" customHeight="false" outlineLevel="0" collapsed="false">
      <c r="C76" s="40" t="n">
        <v>103</v>
      </c>
      <c r="F76" s="0" t="str">
        <f aca="false">RIGHT(N76,3)</f>
        <v>103</v>
      </c>
      <c r="N76" s="1" t="s">
        <v>156</v>
      </c>
    </row>
    <row r="77" customFormat="false" ht="15" hidden="false" customHeight="false" outlineLevel="0" collapsed="false">
      <c r="C77" s="40" t="n">
        <v>104</v>
      </c>
      <c r="F77" s="0" t="str">
        <f aca="false">RIGHT(N77,3)</f>
        <v>104</v>
      </c>
      <c r="N77" s="1" t="s">
        <v>157</v>
      </c>
    </row>
    <row r="78" customFormat="false" ht="15" hidden="false" customHeight="false" outlineLevel="0" collapsed="false">
      <c r="C78" s="57" t="n">
        <v>105</v>
      </c>
      <c r="F78" s="0" t="str">
        <f aca="false">RIGHT(N78,3)</f>
        <v>105</v>
      </c>
      <c r="N78" s="1" t="s">
        <v>158</v>
      </c>
    </row>
    <row r="79" customFormat="false" ht="15" hidden="false" customHeight="false" outlineLevel="0" collapsed="false">
      <c r="C79" s="40" t="n">
        <v>106</v>
      </c>
      <c r="F79" s="0" t="str">
        <f aca="false">RIGHT(N79,3)</f>
        <v>106</v>
      </c>
      <c r="N79" s="1" t="s">
        <v>159</v>
      </c>
    </row>
    <row r="80" customFormat="false" ht="15" hidden="false" customHeight="false" outlineLevel="0" collapsed="false">
      <c r="C80" s="40" t="n">
        <v>107</v>
      </c>
      <c r="F80" s="0" t="str">
        <f aca="false">RIGHT(N80,3)</f>
        <v>107</v>
      </c>
      <c r="N80" s="1" t="s">
        <v>160</v>
      </c>
    </row>
    <row r="81" customFormat="false" ht="15" hidden="false" customHeight="false" outlineLevel="0" collapsed="false">
      <c r="C81" s="40" t="n">
        <v>108</v>
      </c>
      <c r="F81" s="0" t="str">
        <f aca="false">RIGHT(N81,3)</f>
        <v>108</v>
      </c>
      <c r="N81" s="1" t="s">
        <v>161</v>
      </c>
    </row>
    <row r="82" customFormat="false" ht="15" hidden="false" customHeight="false" outlineLevel="0" collapsed="false">
      <c r="C82" s="40" t="n">
        <v>114</v>
      </c>
      <c r="F82" s="0" t="str">
        <f aca="false">RIGHT(N82,3)</f>
        <v>114</v>
      </c>
      <c r="N82" s="1" t="s">
        <v>162</v>
      </c>
    </row>
    <row r="83" customFormat="false" ht="15" hidden="false" customHeight="false" outlineLevel="0" collapsed="false">
      <c r="C83" s="40" t="n">
        <v>115</v>
      </c>
      <c r="F83" s="0" t="str">
        <f aca="false">RIGHT(N83,3)</f>
        <v>115</v>
      </c>
      <c r="N83" s="1" t="s">
        <v>163</v>
      </c>
    </row>
    <row r="84" customFormat="false" ht="15" hidden="false" customHeight="false" outlineLevel="0" collapsed="false">
      <c r="C84" s="78" t="n">
        <v>116</v>
      </c>
      <c r="F84" s="0" t="str">
        <f aca="false">RIGHT(N84,3)</f>
        <v>116</v>
      </c>
      <c r="N84" s="1" t="s">
        <v>164</v>
      </c>
    </row>
    <row r="85" customFormat="false" ht="15" hidden="false" customHeight="false" outlineLevel="0" collapsed="false">
      <c r="C85" s="40" t="n">
        <v>118</v>
      </c>
      <c r="F85" s="0" t="str">
        <f aca="false">RIGHT(N85,3)</f>
        <v>118</v>
      </c>
      <c r="N85" s="1" t="s">
        <v>165</v>
      </c>
    </row>
    <row r="86" customFormat="false" ht="15" hidden="false" customHeight="false" outlineLevel="0" collapsed="false">
      <c r="C86" s="40" t="n">
        <v>137</v>
      </c>
      <c r="F86" s="0" t="str">
        <f aca="false">RIGHT(N86,3)</f>
        <v>137</v>
      </c>
      <c r="N86" s="1" t="s">
        <v>166</v>
      </c>
    </row>
    <row r="87" customFormat="false" ht="15" hidden="false" customHeight="false" outlineLevel="0" collapsed="false">
      <c r="C87" s="40" t="n">
        <v>141</v>
      </c>
      <c r="F87" s="0" t="str">
        <f aca="false">RIGHT(N87,3)</f>
        <v>141</v>
      </c>
      <c r="N87" s="1" t="s">
        <v>167</v>
      </c>
    </row>
    <row r="88" customFormat="false" ht="15" hidden="false" customHeight="false" outlineLevel="0" collapsed="false">
      <c r="C88" s="40" t="n">
        <v>145</v>
      </c>
      <c r="F88" s="0" t="str">
        <f aca="false">RIGHT(N88,3)</f>
        <v>145</v>
      </c>
      <c r="N88" s="1" t="s">
        <v>168</v>
      </c>
    </row>
    <row r="89" customFormat="false" ht="15" hidden="false" customHeight="false" outlineLevel="0" collapsed="false">
      <c r="C89" s="40" t="n">
        <v>151</v>
      </c>
      <c r="F89" s="0" t="str">
        <f aca="false">RIGHT(N89,3)</f>
        <v>151</v>
      </c>
      <c r="N89" s="1" t="s">
        <v>169</v>
      </c>
    </row>
    <row r="90" customFormat="false" ht="15" hidden="false" customHeight="false" outlineLevel="0" collapsed="false">
      <c r="C90" s="40" t="n">
        <v>154</v>
      </c>
      <c r="F90" s="0" t="str">
        <f aca="false">RIGHT(N90,3)</f>
        <v>154</v>
      </c>
      <c r="N90" s="1" t="s">
        <v>170</v>
      </c>
    </row>
    <row r="91" customFormat="false" ht="15" hidden="false" customHeight="false" outlineLevel="0" collapsed="false">
      <c r="C91" s="40" t="n">
        <v>159</v>
      </c>
      <c r="F91" s="0" t="str">
        <f aca="false">RIGHT(N91,3)</f>
        <v>159</v>
      </c>
      <c r="N91" s="1" t="s">
        <v>171</v>
      </c>
    </row>
    <row r="92" customFormat="false" ht="15" hidden="false" customHeight="false" outlineLevel="0" collapsed="false">
      <c r="C92" s="40" t="n">
        <v>161</v>
      </c>
      <c r="F92" s="0" t="str">
        <f aca="false">RIGHT(N92,3)</f>
        <v>161</v>
      </c>
      <c r="N92" s="1" t="s">
        <v>172</v>
      </c>
    </row>
    <row r="93" customFormat="false" ht="16.5" hidden="false" customHeight="true" outlineLevel="0" collapsed="false">
      <c r="C93" s="39" t="n">
        <v>162</v>
      </c>
      <c r="F93" s="0" t="str">
        <f aca="false">RIGHT(N93,3)</f>
        <v>162</v>
      </c>
      <c r="N93" s="1" t="s">
        <v>173</v>
      </c>
    </row>
    <row r="94" customFormat="false" ht="15" hidden="false" customHeight="false" outlineLevel="0" collapsed="false">
      <c r="C94" s="40" t="n">
        <v>163</v>
      </c>
      <c r="F94" s="0" t="str">
        <f aca="false">RIGHT(N94,3)</f>
        <v>163</v>
      </c>
      <c r="N94" s="1" t="s">
        <v>174</v>
      </c>
    </row>
    <row r="95" customFormat="false" ht="16.5" hidden="false" customHeight="true" outlineLevel="0" collapsed="false">
      <c r="C95" s="39" t="n">
        <v>164</v>
      </c>
      <c r="F95" s="0" t="str">
        <f aca="false">RIGHT(N95,3)</f>
        <v>164</v>
      </c>
      <c r="N95" s="1" t="s">
        <v>175</v>
      </c>
    </row>
    <row r="96" customFormat="false" ht="15" hidden="false" customHeight="false" outlineLevel="0" collapsed="false">
      <c r="C96" s="40" t="n">
        <v>165</v>
      </c>
      <c r="F96" s="0" t="str">
        <f aca="false">RIGHT(N96,3)</f>
        <v>165</v>
      </c>
      <c r="N96" s="1" t="s">
        <v>176</v>
      </c>
    </row>
    <row r="97" customFormat="false" ht="16.5" hidden="false" customHeight="true" outlineLevel="0" collapsed="false">
      <c r="C97" s="39" t="n">
        <v>167</v>
      </c>
      <c r="F97" s="0" t="str">
        <f aca="false">RIGHT(N97,3)</f>
        <v>167</v>
      </c>
      <c r="N97" s="1" t="s">
        <v>177</v>
      </c>
    </row>
    <row r="98" customFormat="false" ht="15" hidden="false" customHeight="false" outlineLevel="0" collapsed="false">
      <c r="C98" s="78" t="n">
        <v>169</v>
      </c>
      <c r="F98" s="0" t="str">
        <f aca="false">RIGHT(N98,3)</f>
        <v>169</v>
      </c>
      <c r="N98" s="1" t="s">
        <v>178</v>
      </c>
    </row>
    <row r="99" customFormat="false" ht="16.5" hidden="false" customHeight="true" outlineLevel="0" collapsed="false">
      <c r="C99" s="39" t="n">
        <v>171</v>
      </c>
      <c r="F99" s="0" t="str">
        <f aca="false">RIGHT(N99,3)</f>
        <v>171</v>
      </c>
      <c r="N99" s="1" t="s">
        <v>179</v>
      </c>
    </row>
    <row r="100" customFormat="false" ht="16.5" hidden="false" customHeight="true" outlineLevel="0" collapsed="false">
      <c r="C100" s="39" t="n">
        <v>173</v>
      </c>
      <c r="F100" s="0" t="str">
        <f aca="false">RIGHT(N100,3)</f>
        <v>173</v>
      </c>
      <c r="N100" s="1" t="s">
        <v>180</v>
      </c>
    </row>
    <row r="101" customFormat="false" ht="15" hidden="false" customHeight="false" outlineLevel="0" collapsed="false">
      <c r="C101" s="40" t="n">
        <v>185</v>
      </c>
      <c r="F101" s="0" t="str">
        <f aca="false">RIGHT(N101,3)</f>
        <v>185</v>
      </c>
      <c r="N101" s="1" t="s">
        <v>181</v>
      </c>
    </row>
    <row r="102" customFormat="false" ht="16.5" hidden="false" customHeight="true" outlineLevel="0" collapsed="false">
      <c r="C102" s="39" t="n">
        <v>186</v>
      </c>
      <c r="F102" s="0" t="str">
        <f aca="false">RIGHT(N102,3)</f>
        <v>186</v>
      </c>
      <c r="N102" s="1" t="s">
        <v>182</v>
      </c>
    </row>
    <row r="103" customFormat="false" ht="16.5" hidden="false" customHeight="true" outlineLevel="0" collapsed="false">
      <c r="C103" s="39" t="n">
        <v>187</v>
      </c>
      <c r="F103" s="0" t="str">
        <f aca="false">RIGHT(N103,3)</f>
        <v>187</v>
      </c>
      <c r="N103" s="1" t="s">
        <v>183</v>
      </c>
    </row>
    <row r="104" customFormat="false" ht="16.5" hidden="false" customHeight="true" outlineLevel="0" collapsed="false">
      <c r="C104" s="39" t="n">
        <v>189</v>
      </c>
      <c r="F104" s="0" t="str">
        <f aca="false">RIGHT(N104,3)</f>
        <v>189</v>
      </c>
      <c r="N104" s="1" t="s">
        <v>184</v>
      </c>
    </row>
    <row r="105" customFormat="false" ht="16.5" hidden="false" customHeight="true" outlineLevel="0" collapsed="false">
      <c r="C105" s="39" t="n">
        <v>191</v>
      </c>
      <c r="F105" s="0" t="str">
        <f aca="false">RIGHT(N105,3)</f>
        <v>191</v>
      </c>
      <c r="N105" s="1" t="s">
        <v>185</v>
      </c>
    </row>
    <row r="106" customFormat="false" ht="16.5" hidden="false" customHeight="true" outlineLevel="0" collapsed="false">
      <c r="C106" s="39" t="n">
        <v>193</v>
      </c>
      <c r="F106" s="0" t="str">
        <f aca="false">RIGHT(N106,3)</f>
        <v>193</v>
      </c>
      <c r="N106" s="1" t="s">
        <v>186</v>
      </c>
    </row>
    <row r="107" customFormat="false" ht="16.5" hidden="false" customHeight="true" outlineLevel="0" collapsed="false">
      <c r="C107" s="39" t="n">
        <v>195</v>
      </c>
      <c r="F107" s="0" t="str">
        <f aca="false">RIGHT(N107,3)</f>
        <v>195</v>
      </c>
      <c r="N107" s="1" t="s">
        <v>187</v>
      </c>
    </row>
    <row r="108" customFormat="false" ht="16.5" hidden="false" customHeight="true" outlineLevel="0" collapsed="false">
      <c r="C108" s="39" t="n">
        <v>197</v>
      </c>
      <c r="F108" s="0" t="str">
        <f aca="false">RIGHT(N108,3)</f>
        <v>197</v>
      </c>
      <c r="N108" s="1" t="s">
        <v>188</v>
      </c>
    </row>
    <row r="109" customFormat="false" ht="15" hidden="false" customHeight="false" outlineLevel="0" collapsed="false">
      <c r="C109" s="40"/>
    </row>
    <row r="110" customFormat="false" ht="15" hidden="false" customHeight="false" outlineLevel="0" collapsed="false">
      <c r="C110" s="48"/>
    </row>
    <row r="111" customFormat="false" ht="15" hidden="false" customHeight="false" outlineLevel="0" collapsed="false">
      <c r="C111" s="48"/>
    </row>
    <row r="112" customFormat="false" ht="15" hidden="false" customHeight="false" outlineLevel="0" collapsed="false">
      <c r="C112" s="40"/>
    </row>
    <row r="113" customFormat="false" ht="15" hidden="false" customHeight="false" outlineLevel="0" collapsed="false">
      <c r="C113" s="48"/>
    </row>
    <row r="114" customFormat="false" ht="15" hidden="false" customHeight="false" outlineLevel="0" collapsed="false">
      <c r="C114" s="48"/>
    </row>
    <row r="115" customFormat="false" ht="15" hidden="false" customHeight="false" outlineLevel="0" collapsed="false">
      <c r="C115" s="40"/>
    </row>
    <row r="116" customFormat="false" ht="15" hidden="false" customHeight="false" outlineLevel="0" collapsed="false">
      <c r="C116" s="40"/>
    </row>
    <row r="117" customFormat="false" ht="15" hidden="false" customHeight="false" outlineLevel="0" collapsed="false">
      <c r="C117" s="40"/>
    </row>
    <row r="118" customFormat="false" ht="15" hidden="false" customHeight="false" outlineLevel="0" collapsed="false">
      <c r="C118" s="48"/>
    </row>
    <row r="119" customFormat="false" ht="15" hidden="false" customHeight="false" outlineLevel="0" collapsed="false">
      <c r="C119" s="48"/>
    </row>
    <row r="120" customFormat="false" ht="15" hidden="false" customHeight="false" outlineLevel="0" collapsed="false">
      <c r="C120" s="40"/>
    </row>
    <row r="121" customFormat="false" ht="15" hidden="false" customHeight="false" outlineLevel="0" collapsed="false">
      <c r="C121" s="40"/>
    </row>
  </sheetData>
  <autoFilter ref="C3:C121">
    <sortState ref="C4:C121">
      <sortCondition ref="A4:A121" customList=""/>
    </sortState>
  </autoFilter>
  <conditionalFormatting sqref="C1:F2 C3:E9 C10:C23 C24:E108 C109:F1048576 D10:E11 E12:E23 F4:F108">
    <cfRule type="duplicateValues" priority="2" aboveAverage="0" equalAverage="0" bottom="0" percent="0" rank="0" text="" dxfId="4"/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573"/>
    <pageSetUpPr fitToPage="false"/>
  </sheetPr>
  <dimension ref="A1:B225"/>
  <sheetViews>
    <sheetView showFormulas="false" showGridLines="true" showRowColHeaders="true" showZeros="true" rightToLeft="false" tabSelected="false" showOutlineSymbols="true" defaultGridColor="true" view="normal" topLeftCell="A148" colorId="64" zoomScale="100" zoomScaleNormal="100" zoomScalePageLayoutView="100" workbookViewId="0">
      <selection pane="topLeft" activeCell="D34" activeCellId="0" sqref="D34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16.43"/>
  </cols>
  <sheetData>
    <row r="1" customFormat="false" ht="15" hidden="false" customHeight="false" outlineLevel="0" collapsed="false">
      <c r="A1" s="79" t="s">
        <v>189</v>
      </c>
      <c r="B1" s="79" t="s">
        <v>190</v>
      </c>
    </row>
    <row r="2" customFormat="false" ht="15" hidden="false" customHeight="false" outlineLevel="0" collapsed="false">
      <c r="A2" s="79" t="n">
        <v>1</v>
      </c>
      <c r="B2" s="79"/>
    </row>
    <row r="3" customFormat="false" ht="15" hidden="false" customHeight="false" outlineLevel="0" collapsed="false">
      <c r="A3" s="79" t="n">
        <v>2</v>
      </c>
      <c r="B3" s="79"/>
    </row>
    <row r="4" customFormat="false" ht="15" hidden="false" customHeight="false" outlineLevel="0" collapsed="false">
      <c r="A4" s="79" t="n">
        <v>3</v>
      </c>
      <c r="B4" s="79"/>
    </row>
    <row r="5" customFormat="false" ht="15" hidden="false" customHeight="false" outlineLevel="0" collapsed="false">
      <c r="A5" s="79" t="n">
        <v>4</v>
      </c>
      <c r="B5" s="79"/>
    </row>
    <row r="6" customFormat="false" ht="15" hidden="false" customHeight="false" outlineLevel="0" collapsed="false">
      <c r="A6" s="79" t="n">
        <v>5</v>
      </c>
      <c r="B6" s="79"/>
    </row>
    <row r="7" customFormat="false" ht="15" hidden="false" customHeight="false" outlineLevel="0" collapsed="false">
      <c r="A7" s="79" t="n">
        <v>6</v>
      </c>
      <c r="B7" s="79"/>
    </row>
    <row r="8" customFormat="false" ht="15" hidden="false" customHeight="false" outlineLevel="0" collapsed="false">
      <c r="A8" s="79" t="n">
        <v>7</v>
      </c>
      <c r="B8" s="79"/>
    </row>
    <row r="9" customFormat="false" ht="15" hidden="false" customHeight="false" outlineLevel="0" collapsed="false">
      <c r="A9" s="79" t="n">
        <v>8</v>
      </c>
      <c r="B9" s="79"/>
    </row>
    <row r="10" customFormat="false" ht="15" hidden="false" customHeight="false" outlineLevel="0" collapsed="false">
      <c r="A10" s="79" t="n">
        <v>9</v>
      </c>
      <c r="B10" s="79"/>
    </row>
    <row r="11" customFormat="false" ht="15" hidden="false" customHeight="false" outlineLevel="0" collapsed="false">
      <c r="A11" s="79" t="n">
        <v>10</v>
      </c>
      <c r="B11" s="79"/>
    </row>
    <row r="12" customFormat="false" ht="15" hidden="false" customHeight="false" outlineLevel="0" collapsed="false">
      <c r="A12" s="79" t="n">
        <v>11</v>
      </c>
      <c r="B12" s="79"/>
    </row>
    <row r="13" customFormat="false" ht="15" hidden="false" customHeight="false" outlineLevel="0" collapsed="false">
      <c r="A13" s="79" t="n">
        <v>12</v>
      </c>
      <c r="B13" s="79"/>
    </row>
    <row r="14" customFormat="false" ht="15" hidden="false" customHeight="false" outlineLevel="0" collapsed="false">
      <c r="A14" s="79" t="n">
        <v>13</v>
      </c>
      <c r="B14" s="79"/>
    </row>
    <row r="15" customFormat="false" ht="15" hidden="false" customHeight="false" outlineLevel="0" collapsed="false">
      <c r="A15" s="79" t="n">
        <v>14</v>
      </c>
      <c r="B15" s="79"/>
    </row>
    <row r="16" customFormat="false" ht="15" hidden="false" customHeight="false" outlineLevel="0" collapsed="false">
      <c r="A16" s="79" t="n">
        <v>15</v>
      </c>
      <c r="B16" s="79"/>
    </row>
    <row r="17" customFormat="false" ht="15" hidden="false" customHeight="false" outlineLevel="0" collapsed="false">
      <c r="A17" s="79" t="n">
        <v>16</v>
      </c>
      <c r="B17" s="79"/>
    </row>
    <row r="18" customFormat="false" ht="15" hidden="false" customHeight="false" outlineLevel="0" collapsed="false">
      <c r="A18" s="79" t="n">
        <v>17</v>
      </c>
      <c r="B18" s="79"/>
    </row>
    <row r="19" customFormat="false" ht="15" hidden="false" customHeight="false" outlineLevel="0" collapsed="false">
      <c r="A19" s="79" t="n">
        <v>18</v>
      </c>
      <c r="B19" s="79"/>
    </row>
    <row r="20" customFormat="false" ht="15" hidden="false" customHeight="false" outlineLevel="0" collapsed="false">
      <c r="A20" s="79" t="n">
        <v>19</v>
      </c>
      <c r="B20" s="79"/>
    </row>
    <row r="21" customFormat="false" ht="15" hidden="false" customHeight="false" outlineLevel="0" collapsed="false">
      <c r="A21" s="79" t="n">
        <v>20</v>
      </c>
      <c r="B21" s="79"/>
    </row>
    <row r="22" customFormat="false" ht="15" hidden="false" customHeight="false" outlineLevel="0" collapsed="false">
      <c r="A22" s="79" t="n">
        <v>21</v>
      </c>
      <c r="B22" s="79"/>
    </row>
    <row r="23" customFormat="false" ht="15" hidden="false" customHeight="false" outlineLevel="0" collapsed="false">
      <c r="A23" s="79" t="n">
        <v>22</v>
      </c>
      <c r="B23" s="79"/>
    </row>
    <row r="24" customFormat="false" ht="15" hidden="false" customHeight="false" outlineLevel="0" collapsed="false">
      <c r="A24" s="79" t="n">
        <v>23</v>
      </c>
      <c r="B24" s="79"/>
    </row>
    <row r="25" customFormat="false" ht="15" hidden="false" customHeight="false" outlineLevel="0" collapsed="false">
      <c r="A25" s="79" t="n">
        <v>24</v>
      </c>
      <c r="B25" s="79"/>
    </row>
    <row r="26" customFormat="false" ht="15" hidden="false" customHeight="false" outlineLevel="0" collapsed="false">
      <c r="A26" s="79" t="n">
        <v>25</v>
      </c>
      <c r="B26" s="79"/>
    </row>
    <row r="27" customFormat="false" ht="15" hidden="false" customHeight="false" outlineLevel="0" collapsed="false">
      <c r="A27" s="79" t="n">
        <v>26</v>
      </c>
      <c r="B27" s="79"/>
    </row>
    <row r="28" customFormat="false" ht="15" hidden="false" customHeight="false" outlineLevel="0" collapsed="false">
      <c r="A28" s="79" t="n">
        <v>27</v>
      </c>
      <c r="B28" s="79"/>
    </row>
    <row r="29" customFormat="false" ht="15" hidden="false" customHeight="false" outlineLevel="0" collapsed="false">
      <c r="A29" s="79" t="n">
        <v>28</v>
      </c>
      <c r="B29" s="79"/>
    </row>
    <row r="30" customFormat="false" ht="15" hidden="false" customHeight="false" outlineLevel="0" collapsed="false">
      <c r="A30" s="79" t="n">
        <v>29</v>
      </c>
      <c r="B30" s="79"/>
    </row>
    <row r="31" customFormat="false" ht="15" hidden="false" customHeight="false" outlineLevel="0" collapsed="false">
      <c r="A31" s="79" t="n">
        <v>30</v>
      </c>
      <c r="B31" s="79"/>
    </row>
    <row r="32" customFormat="false" ht="15" hidden="false" customHeight="false" outlineLevel="0" collapsed="false">
      <c r="A32" s="79" t="n">
        <v>31</v>
      </c>
      <c r="B32" s="79"/>
    </row>
    <row r="33" customFormat="false" ht="15" hidden="false" customHeight="false" outlineLevel="0" collapsed="false">
      <c r="A33" s="79" t="n">
        <v>32</v>
      </c>
      <c r="B33" s="79"/>
    </row>
    <row r="34" customFormat="false" ht="15" hidden="false" customHeight="false" outlineLevel="0" collapsed="false">
      <c r="A34" s="79" t="n">
        <v>33</v>
      </c>
      <c r="B34" s="79"/>
    </row>
    <row r="35" customFormat="false" ht="15" hidden="false" customHeight="false" outlineLevel="0" collapsed="false">
      <c r="A35" s="79" t="n">
        <v>34</v>
      </c>
      <c r="B35" s="79"/>
    </row>
    <row r="36" customFormat="false" ht="15" hidden="false" customHeight="false" outlineLevel="0" collapsed="false">
      <c r="A36" s="79" t="n">
        <v>35</v>
      </c>
      <c r="B36" s="79"/>
    </row>
    <row r="37" customFormat="false" ht="15" hidden="false" customHeight="false" outlineLevel="0" collapsed="false">
      <c r="A37" s="79" t="n">
        <v>36</v>
      </c>
      <c r="B37" s="79"/>
    </row>
    <row r="38" customFormat="false" ht="15" hidden="false" customHeight="false" outlineLevel="0" collapsed="false">
      <c r="A38" s="79" t="n">
        <v>37</v>
      </c>
      <c r="B38" s="79"/>
    </row>
    <row r="39" customFormat="false" ht="15" hidden="false" customHeight="false" outlineLevel="0" collapsed="false">
      <c r="A39" s="79" t="n">
        <v>38</v>
      </c>
      <c r="B39" s="79"/>
    </row>
    <row r="40" customFormat="false" ht="15" hidden="false" customHeight="false" outlineLevel="0" collapsed="false">
      <c r="A40" s="79" t="n">
        <v>39</v>
      </c>
      <c r="B40" s="79"/>
    </row>
    <row r="41" customFormat="false" ht="15" hidden="false" customHeight="false" outlineLevel="0" collapsed="false">
      <c r="A41" s="79" t="n">
        <v>40</v>
      </c>
      <c r="B41" s="79"/>
    </row>
    <row r="42" customFormat="false" ht="15" hidden="false" customHeight="false" outlineLevel="0" collapsed="false">
      <c r="A42" s="79" t="n">
        <v>41</v>
      </c>
      <c r="B42" s="79"/>
    </row>
    <row r="43" customFormat="false" ht="15" hidden="false" customHeight="false" outlineLevel="0" collapsed="false">
      <c r="A43" s="79" t="n">
        <v>42</v>
      </c>
      <c r="B43" s="79"/>
    </row>
    <row r="44" customFormat="false" ht="15" hidden="false" customHeight="false" outlineLevel="0" collapsed="false">
      <c r="A44" s="79" t="n">
        <v>43</v>
      </c>
      <c r="B44" s="79"/>
    </row>
    <row r="45" customFormat="false" ht="15" hidden="false" customHeight="false" outlineLevel="0" collapsed="false">
      <c r="A45" s="79" t="n">
        <v>44</v>
      </c>
      <c r="B45" s="79"/>
    </row>
    <row r="46" customFormat="false" ht="15" hidden="false" customHeight="false" outlineLevel="0" collapsed="false">
      <c r="A46" s="79" t="n">
        <v>45</v>
      </c>
      <c r="B46" s="79"/>
    </row>
    <row r="47" customFormat="false" ht="15" hidden="false" customHeight="false" outlineLevel="0" collapsed="false">
      <c r="A47" s="79" t="n">
        <v>46</v>
      </c>
      <c r="B47" s="79"/>
    </row>
    <row r="48" customFormat="false" ht="15" hidden="false" customHeight="false" outlineLevel="0" collapsed="false">
      <c r="A48" s="79" t="n">
        <v>47</v>
      </c>
      <c r="B48" s="79"/>
    </row>
    <row r="49" customFormat="false" ht="15" hidden="false" customHeight="false" outlineLevel="0" collapsed="false">
      <c r="A49" s="79" t="n">
        <v>48</v>
      </c>
      <c r="B49" s="79"/>
    </row>
    <row r="50" customFormat="false" ht="15" hidden="false" customHeight="false" outlineLevel="0" collapsed="false">
      <c r="A50" s="79" t="n">
        <v>49</v>
      </c>
      <c r="B50" s="79"/>
    </row>
    <row r="51" customFormat="false" ht="15" hidden="false" customHeight="false" outlineLevel="0" collapsed="false">
      <c r="A51" s="79" t="n">
        <v>50</v>
      </c>
      <c r="B51" s="79"/>
    </row>
    <row r="52" customFormat="false" ht="15" hidden="false" customHeight="false" outlineLevel="0" collapsed="false">
      <c r="A52" s="79" t="n">
        <v>51</v>
      </c>
      <c r="B52" s="79"/>
    </row>
    <row r="53" customFormat="false" ht="15" hidden="false" customHeight="false" outlineLevel="0" collapsed="false">
      <c r="A53" s="79" t="n">
        <v>52</v>
      </c>
      <c r="B53" s="79"/>
    </row>
    <row r="54" customFormat="false" ht="15" hidden="false" customHeight="false" outlineLevel="0" collapsed="false">
      <c r="A54" s="79" t="n">
        <v>53</v>
      </c>
      <c r="B54" s="79"/>
    </row>
    <row r="55" customFormat="false" ht="15" hidden="false" customHeight="false" outlineLevel="0" collapsed="false">
      <c r="A55" s="79" t="n">
        <v>54</v>
      </c>
      <c r="B55" s="79"/>
    </row>
    <row r="56" customFormat="false" ht="15" hidden="false" customHeight="false" outlineLevel="0" collapsed="false">
      <c r="A56" s="79" t="n">
        <v>55</v>
      </c>
      <c r="B56" s="79"/>
    </row>
    <row r="57" customFormat="false" ht="15" hidden="false" customHeight="false" outlineLevel="0" collapsed="false">
      <c r="A57" s="79" t="n">
        <v>56</v>
      </c>
      <c r="B57" s="79"/>
    </row>
    <row r="58" customFormat="false" ht="15" hidden="false" customHeight="false" outlineLevel="0" collapsed="false">
      <c r="A58" s="79" t="n">
        <v>57</v>
      </c>
      <c r="B58" s="79"/>
    </row>
    <row r="59" customFormat="false" ht="15" hidden="false" customHeight="false" outlineLevel="0" collapsed="false">
      <c r="A59" s="79" t="n">
        <v>58</v>
      </c>
      <c r="B59" s="79"/>
    </row>
    <row r="60" customFormat="false" ht="15" hidden="false" customHeight="false" outlineLevel="0" collapsed="false">
      <c r="A60" s="79" t="n">
        <v>59</v>
      </c>
      <c r="B60" s="79"/>
    </row>
    <row r="61" customFormat="false" ht="15" hidden="false" customHeight="false" outlineLevel="0" collapsed="false">
      <c r="A61" s="79" t="n">
        <v>60</v>
      </c>
      <c r="B61" s="79"/>
    </row>
    <row r="62" customFormat="false" ht="15" hidden="false" customHeight="false" outlineLevel="0" collapsed="false">
      <c r="A62" s="79" t="n">
        <v>61</v>
      </c>
      <c r="B62" s="79"/>
    </row>
    <row r="63" customFormat="false" ht="15" hidden="false" customHeight="false" outlineLevel="0" collapsed="false">
      <c r="A63" s="79" t="n">
        <v>62</v>
      </c>
      <c r="B63" s="79"/>
    </row>
    <row r="64" customFormat="false" ht="15" hidden="false" customHeight="false" outlineLevel="0" collapsed="false">
      <c r="A64" s="79" t="n">
        <v>63</v>
      </c>
      <c r="B64" s="79"/>
    </row>
    <row r="65" customFormat="false" ht="15" hidden="false" customHeight="false" outlineLevel="0" collapsed="false">
      <c r="A65" s="79" t="n">
        <v>64</v>
      </c>
      <c r="B65" s="79"/>
    </row>
    <row r="66" customFormat="false" ht="15" hidden="false" customHeight="false" outlineLevel="0" collapsed="false">
      <c r="A66" s="79" t="n">
        <v>65</v>
      </c>
      <c r="B66" s="79"/>
    </row>
    <row r="67" customFormat="false" ht="15" hidden="false" customHeight="false" outlineLevel="0" collapsed="false">
      <c r="A67" s="79" t="n">
        <v>66</v>
      </c>
      <c r="B67" s="79"/>
    </row>
    <row r="68" customFormat="false" ht="15" hidden="false" customHeight="false" outlineLevel="0" collapsed="false">
      <c r="A68" s="79" t="n">
        <v>67</v>
      </c>
      <c r="B68" s="79"/>
    </row>
    <row r="69" customFormat="false" ht="15" hidden="false" customHeight="false" outlineLevel="0" collapsed="false">
      <c r="A69" s="79" t="n">
        <v>68</v>
      </c>
      <c r="B69" s="79"/>
    </row>
    <row r="70" customFormat="false" ht="15" hidden="false" customHeight="false" outlineLevel="0" collapsed="false">
      <c r="A70" s="79" t="n">
        <v>69</v>
      </c>
      <c r="B70" s="79"/>
    </row>
    <row r="71" customFormat="false" ht="15" hidden="false" customHeight="false" outlineLevel="0" collapsed="false">
      <c r="A71" s="79" t="n">
        <v>70</v>
      </c>
      <c r="B71" s="79"/>
    </row>
    <row r="72" customFormat="false" ht="15" hidden="false" customHeight="false" outlineLevel="0" collapsed="false">
      <c r="A72" s="79" t="n">
        <v>71</v>
      </c>
      <c r="B72" s="79"/>
    </row>
    <row r="73" customFormat="false" ht="15" hidden="false" customHeight="false" outlineLevel="0" collapsed="false">
      <c r="A73" s="79" t="n">
        <v>72</v>
      </c>
      <c r="B73" s="79"/>
    </row>
    <row r="74" customFormat="false" ht="15" hidden="false" customHeight="false" outlineLevel="0" collapsed="false">
      <c r="A74" s="79" t="n">
        <v>73</v>
      </c>
      <c r="B74" s="79"/>
    </row>
    <row r="75" customFormat="false" ht="15" hidden="false" customHeight="false" outlineLevel="0" collapsed="false">
      <c r="A75" s="79" t="n">
        <v>74</v>
      </c>
      <c r="B75" s="79"/>
    </row>
    <row r="76" customFormat="false" ht="15" hidden="false" customHeight="false" outlineLevel="0" collapsed="false">
      <c r="A76" s="79" t="n">
        <v>75</v>
      </c>
      <c r="B76" s="79"/>
    </row>
    <row r="77" customFormat="false" ht="15" hidden="false" customHeight="false" outlineLevel="0" collapsed="false">
      <c r="A77" s="79" t="n">
        <v>76</v>
      </c>
      <c r="B77" s="79"/>
    </row>
    <row r="78" customFormat="false" ht="15" hidden="false" customHeight="false" outlineLevel="0" collapsed="false">
      <c r="A78" s="79" t="n">
        <v>77</v>
      </c>
      <c r="B78" s="79"/>
    </row>
    <row r="79" customFormat="false" ht="15" hidden="false" customHeight="false" outlineLevel="0" collapsed="false">
      <c r="A79" s="79" t="n">
        <v>78</v>
      </c>
      <c r="B79" s="79"/>
    </row>
    <row r="80" customFormat="false" ht="15" hidden="false" customHeight="false" outlineLevel="0" collapsed="false">
      <c r="A80" s="79" t="n">
        <v>79</v>
      </c>
      <c r="B80" s="79"/>
    </row>
    <row r="81" customFormat="false" ht="15" hidden="false" customHeight="false" outlineLevel="0" collapsed="false">
      <c r="A81" s="79" t="n">
        <v>80</v>
      </c>
      <c r="B81" s="79"/>
    </row>
    <row r="82" customFormat="false" ht="15" hidden="false" customHeight="false" outlineLevel="0" collapsed="false">
      <c r="A82" s="79" t="n">
        <v>81</v>
      </c>
      <c r="B82" s="79"/>
    </row>
    <row r="83" customFormat="false" ht="15" hidden="false" customHeight="false" outlineLevel="0" collapsed="false">
      <c r="A83" s="79" t="n">
        <v>82</v>
      </c>
      <c r="B83" s="79"/>
    </row>
    <row r="84" customFormat="false" ht="15" hidden="false" customHeight="false" outlineLevel="0" collapsed="false">
      <c r="A84" s="79" t="n">
        <v>83</v>
      </c>
      <c r="B84" s="79"/>
    </row>
    <row r="85" customFormat="false" ht="15" hidden="false" customHeight="false" outlineLevel="0" collapsed="false">
      <c r="A85" s="79" t="n">
        <v>84</v>
      </c>
      <c r="B85" s="79"/>
    </row>
    <row r="86" customFormat="false" ht="15" hidden="false" customHeight="false" outlineLevel="0" collapsed="false">
      <c r="A86" s="79" t="n">
        <v>85</v>
      </c>
      <c r="B86" s="79"/>
    </row>
    <row r="87" customFormat="false" ht="15" hidden="false" customHeight="false" outlineLevel="0" collapsed="false">
      <c r="A87" s="79" t="n">
        <v>86</v>
      </c>
      <c r="B87" s="79"/>
    </row>
    <row r="88" customFormat="false" ht="15" hidden="false" customHeight="false" outlineLevel="0" collapsed="false">
      <c r="A88" s="79" t="n">
        <v>87</v>
      </c>
      <c r="B88" s="79"/>
    </row>
    <row r="89" customFormat="false" ht="15" hidden="false" customHeight="false" outlineLevel="0" collapsed="false">
      <c r="A89" s="79" t="n">
        <v>88</v>
      </c>
      <c r="B89" s="79"/>
    </row>
    <row r="90" customFormat="false" ht="15" hidden="false" customHeight="false" outlineLevel="0" collapsed="false">
      <c r="A90" s="79" t="n">
        <v>89</v>
      </c>
      <c r="B90" s="79"/>
    </row>
    <row r="91" customFormat="false" ht="15" hidden="false" customHeight="false" outlineLevel="0" collapsed="false">
      <c r="A91" s="79" t="n">
        <v>90</v>
      </c>
      <c r="B91" s="79"/>
    </row>
    <row r="92" customFormat="false" ht="15" hidden="false" customHeight="false" outlineLevel="0" collapsed="false">
      <c r="A92" s="79" t="n">
        <v>91</v>
      </c>
      <c r="B92" s="79"/>
    </row>
    <row r="93" customFormat="false" ht="15" hidden="false" customHeight="false" outlineLevel="0" collapsed="false">
      <c r="A93" s="79" t="n">
        <v>92</v>
      </c>
      <c r="B93" s="79"/>
    </row>
    <row r="94" customFormat="false" ht="15" hidden="false" customHeight="false" outlineLevel="0" collapsed="false">
      <c r="A94" s="79" t="n">
        <v>93</v>
      </c>
      <c r="B94" s="79"/>
    </row>
    <row r="95" customFormat="false" ht="15" hidden="false" customHeight="false" outlineLevel="0" collapsed="false">
      <c r="A95" s="79" t="n">
        <v>94</v>
      </c>
      <c r="B95" s="79"/>
    </row>
    <row r="96" customFormat="false" ht="15" hidden="false" customHeight="false" outlineLevel="0" collapsed="false">
      <c r="A96" s="79" t="n">
        <v>95</v>
      </c>
      <c r="B96" s="79"/>
    </row>
    <row r="97" customFormat="false" ht="15" hidden="false" customHeight="false" outlineLevel="0" collapsed="false">
      <c r="A97" s="79" t="n">
        <v>96</v>
      </c>
      <c r="B97" s="79"/>
    </row>
    <row r="98" customFormat="false" ht="15" hidden="false" customHeight="false" outlineLevel="0" collapsed="false">
      <c r="A98" s="79" t="n">
        <v>97</v>
      </c>
      <c r="B98" s="79"/>
    </row>
    <row r="99" customFormat="false" ht="15" hidden="false" customHeight="false" outlineLevel="0" collapsed="false">
      <c r="A99" s="79" t="n">
        <v>98</v>
      </c>
      <c r="B99" s="79"/>
    </row>
    <row r="100" customFormat="false" ht="15" hidden="false" customHeight="false" outlineLevel="0" collapsed="false">
      <c r="A100" s="79" t="n">
        <v>99</v>
      </c>
      <c r="B100" s="79"/>
    </row>
    <row r="101" customFormat="false" ht="15" hidden="false" customHeight="false" outlineLevel="0" collapsed="false">
      <c r="A101" s="79" t="n">
        <v>100</v>
      </c>
      <c r="B101" s="79"/>
    </row>
    <row r="102" customFormat="false" ht="15" hidden="false" customHeight="false" outlineLevel="0" collapsed="false">
      <c r="A102" s="79" t="n">
        <v>101</v>
      </c>
      <c r="B102" s="79"/>
    </row>
    <row r="103" customFormat="false" ht="15" hidden="false" customHeight="false" outlineLevel="0" collapsed="false">
      <c r="A103" s="79" t="n">
        <v>102</v>
      </c>
      <c r="B103" s="79"/>
    </row>
    <row r="104" customFormat="false" ht="15" hidden="false" customHeight="false" outlineLevel="0" collapsed="false">
      <c r="A104" s="79" t="n">
        <v>103</v>
      </c>
      <c r="B104" s="79"/>
    </row>
    <row r="105" customFormat="false" ht="15" hidden="false" customHeight="false" outlineLevel="0" collapsed="false">
      <c r="A105" s="79" t="n">
        <v>104</v>
      </c>
      <c r="B105" s="79"/>
    </row>
    <row r="106" customFormat="false" ht="15" hidden="false" customHeight="false" outlineLevel="0" collapsed="false">
      <c r="A106" s="79" t="n">
        <v>105</v>
      </c>
      <c r="B106" s="79"/>
    </row>
    <row r="107" customFormat="false" ht="15" hidden="false" customHeight="false" outlineLevel="0" collapsed="false">
      <c r="A107" s="79" t="n">
        <v>106</v>
      </c>
      <c r="B107" s="79"/>
    </row>
    <row r="108" customFormat="false" ht="15" hidden="false" customHeight="false" outlineLevel="0" collapsed="false">
      <c r="A108" s="79" t="n">
        <v>107</v>
      </c>
      <c r="B108" s="79"/>
    </row>
    <row r="109" customFormat="false" ht="15" hidden="false" customHeight="false" outlineLevel="0" collapsed="false">
      <c r="A109" s="79" t="n">
        <v>108</v>
      </c>
      <c r="B109" s="79"/>
    </row>
    <row r="110" customFormat="false" ht="15" hidden="false" customHeight="false" outlineLevel="0" collapsed="false">
      <c r="A110" s="79" t="n">
        <v>109</v>
      </c>
      <c r="B110" s="79"/>
    </row>
    <row r="111" customFormat="false" ht="15" hidden="false" customHeight="false" outlineLevel="0" collapsed="false">
      <c r="A111" s="79" t="n">
        <v>110</v>
      </c>
      <c r="B111" s="79"/>
    </row>
    <row r="112" customFormat="false" ht="15" hidden="false" customHeight="false" outlineLevel="0" collapsed="false">
      <c r="A112" s="79" t="n">
        <v>111</v>
      </c>
      <c r="B112" s="79"/>
    </row>
    <row r="113" customFormat="false" ht="15" hidden="false" customHeight="false" outlineLevel="0" collapsed="false">
      <c r="A113" s="79" t="n">
        <v>112</v>
      </c>
      <c r="B113" s="79"/>
    </row>
    <row r="114" customFormat="false" ht="15" hidden="false" customHeight="false" outlineLevel="0" collapsed="false">
      <c r="A114" s="79" t="n">
        <v>113</v>
      </c>
      <c r="B114" s="79"/>
    </row>
    <row r="115" customFormat="false" ht="15" hidden="false" customHeight="false" outlineLevel="0" collapsed="false">
      <c r="A115" s="79" t="n">
        <v>114</v>
      </c>
      <c r="B115" s="79"/>
    </row>
    <row r="116" customFormat="false" ht="15" hidden="false" customHeight="false" outlineLevel="0" collapsed="false">
      <c r="A116" s="79" t="n">
        <v>115</v>
      </c>
      <c r="B116" s="79"/>
    </row>
    <row r="117" customFormat="false" ht="15" hidden="false" customHeight="false" outlineLevel="0" collapsed="false">
      <c r="A117" s="79" t="n">
        <v>116</v>
      </c>
      <c r="B117" s="79"/>
    </row>
    <row r="118" customFormat="false" ht="15" hidden="false" customHeight="false" outlineLevel="0" collapsed="false">
      <c r="A118" s="79" t="n">
        <v>117</v>
      </c>
      <c r="B118" s="79"/>
    </row>
    <row r="119" customFormat="false" ht="15" hidden="false" customHeight="false" outlineLevel="0" collapsed="false">
      <c r="A119" s="79" t="n">
        <v>118</v>
      </c>
      <c r="B119" s="79"/>
    </row>
    <row r="120" customFormat="false" ht="15" hidden="false" customHeight="false" outlineLevel="0" collapsed="false">
      <c r="A120" s="79" t="n">
        <v>119</v>
      </c>
      <c r="B120" s="79"/>
    </row>
    <row r="121" customFormat="false" ht="15" hidden="false" customHeight="false" outlineLevel="0" collapsed="false">
      <c r="A121" s="79" t="n">
        <v>120</v>
      </c>
      <c r="B121" s="79"/>
    </row>
    <row r="122" customFormat="false" ht="15" hidden="false" customHeight="false" outlineLevel="0" collapsed="false">
      <c r="A122" s="79" t="n">
        <v>121</v>
      </c>
      <c r="B122" s="79"/>
    </row>
    <row r="123" customFormat="false" ht="15" hidden="false" customHeight="false" outlineLevel="0" collapsed="false">
      <c r="A123" s="79" t="n">
        <v>122</v>
      </c>
      <c r="B123" s="79"/>
    </row>
    <row r="124" customFormat="false" ht="15" hidden="false" customHeight="false" outlineLevel="0" collapsed="false">
      <c r="A124" s="79" t="n">
        <v>123</v>
      </c>
      <c r="B124" s="79"/>
    </row>
    <row r="125" customFormat="false" ht="15" hidden="false" customHeight="false" outlineLevel="0" collapsed="false">
      <c r="A125" s="79" t="n">
        <v>124</v>
      </c>
      <c r="B125" s="79"/>
    </row>
    <row r="126" customFormat="false" ht="15" hidden="false" customHeight="false" outlineLevel="0" collapsed="false">
      <c r="A126" s="79" t="n">
        <v>125</v>
      </c>
      <c r="B126" s="79"/>
    </row>
    <row r="127" customFormat="false" ht="15" hidden="false" customHeight="false" outlineLevel="0" collapsed="false">
      <c r="A127" s="79" t="n">
        <v>126</v>
      </c>
      <c r="B127" s="79"/>
    </row>
    <row r="128" customFormat="false" ht="15" hidden="false" customHeight="false" outlineLevel="0" collapsed="false">
      <c r="A128" s="79" t="n">
        <v>127</v>
      </c>
      <c r="B128" s="79"/>
    </row>
    <row r="129" customFormat="false" ht="15" hidden="false" customHeight="false" outlineLevel="0" collapsed="false">
      <c r="A129" s="79" t="n">
        <v>128</v>
      </c>
      <c r="B129" s="79"/>
    </row>
    <row r="130" customFormat="false" ht="15" hidden="false" customHeight="false" outlineLevel="0" collapsed="false">
      <c r="A130" s="79" t="n">
        <v>129</v>
      </c>
      <c r="B130" s="79"/>
    </row>
    <row r="131" customFormat="false" ht="15" hidden="false" customHeight="false" outlineLevel="0" collapsed="false">
      <c r="A131" s="79" t="n">
        <v>130</v>
      </c>
      <c r="B131" s="79"/>
    </row>
    <row r="132" customFormat="false" ht="15" hidden="false" customHeight="false" outlineLevel="0" collapsed="false">
      <c r="A132" s="79" t="n">
        <v>131</v>
      </c>
      <c r="B132" s="79"/>
    </row>
    <row r="133" customFormat="false" ht="15" hidden="false" customHeight="false" outlineLevel="0" collapsed="false">
      <c r="A133" s="79" t="n">
        <v>132</v>
      </c>
      <c r="B133" s="79"/>
    </row>
    <row r="134" customFormat="false" ht="15" hidden="false" customHeight="false" outlineLevel="0" collapsed="false">
      <c r="A134" s="79" t="n">
        <v>133</v>
      </c>
      <c r="B134" s="79"/>
    </row>
    <row r="135" customFormat="false" ht="15" hidden="false" customHeight="false" outlineLevel="0" collapsed="false">
      <c r="A135" s="79" t="n">
        <v>134</v>
      </c>
      <c r="B135" s="79"/>
    </row>
    <row r="136" customFormat="false" ht="15" hidden="false" customHeight="false" outlineLevel="0" collapsed="false">
      <c r="A136" s="79" t="n">
        <v>135</v>
      </c>
      <c r="B136" s="79"/>
    </row>
    <row r="137" customFormat="false" ht="15" hidden="false" customHeight="false" outlineLevel="0" collapsed="false">
      <c r="A137" s="79" t="n">
        <v>136</v>
      </c>
      <c r="B137" s="79"/>
    </row>
    <row r="138" customFormat="false" ht="15" hidden="false" customHeight="false" outlineLevel="0" collapsed="false">
      <c r="A138" s="79" t="n">
        <v>137</v>
      </c>
      <c r="B138" s="79"/>
    </row>
    <row r="139" customFormat="false" ht="15" hidden="false" customHeight="false" outlineLevel="0" collapsed="false">
      <c r="A139" s="79" t="n">
        <v>138</v>
      </c>
      <c r="B139" s="79"/>
    </row>
    <row r="140" customFormat="false" ht="15" hidden="false" customHeight="false" outlineLevel="0" collapsed="false">
      <c r="A140" s="79" t="n">
        <v>139</v>
      </c>
      <c r="B140" s="79"/>
    </row>
    <row r="141" customFormat="false" ht="15" hidden="false" customHeight="false" outlineLevel="0" collapsed="false">
      <c r="A141" s="79" t="n">
        <v>140</v>
      </c>
      <c r="B141" s="79"/>
    </row>
    <row r="142" customFormat="false" ht="15" hidden="false" customHeight="false" outlineLevel="0" collapsed="false">
      <c r="A142" s="79" t="n">
        <v>141</v>
      </c>
      <c r="B142" s="79"/>
    </row>
    <row r="143" customFormat="false" ht="15" hidden="false" customHeight="false" outlineLevel="0" collapsed="false">
      <c r="A143" s="79" t="n">
        <v>142</v>
      </c>
      <c r="B143" s="79"/>
    </row>
    <row r="144" customFormat="false" ht="15" hidden="false" customHeight="false" outlineLevel="0" collapsed="false">
      <c r="A144" s="79" t="n">
        <v>143</v>
      </c>
      <c r="B144" s="79"/>
    </row>
    <row r="145" customFormat="false" ht="15" hidden="false" customHeight="false" outlineLevel="0" collapsed="false">
      <c r="A145" s="79" t="n">
        <v>144</v>
      </c>
      <c r="B145" s="79"/>
    </row>
    <row r="146" customFormat="false" ht="15" hidden="false" customHeight="false" outlineLevel="0" collapsed="false">
      <c r="A146" s="79" t="n">
        <v>145</v>
      </c>
      <c r="B146" s="79"/>
    </row>
    <row r="147" customFormat="false" ht="15" hidden="false" customHeight="false" outlineLevel="0" collapsed="false">
      <c r="A147" s="79" t="n">
        <v>146</v>
      </c>
      <c r="B147" s="79"/>
    </row>
    <row r="148" customFormat="false" ht="15" hidden="false" customHeight="false" outlineLevel="0" collapsed="false">
      <c r="A148" s="79" t="n">
        <v>147</v>
      </c>
      <c r="B148" s="79"/>
    </row>
    <row r="149" customFormat="false" ht="15" hidden="false" customHeight="false" outlineLevel="0" collapsed="false">
      <c r="A149" s="79" t="n">
        <v>148</v>
      </c>
      <c r="B149" s="79"/>
    </row>
    <row r="150" customFormat="false" ht="15" hidden="false" customHeight="false" outlineLevel="0" collapsed="false">
      <c r="A150" s="79" t="n">
        <v>149</v>
      </c>
      <c r="B150" s="79"/>
    </row>
    <row r="151" customFormat="false" ht="15" hidden="false" customHeight="false" outlineLevel="0" collapsed="false">
      <c r="A151" s="79" t="n">
        <v>150</v>
      </c>
      <c r="B151" s="79"/>
    </row>
    <row r="152" customFormat="false" ht="15" hidden="false" customHeight="false" outlineLevel="0" collapsed="false">
      <c r="A152" s="79" t="n">
        <v>151</v>
      </c>
      <c r="B152" s="79"/>
    </row>
    <row r="153" customFormat="false" ht="15" hidden="false" customHeight="false" outlineLevel="0" collapsed="false">
      <c r="A153" s="79" t="n">
        <v>152</v>
      </c>
      <c r="B153" s="79"/>
    </row>
    <row r="154" customFormat="false" ht="15" hidden="false" customHeight="false" outlineLevel="0" collapsed="false">
      <c r="A154" s="79" t="n">
        <v>153</v>
      </c>
      <c r="B154" s="79"/>
    </row>
    <row r="155" customFormat="false" ht="15" hidden="false" customHeight="false" outlineLevel="0" collapsed="false">
      <c r="A155" s="79" t="n">
        <v>154</v>
      </c>
      <c r="B155" s="79"/>
    </row>
    <row r="156" customFormat="false" ht="15" hidden="false" customHeight="false" outlineLevel="0" collapsed="false">
      <c r="A156" s="79" t="n">
        <v>155</v>
      </c>
      <c r="B156" s="79"/>
    </row>
    <row r="157" customFormat="false" ht="15" hidden="false" customHeight="false" outlineLevel="0" collapsed="false">
      <c r="A157" s="79" t="n">
        <v>156</v>
      </c>
      <c r="B157" s="79"/>
    </row>
    <row r="158" customFormat="false" ht="15" hidden="false" customHeight="false" outlineLevel="0" collapsed="false">
      <c r="A158" s="79" t="n">
        <v>157</v>
      </c>
      <c r="B158" s="79"/>
    </row>
    <row r="159" customFormat="false" ht="15" hidden="false" customHeight="false" outlineLevel="0" collapsed="false">
      <c r="A159" s="79" t="n">
        <v>158</v>
      </c>
      <c r="B159" s="79"/>
    </row>
    <row r="160" customFormat="false" ht="15" hidden="false" customHeight="false" outlineLevel="0" collapsed="false">
      <c r="A160" s="79" t="n">
        <v>159</v>
      </c>
      <c r="B160" s="79"/>
    </row>
    <row r="161" customFormat="false" ht="15" hidden="false" customHeight="false" outlineLevel="0" collapsed="false">
      <c r="A161" s="79" t="n">
        <v>160</v>
      </c>
      <c r="B161" s="79"/>
    </row>
    <row r="162" customFormat="false" ht="15" hidden="false" customHeight="false" outlineLevel="0" collapsed="false">
      <c r="A162" s="79" t="n">
        <v>161</v>
      </c>
      <c r="B162" s="79"/>
    </row>
    <row r="163" customFormat="false" ht="15" hidden="false" customHeight="false" outlineLevel="0" collapsed="false">
      <c r="A163" s="79" t="n">
        <v>162</v>
      </c>
      <c r="B163" s="79"/>
    </row>
    <row r="164" customFormat="false" ht="15" hidden="false" customHeight="false" outlineLevel="0" collapsed="false">
      <c r="A164" s="79" t="n">
        <v>163</v>
      </c>
      <c r="B164" s="79"/>
    </row>
    <row r="165" customFormat="false" ht="15" hidden="false" customHeight="false" outlineLevel="0" collapsed="false">
      <c r="A165" s="79" t="n">
        <v>164</v>
      </c>
      <c r="B165" s="79"/>
    </row>
    <row r="166" customFormat="false" ht="15" hidden="false" customHeight="false" outlineLevel="0" collapsed="false">
      <c r="A166" s="79" t="n">
        <v>165</v>
      </c>
      <c r="B166" s="79"/>
    </row>
    <row r="167" customFormat="false" ht="15" hidden="false" customHeight="false" outlineLevel="0" collapsed="false">
      <c r="A167" s="79" t="n">
        <v>166</v>
      </c>
      <c r="B167" s="79"/>
    </row>
    <row r="168" customFormat="false" ht="15" hidden="false" customHeight="false" outlineLevel="0" collapsed="false">
      <c r="A168" s="79" t="n">
        <v>167</v>
      </c>
      <c r="B168" s="79"/>
    </row>
    <row r="169" customFormat="false" ht="15" hidden="false" customHeight="false" outlineLevel="0" collapsed="false">
      <c r="A169" s="79" t="n">
        <v>168</v>
      </c>
      <c r="B169" s="79"/>
    </row>
    <row r="170" customFormat="false" ht="15" hidden="false" customHeight="false" outlineLevel="0" collapsed="false">
      <c r="A170" s="79" t="n">
        <v>169</v>
      </c>
      <c r="B170" s="79"/>
    </row>
    <row r="171" customFormat="false" ht="15" hidden="false" customHeight="false" outlineLevel="0" collapsed="false">
      <c r="A171" s="79" t="n">
        <v>170</v>
      </c>
      <c r="B171" s="79"/>
    </row>
    <row r="172" customFormat="false" ht="15" hidden="false" customHeight="false" outlineLevel="0" collapsed="false">
      <c r="A172" s="79" t="n">
        <v>171</v>
      </c>
      <c r="B172" s="79"/>
    </row>
    <row r="173" customFormat="false" ht="15" hidden="false" customHeight="false" outlineLevel="0" collapsed="false">
      <c r="A173" s="79" t="n">
        <v>172</v>
      </c>
      <c r="B173" s="79"/>
    </row>
    <row r="174" customFormat="false" ht="15" hidden="false" customHeight="false" outlineLevel="0" collapsed="false">
      <c r="A174" s="79" t="n">
        <v>173</v>
      </c>
      <c r="B174" s="79"/>
    </row>
    <row r="175" customFormat="false" ht="15" hidden="false" customHeight="false" outlineLevel="0" collapsed="false">
      <c r="A175" s="79" t="n">
        <v>174</v>
      </c>
      <c r="B175" s="79"/>
    </row>
    <row r="176" customFormat="false" ht="15" hidden="false" customHeight="false" outlineLevel="0" collapsed="false">
      <c r="A176" s="79" t="n">
        <v>175</v>
      </c>
      <c r="B176" s="79"/>
    </row>
    <row r="177" customFormat="false" ht="15" hidden="false" customHeight="false" outlineLevel="0" collapsed="false">
      <c r="A177" s="79" t="n">
        <v>176</v>
      </c>
      <c r="B177" s="79"/>
    </row>
    <row r="178" customFormat="false" ht="15" hidden="false" customHeight="false" outlineLevel="0" collapsed="false">
      <c r="A178" s="79" t="n">
        <v>177</v>
      </c>
      <c r="B178" s="79"/>
    </row>
    <row r="179" customFormat="false" ht="15" hidden="false" customHeight="false" outlineLevel="0" collapsed="false">
      <c r="A179" s="79" t="n">
        <v>178</v>
      </c>
      <c r="B179" s="79"/>
    </row>
    <row r="180" customFormat="false" ht="15" hidden="false" customHeight="false" outlineLevel="0" collapsed="false">
      <c r="A180" s="79" t="n">
        <v>179</v>
      </c>
      <c r="B180" s="79"/>
    </row>
    <row r="181" customFormat="false" ht="15" hidden="false" customHeight="false" outlineLevel="0" collapsed="false">
      <c r="A181" s="79" t="n">
        <v>180</v>
      </c>
      <c r="B181" s="79"/>
    </row>
    <row r="182" customFormat="false" ht="15" hidden="false" customHeight="false" outlineLevel="0" collapsed="false">
      <c r="A182" s="79" t="n">
        <v>181</v>
      </c>
      <c r="B182" s="79"/>
    </row>
    <row r="183" customFormat="false" ht="15" hidden="false" customHeight="false" outlineLevel="0" collapsed="false">
      <c r="A183" s="79" t="n">
        <v>182</v>
      </c>
      <c r="B183" s="79"/>
    </row>
    <row r="184" customFormat="false" ht="15" hidden="false" customHeight="false" outlineLevel="0" collapsed="false">
      <c r="A184" s="79" t="n">
        <v>183</v>
      </c>
      <c r="B184" s="79"/>
    </row>
    <row r="185" customFormat="false" ht="15" hidden="false" customHeight="false" outlineLevel="0" collapsed="false">
      <c r="A185" s="79" t="n">
        <v>184</v>
      </c>
      <c r="B185" s="79"/>
    </row>
    <row r="186" customFormat="false" ht="15" hidden="false" customHeight="false" outlineLevel="0" collapsed="false">
      <c r="A186" s="79" t="n">
        <v>185</v>
      </c>
      <c r="B186" s="79"/>
    </row>
    <row r="187" customFormat="false" ht="15" hidden="false" customHeight="false" outlineLevel="0" collapsed="false">
      <c r="A187" s="79" t="n">
        <v>186</v>
      </c>
      <c r="B187" s="79"/>
    </row>
    <row r="188" customFormat="false" ht="15" hidden="false" customHeight="false" outlineLevel="0" collapsed="false">
      <c r="A188" s="79" t="n">
        <v>187</v>
      </c>
      <c r="B188" s="79"/>
    </row>
    <row r="189" customFormat="false" ht="15" hidden="false" customHeight="false" outlineLevel="0" collapsed="false">
      <c r="A189" s="79" t="n">
        <v>188</v>
      </c>
      <c r="B189" s="79"/>
    </row>
    <row r="190" customFormat="false" ht="15" hidden="false" customHeight="false" outlineLevel="0" collapsed="false">
      <c r="A190" s="79" t="n">
        <v>189</v>
      </c>
      <c r="B190" s="79"/>
    </row>
    <row r="191" customFormat="false" ht="15" hidden="false" customHeight="false" outlineLevel="0" collapsed="false">
      <c r="A191" s="79" t="n">
        <v>190</v>
      </c>
      <c r="B191" s="79"/>
    </row>
    <row r="192" customFormat="false" ht="15" hidden="false" customHeight="false" outlineLevel="0" collapsed="false">
      <c r="A192" s="79" t="n">
        <v>191</v>
      </c>
      <c r="B192" s="79"/>
    </row>
    <row r="193" customFormat="false" ht="15" hidden="false" customHeight="false" outlineLevel="0" collapsed="false">
      <c r="A193" s="79" t="n">
        <v>192</v>
      </c>
      <c r="B193" s="79"/>
    </row>
    <row r="194" customFormat="false" ht="15" hidden="false" customHeight="false" outlineLevel="0" collapsed="false">
      <c r="A194" s="79" t="n">
        <v>193</v>
      </c>
      <c r="B194" s="79"/>
    </row>
    <row r="195" customFormat="false" ht="15" hidden="false" customHeight="false" outlineLevel="0" collapsed="false">
      <c r="A195" s="79" t="n">
        <v>194</v>
      </c>
      <c r="B195" s="79"/>
    </row>
    <row r="196" customFormat="false" ht="15" hidden="false" customHeight="false" outlineLevel="0" collapsed="false">
      <c r="A196" s="79" t="n">
        <v>195</v>
      </c>
      <c r="B196" s="79"/>
    </row>
    <row r="197" customFormat="false" ht="15" hidden="false" customHeight="false" outlineLevel="0" collapsed="false">
      <c r="A197" s="79" t="n">
        <v>196</v>
      </c>
      <c r="B197" s="79"/>
    </row>
    <row r="198" customFormat="false" ht="15" hidden="false" customHeight="false" outlineLevel="0" collapsed="false">
      <c r="A198" s="79" t="n">
        <v>197</v>
      </c>
      <c r="B198" s="79"/>
    </row>
    <row r="199" customFormat="false" ht="15" hidden="false" customHeight="false" outlineLevel="0" collapsed="false">
      <c r="A199" s="79" t="n">
        <v>198</v>
      </c>
      <c r="B199" s="79"/>
    </row>
    <row r="200" customFormat="false" ht="15" hidden="false" customHeight="false" outlineLevel="0" collapsed="false">
      <c r="A200" s="79" t="n">
        <v>199</v>
      </c>
      <c r="B200" s="79"/>
    </row>
    <row r="201" customFormat="false" ht="15" hidden="false" customHeight="false" outlineLevel="0" collapsed="false">
      <c r="A201" s="79" t="n">
        <v>200</v>
      </c>
      <c r="B201" s="79"/>
    </row>
    <row r="202" customFormat="false" ht="15" hidden="false" customHeight="false" outlineLevel="0" collapsed="false">
      <c r="A202" s="79" t="n">
        <v>201</v>
      </c>
      <c r="B202" s="79"/>
    </row>
    <row r="203" customFormat="false" ht="15" hidden="false" customHeight="false" outlineLevel="0" collapsed="false">
      <c r="A203" s="79" t="n">
        <v>202</v>
      </c>
      <c r="B203" s="79"/>
    </row>
    <row r="204" customFormat="false" ht="15" hidden="false" customHeight="false" outlineLevel="0" collapsed="false">
      <c r="A204" s="79" t="n">
        <v>203</v>
      </c>
      <c r="B204" s="79"/>
    </row>
    <row r="205" customFormat="false" ht="15" hidden="false" customHeight="false" outlineLevel="0" collapsed="false">
      <c r="A205" s="79" t="n">
        <v>204</v>
      </c>
      <c r="B205" s="79"/>
    </row>
    <row r="206" customFormat="false" ht="15" hidden="false" customHeight="false" outlineLevel="0" collapsed="false">
      <c r="A206" s="79" t="n">
        <v>205</v>
      </c>
      <c r="B206" s="79"/>
    </row>
    <row r="207" customFormat="false" ht="15" hidden="false" customHeight="false" outlineLevel="0" collapsed="false">
      <c r="A207" s="79" t="n">
        <v>206</v>
      </c>
      <c r="B207" s="79"/>
    </row>
    <row r="208" customFormat="false" ht="15" hidden="false" customHeight="false" outlineLevel="0" collapsed="false">
      <c r="A208" s="79" t="n">
        <v>207</v>
      </c>
      <c r="B208" s="79"/>
    </row>
    <row r="209" customFormat="false" ht="15" hidden="false" customHeight="false" outlineLevel="0" collapsed="false">
      <c r="A209" s="79" t="n">
        <v>208</v>
      </c>
      <c r="B209" s="79"/>
    </row>
    <row r="210" customFormat="false" ht="15" hidden="false" customHeight="false" outlineLevel="0" collapsed="false">
      <c r="A210" s="79" t="n">
        <v>209</v>
      </c>
      <c r="B210" s="79"/>
    </row>
    <row r="211" customFormat="false" ht="15" hidden="false" customHeight="false" outlineLevel="0" collapsed="false">
      <c r="A211" s="79" t="n">
        <v>210</v>
      </c>
      <c r="B211" s="79"/>
    </row>
    <row r="212" customFormat="false" ht="15" hidden="false" customHeight="false" outlineLevel="0" collapsed="false">
      <c r="A212" s="79" t="n">
        <v>211</v>
      </c>
      <c r="B212" s="79"/>
    </row>
    <row r="213" customFormat="false" ht="15" hidden="false" customHeight="false" outlineLevel="0" collapsed="false">
      <c r="A213" s="79" t="n">
        <v>212</v>
      </c>
      <c r="B213" s="79"/>
    </row>
    <row r="214" customFormat="false" ht="15" hidden="false" customHeight="false" outlineLevel="0" collapsed="false">
      <c r="A214" s="79" t="n">
        <v>213</v>
      </c>
      <c r="B214" s="79"/>
    </row>
    <row r="215" customFormat="false" ht="15" hidden="false" customHeight="false" outlineLevel="0" collapsed="false">
      <c r="A215" s="79" t="n">
        <v>214</v>
      </c>
      <c r="B215" s="79"/>
    </row>
    <row r="216" customFormat="false" ht="15" hidden="false" customHeight="false" outlineLevel="0" collapsed="false">
      <c r="A216" s="79" t="n">
        <v>215</v>
      </c>
      <c r="B216" s="79"/>
    </row>
    <row r="217" customFormat="false" ht="15" hidden="false" customHeight="false" outlineLevel="0" collapsed="false">
      <c r="A217" s="79" t="n">
        <v>216</v>
      </c>
      <c r="B217" s="79"/>
    </row>
    <row r="218" customFormat="false" ht="15" hidden="false" customHeight="false" outlineLevel="0" collapsed="false">
      <c r="A218" s="79" t="n">
        <v>217</v>
      </c>
      <c r="B218" s="79"/>
    </row>
    <row r="219" customFormat="false" ht="15" hidden="false" customHeight="false" outlineLevel="0" collapsed="false">
      <c r="A219" s="79" t="n">
        <v>218</v>
      </c>
      <c r="B219" s="79"/>
    </row>
    <row r="220" customFormat="false" ht="15" hidden="false" customHeight="false" outlineLevel="0" collapsed="false">
      <c r="A220" s="79" t="n">
        <v>219</v>
      </c>
      <c r="B220" s="79"/>
    </row>
    <row r="221" customFormat="false" ht="15" hidden="false" customHeight="false" outlineLevel="0" collapsed="false">
      <c r="A221" s="79" t="n">
        <v>220</v>
      </c>
      <c r="B221" s="79"/>
    </row>
    <row r="222" customFormat="false" ht="15" hidden="false" customHeight="false" outlineLevel="0" collapsed="false">
      <c r="A222" s="79" t="n">
        <v>221</v>
      </c>
      <c r="B222" s="79"/>
    </row>
    <row r="223" customFormat="false" ht="15" hidden="false" customHeight="false" outlineLevel="0" collapsed="false">
      <c r="A223" s="79" t="n">
        <v>222</v>
      </c>
      <c r="B223" s="79"/>
    </row>
    <row r="224" customFormat="false" ht="15" hidden="false" customHeight="false" outlineLevel="0" collapsed="false">
      <c r="A224" s="79" t="n">
        <v>223</v>
      </c>
      <c r="B224" s="79"/>
    </row>
    <row r="225" customFormat="false" ht="15" hidden="false" customHeight="false" outlineLevel="0" collapsed="false">
      <c r="A225" s="79" t="n">
        <v>224</v>
      </c>
      <c r="B225" s="79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573"/>
    <pageSetUpPr fitToPage="false"/>
  </sheetPr>
  <dimension ref="B2:G20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30" activeCellId="0" sqref="A30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.57"/>
    <col collapsed="false" customWidth="true" hidden="false" outlineLevel="0" max="2" min="2" style="1" width="16.57"/>
    <col collapsed="false" customWidth="true" hidden="false" outlineLevel="0" max="3" min="3" style="1" width="14.14"/>
    <col collapsed="false" customWidth="true" hidden="false" outlineLevel="0" max="4" min="4" style="1" width="22.86"/>
    <col collapsed="false" customWidth="true" hidden="false" outlineLevel="0" max="6" min="6" style="1" width="18.29"/>
  </cols>
  <sheetData>
    <row r="2" customFormat="false" ht="15" hidden="false" customHeight="false" outlineLevel="0" collapsed="false">
      <c r="B2" s="80" t="s">
        <v>191</v>
      </c>
      <c r="C2" s="80" t="n">
        <v>20</v>
      </c>
      <c r="D2" s="80" t="s">
        <v>191</v>
      </c>
    </row>
    <row r="3" customFormat="false" ht="15" hidden="false" customHeight="false" outlineLevel="0" collapsed="false">
      <c r="B3" s="80" t="s">
        <v>192</v>
      </c>
      <c r="C3" s="80" t="n">
        <v>30</v>
      </c>
      <c r="D3" s="80" t="s">
        <v>193</v>
      </c>
    </row>
    <row r="4" customFormat="false" ht="15" hidden="false" customHeight="false" outlineLevel="0" collapsed="false">
      <c r="B4" s="80" t="s">
        <v>194</v>
      </c>
      <c r="C4" s="80" t="n">
        <v>15</v>
      </c>
      <c r="D4" s="80" t="s">
        <v>194</v>
      </c>
    </row>
    <row r="5" customFormat="false" ht="15" hidden="false" customHeight="false" outlineLevel="0" collapsed="false">
      <c r="B5" s="80" t="s">
        <v>195</v>
      </c>
      <c r="C5" s="80" t="n">
        <v>35</v>
      </c>
      <c r="D5" s="80" t="s">
        <v>195</v>
      </c>
    </row>
    <row r="6" customFormat="false" ht="15" hidden="false" customHeight="false" outlineLevel="0" collapsed="false">
      <c r="B6" s="80" t="s">
        <v>196</v>
      </c>
      <c r="C6" s="80" t="n">
        <f aca="false">SUM(C2:C5)</f>
        <v>100</v>
      </c>
      <c r="D6" s="80" t="s">
        <v>196</v>
      </c>
    </row>
    <row r="9" customFormat="false" ht="15" hidden="false" customHeight="false" outlineLevel="0" collapsed="false">
      <c r="B9" s="80" t="s">
        <v>197</v>
      </c>
      <c r="F9" s="1" t="s">
        <v>198</v>
      </c>
      <c r="G9" s="1" t="s">
        <v>199</v>
      </c>
    </row>
    <row r="10" customFormat="false" ht="15" hidden="false" customHeight="false" outlineLevel="0" collapsed="false">
      <c r="B10" s="80" t="s">
        <v>200</v>
      </c>
      <c r="C10" s="1" t="s">
        <v>201</v>
      </c>
      <c r="D10" s="1" t="s">
        <v>202</v>
      </c>
      <c r="F10" s="1" t="s">
        <v>203</v>
      </c>
    </row>
    <row r="11" customFormat="false" ht="15" hidden="false" customHeight="false" outlineLevel="0" collapsed="false">
      <c r="B11" s="80" t="s">
        <v>204</v>
      </c>
      <c r="C11" s="80" t="s">
        <v>204</v>
      </c>
      <c r="D11" s="80" t="s">
        <v>204</v>
      </c>
      <c r="F11" s="80" t="s">
        <v>205</v>
      </c>
    </row>
    <row r="12" customFormat="false" ht="15" hidden="false" customHeight="false" outlineLevel="0" collapsed="false">
      <c r="B12" s="80" t="s">
        <v>206</v>
      </c>
      <c r="C12" s="1" t="s">
        <v>65</v>
      </c>
      <c r="D12" s="1" t="s">
        <v>207</v>
      </c>
      <c r="F12" s="1" t="s">
        <v>208</v>
      </c>
    </row>
    <row r="13" customFormat="false" ht="15" hidden="false" customHeight="false" outlineLevel="0" collapsed="false">
      <c r="B13" s="80" t="s">
        <v>209</v>
      </c>
      <c r="C13" s="1" t="s">
        <v>210</v>
      </c>
      <c r="D13" s="1" t="s">
        <v>200</v>
      </c>
      <c r="F13" s="1" t="s">
        <v>211</v>
      </c>
    </row>
    <row r="14" customFormat="false" ht="15" hidden="false" customHeight="false" outlineLevel="0" collapsed="false">
      <c r="B14" s="80" t="s">
        <v>66</v>
      </c>
      <c r="C14" s="1" t="s">
        <v>212</v>
      </c>
      <c r="D14" s="1" t="s">
        <v>213</v>
      </c>
      <c r="F14" s="1" t="s">
        <v>214</v>
      </c>
    </row>
    <row r="15" customFormat="false" ht="15" hidden="false" customHeight="false" outlineLevel="0" collapsed="false">
      <c r="B15" s="80" t="s">
        <v>215</v>
      </c>
      <c r="C15" s="1" t="s">
        <v>216</v>
      </c>
      <c r="D15" s="1" t="s">
        <v>217</v>
      </c>
      <c r="F15" s="1" t="s">
        <v>218</v>
      </c>
    </row>
    <row r="16" customFormat="false" ht="15" hidden="false" customHeight="false" outlineLevel="0" collapsed="false">
      <c r="B16" s="80" t="s">
        <v>219</v>
      </c>
      <c r="D16" s="1" t="s">
        <v>220</v>
      </c>
      <c r="F16" s="1" t="s">
        <v>221</v>
      </c>
    </row>
    <row r="17" customFormat="false" ht="15" hidden="false" customHeight="false" outlineLevel="0" collapsed="false">
      <c r="B17" s="80" t="s">
        <v>222</v>
      </c>
      <c r="D17" s="1" t="s">
        <v>223</v>
      </c>
      <c r="F17" s="1" t="s">
        <v>224</v>
      </c>
    </row>
    <row r="18" customFormat="false" ht="15" hidden="false" customHeight="false" outlineLevel="0" collapsed="false">
      <c r="D18" s="1" t="s">
        <v>225</v>
      </c>
    </row>
    <row r="19" customFormat="false" ht="15" hidden="false" customHeight="false" outlineLevel="0" collapsed="false">
      <c r="D19" s="1" t="s">
        <v>226</v>
      </c>
    </row>
    <row r="20" customFormat="false" ht="15" hidden="false" customHeight="false" outlineLevel="0" collapsed="false">
      <c r="D20" s="1" t="s">
        <v>227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573"/>
    <pageSetUpPr fitToPage="false"/>
  </sheetPr>
  <dimension ref="A2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0" activeCellId="0" sqref="A30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0.57"/>
  </cols>
  <sheetData>
    <row r="2" customFormat="false" ht="15" hidden="false" customHeight="false" outlineLevel="0" collapsed="false">
      <c r="A2" s="1" t="s">
        <v>228</v>
      </c>
      <c r="E2" s="1" t="s">
        <v>229</v>
      </c>
    </row>
    <row r="3" customFormat="false" ht="15" hidden="false" customHeight="false" outlineLevel="0" collapsed="false">
      <c r="A3" s="81" t="s">
        <v>230</v>
      </c>
    </row>
    <row r="4" customFormat="false" ht="15" hidden="false" customHeight="false" outlineLevel="0" collapsed="false">
      <c r="A4" s="82" t="s">
        <v>231</v>
      </c>
    </row>
    <row r="5" customFormat="false" ht="15" hidden="false" customHeight="false" outlineLevel="0" collapsed="false">
      <c r="A5" s="82" t="s">
        <v>232</v>
      </c>
    </row>
    <row r="6" customFormat="false" ht="15" hidden="false" customHeight="false" outlineLevel="0" collapsed="false">
      <c r="A6" s="81" t="s">
        <v>233</v>
      </c>
    </row>
    <row r="7" customFormat="false" ht="15" hidden="false" customHeight="false" outlineLevel="0" collapsed="false">
      <c r="A7" s="82" t="s">
        <v>234</v>
      </c>
    </row>
    <row r="8" customFormat="false" ht="15" hidden="false" customHeight="false" outlineLevel="0" collapsed="false">
      <c r="A8" s="82" t="s">
        <v>235</v>
      </c>
    </row>
    <row r="9" customFormat="false" ht="15" hidden="false" customHeight="false" outlineLevel="0" collapsed="false">
      <c r="A9" s="82" t="s">
        <v>236</v>
      </c>
    </row>
    <row r="10" customFormat="false" ht="15" hidden="false" customHeight="false" outlineLevel="0" collapsed="false">
      <c r="A10" s="81" t="s">
        <v>237</v>
      </c>
    </row>
    <row r="11" customFormat="false" ht="15" hidden="false" customHeight="false" outlineLevel="0" collapsed="false">
      <c r="A11" s="82" t="s">
        <v>238</v>
      </c>
    </row>
    <row r="12" customFormat="false" ht="15" hidden="false" customHeight="false" outlineLevel="0" collapsed="false">
      <c r="A12" s="82" t="s">
        <v>239</v>
      </c>
    </row>
    <row r="13" customFormat="false" ht="15" hidden="false" customHeight="false" outlineLevel="0" collapsed="false">
      <c r="A13" s="82" t="s">
        <v>240</v>
      </c>
    </row>
    <row r="14" customFormat="false" ht="15" hidden="false" customHeight="false" outlineLevel="0" collapsed="false">
      <c r="A14" s="82" t="s">
        <v>241</v>
      </c>
    </row>
    <row r="15" customFormat="false" ht="15" hidden="false" customHeight="false" outlineLevel="0" collapsed="false">
      <c r="A15" s="82" t="s">
        <v>64</v>
      </c>
    </row>
    <row r="16" customFormat="false" ht="15" hidden="false" customHeight="false" outlineLevel="0" collapsed="false">
      <c r="A16" s="82" t="s">
        <v>39</v>
      </c>
    </row>
    <row r="17" customFormat="false" ht="15" hidden="false" customHeight="false" outlineLevel="0" collapsed="false">
      <c r="A17" s="81" t="s">
        <v>242</v>
      </c>
    </row>
    <row r="18" customFormat="false" ht="15" hidden="false" customHeight="false" outlineLevel="0" collapsed="false">
      <c r="A18" s="82" t="s">
        <v>243</v>
      </c>
    </row>
    <row r="19" customFormat="false" ht="15" hidden="false" customHeight="false" outlineLevel="0" collapsed="false">
      <c r="A19" s="82" t="s">
        <v>244</v>
      </c>
    </row>
    <row r="20" customFormat="false" ht="15" hidden="false" customHeight="false" outlineLevel="0" collapsed="false">
      <c r="A20" s="82" t="s">
        <v>245</v>
      </c>
    </row>
    <row r="21" customFormat="false" ht="15" hidden="false" customHeight="false" outlineLevel="0" collapsed="false">
      <c r="A21" s="81" t="s">
        <v>41</v>
      </c>
    </row>
    <row r="22" customFormat="false" ht="15" hidden="false" customHeight="false" outlineLevel="0" collapsed="false">
      <c r="A22" s="82" t="s">
        <v>234</v>
      </c>
    </row>
    <row r="23" customFormat="false" ht="15" hidden="false" customHeight="false" outlineLevel="0" collapsed="false">
      <c r="A23" s="82" t="s">
        <v>246</v>
      </c>
    </row>
    <row r="24" customFormat="false" ht="15" hidden="false" customHeight="false" outlineLevel="0" collapsed="false">
      <c r="A24" s="82" t="s">
        <v>247</v>
      </c>
    </row>
    <row r="25" customFormat="false" ht="15" hidden="false" customHeight="false" outlineLevel="0" collapsed="false">
      <c r="A25" s="82" t="s">
        <v>248</v>
      </c>
    </row>
    <row r="26" customFormat="false" ht="15" hidden="false" customHeight="false" outlineLevel="0" collapsed="false">
      <c r="A26" s="82" t="s">
        <v>249</v>
      </c>
    </row>
    <row r="27" customFormat="false" ht="15" hidden="false" customHeight="false" outlineLevel="0" collapsed="false">
      <c r="A27" s="81" t="s">
        <v>250</v>
      </c>
    </row>
    <row r="28" customFormat="false" ht="15" hidden="false" customHeight="false" outlineLevel="0" collapsed="false">
      <c r="A28" s="82" t="s">
        <v>251</v>
      </c>
    </row>
    <row r="29" customFormat="false" ht="15" hidden="false" customHeight="false" outlineLevel="0" collapsed="false">
      <c r="A29" s="82" t="s">
        <v>252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573"/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0" activeCellId="0" sqref="A30"/>
    </sheetView>
  </sheetViews>
  <sheetFormatPr defaultColWidth="8.5390625" defaultRowHeight="15" zeroHeight="false" outlineLevelRow="0" outlineLevelCol="0"/>
  <cols>
    <col collapsed="false" customWidth="true" hidden="false" outlineLevel="0" max="6" min="6" style="1" width="11.86"/>
  </cols>
  <sheetData>
    <row r="1" customFormat="false" ht="15" hidden="false" customHeight="false" outlineLevel="0" collapsed="false">
      <c r="A1" s="0" t="s">
        <v>253</v>
      </c>
    </row>
    <row r="2" customFormat="false" ht="15" hidden="false" customHeight="false" outlineLevel="0" collapsed="false">
      <c r="B2" s="0" t="s">
        <v>254</v>
      </c>
      <c r="C2" s="0" t="s">
        <v>255</v>
      </c>
      <c r="D2" s="0" t="s">
        <v>256</v>
      </c>
    </row>
    <row r="3" customFormat="false" ht="15" hidden="false" customHeight="false" outlineLevel="0" collapsed="false">
      <c r="A3" s="0" t="s">
        <v>257</v>
      </c>
      <c r="B3" s="0" t="n">
        <v>24</v>
      </c>
      <c r="C3" s="0" t="n">
        <v>6</v>
      </c>
      <c r="F3" s="1" t="s">
        <v>258</v>
      </c>
    </row>
    <row r="4" customFormat="false" ht="15" hidden="false" customHeight="false" outlineLevel="0" collapsed="false">
      <c r="F4" s="1" t="s">
        <v>259</v>
      </c>
    </row>
    <row r="5" customFormat="false" ht="15" hidden="false" customHeight="false" outlineLevel="0" collapsed="false">
      <c r="E5" s="0" t="s">
        <v>260</v>
      </c>
      <c r="F5" s="79" t="n">
        <v>110</v>
      </c>
      <c r="G5" s="79" t="n">
        <v>240</v>
      </c>
    </row>
    <row r="6" customFormat="false" ht="15" hidden="false" customHeight="false" outlineLevel="0" collapsed="false">
      <c r="F6" s="79" t="n">
        <v>130</v>
      </c>
      <c r="G6" s="79" t="n">
        <v>210</v>
      </c>
    </row>
    <row r="7" customFormat="false" ht="15" hidden="false" customHeight="false" outlineLevel="0" collapsed="false">
      <c r="F7" s="79" t="n">
        <v>150</v>
      </c>
      <c r="G7" s="79" t="n">
        <v>230</v>
      </c>
    </row>
    <row r="8" customFormat="false" ht="15" hidden="false" customHeight="false" outlineLevel="0" collapsed="false">
      <c r="F8" s="79" t="n">
        <v>170</v>
      </c>
      <c r="G8" s="79" t="n">
        <v>200</v>
      </c>
    </row>
    <row r="9" customFormat="false" ht="15" hidden="false" customHeight="false" outlineLevel="0" collapsed="false">
      <c r="F9" s="79" t="n">
        <v>180</v>
      </c>
      <c r="G9" s="79" t="n">
        <v>190</v>
      </c>
    </row>
    <row r="11" customFormat="false" ht="15" hidden="false" customHeight="false" outlineLevel="0" collapsed="false">
      <c r="F11" s="1" t="s">
        <v>261</v>
      </c>
      <c r="G11" s="1" t="s">
        <v>262</v>
      </c>
    </row>
    <row r="12" customFormat="false" ht="15" hidden="false" customHeight="false" outlineLevel="0" collapsed="false">
      <c r="F12" s="1" t="s">
        <v>263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573"/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0" activeCellId="0" sqref="A30"/>
    </sheetView>
  </sheetViews>
  <sheetFormatPr defaultColWidth="8.5390625" defaultRowHeight="15" zeroHeight="false" outlineLevelRow="0" outlineLevelCol="0"/>
  <sheetData>
    <row r="1" s="83" customFormat="true" ht="15" hidden="false" customHeight="false" outlineLevel="0" collapsed="false">
      <c r="A1" s="83" t="s">
        <v>264</v>
      </c>
    </row>
    <row r="2" customFormat="false" ht="15" hidden="false" customHeight="false" outlineLevel="0" collapsed="false">
      <c r="A2" s="0" t="s">
        <v>265</v>
      </c>
      <c r="B2" s="82" t="s">
        <v>266</v>
      </c>
    </row>
    <row r="3" customFormat="false" ht="15" hidden="false" customHeight="false" outlineLevel="0" collapsed="false">
      <c r="A3" s="0" t="s">
        <v>265</v>
      </c>
      <c r="B3" s="82"/>
    </row>
    <row r="4" customFormat="false" ht="15" hidden="false" customHeight="false" outlineLevel="0" collapsed="false">
      <c r="A4" s="0" t="s">
        <v>265</v>
      </c>
      <c r="B4" s="82" t="s">
        <v>267</v>
      </c>
    </row>
    <row r="5" customFormat="false" ht="15" hidden="false" customHeight="false" outlineLevel="0" collapsed="false">
      <c r="A5" s="0" t="s">
        <v>265</v>
      </c>
      <c r="B5" s="82"/>
    </row>
    <row r="6" customFormat="false" ht="15" hidden="false" customHeight="false" outlineLevel="0" collapsed="false">
      <c r="A6" s="0" t="s">
        <v>265</v>
      </c>
      <c r="B6" s="82" t="s">
        <v>268</v>
      </c>
    </row>
    <row r="7" customFormat="false" ht="15" hidden="false" customHeight="false" outlineLevel="0" collapsed="false">
      <c r="A7" s="0" t="s">
        <v>265</v>
      </c>
      <c r="B7" s="82"/>
    </row>
    <row r="8" customFormat="false" ht="15" hidden="false" customHeight="false" outlineLevel="0" collapsed="false">
      <c r="A8" s="0" t="s">
        <v>265</v>
      </c>
      <c r="B8" s="82" t="s">
        <v>269</v>
      </c>
    </row>
    <row r="9" customFormat="false" ht="15" hidden="false" customHeight="false" outlineLevel="0" collapsed="false">
      <c r="A9" s="0" t="s">
        <v>265</v>
      </c>
      <c r="B9" s="82"/>
    </row>
    <row r="10" customFormat="false" ht="15" hidden="false" customHeight="false" outlineLevel="0" collapsed="false">
      <c r="A10" s="0" t="s">
        <v>265</v>
      </c>
      <c r="B10" s="82" t="s">
        <v>270</v>
      </c>
    </row>
    <row r="11" customFormat="false" ht="15" hidden="false" customHeight="false" outlineLevel="0" collapsed="false">
      <c r="A11" s="0" t="s">
        <v>265</v>
      </c>
      <c r="B11" s="82"/>
    </row>
    <row r="12" customFormat="false" ht="15" hidden="false" customHeight="false" outlineLevel="0" collapsed="false">
      <c r="A12" s="0" t="s">
        <v>265</v>
      </c>
      <c r="B12" s="82" t="s">
        <v>271</v>
      </c>
    </row>
    <row r="13" s="83" customFormat="true" ht="15" hidden="false" customHeight="false" outlineLevel="0" collapsed="false"/>
    <row r="14" customFormat="false" ht="15" hidden="false" customHeight="false" outlineLevel="0" collapsed="false">
      <c r="A14" s="0" t="s">
        <v>272</v>
      </c>
      <c r="B14" s="82" t="s">
        <v>273</v>
      </c>
    </row>
    <row r="15" customFormat="false" ht="15" hidden="false" customHeight="false" outlineLevel="0" collapsed="false">
      <c r="A15" s="0" t="s">
        <v>272</v>
      </c>
      <c r="B15" s="82"/>
    </row>
    <row r="16" customFormat="false" ht="15" hidden="false" customHeight="false" outlineLevel="0" collapsed="false">
      <c r="A16" s="0" t="s">
        <v>272</v>
      </c>
      <c r="B16" s="82" t="s">
        <v>274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78"/>
    <pageSetUpPr fitToPage="true"/>
  </sheetPr>
  <dimension ref="A1:AN2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244" activeCellId="0" sqref="G244"/>
    </sheetView>
  </sheetViews>
  <sheetFormatPr defaultColWidth="8.539062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4" min="3" style="1" width="11"/>
    <col collapsed="false" customWidth="true" hidden="false" outlineLevel="0" max="5" min="5" style="1" width="8"/>
    <col collapsed="false" customWidth="true" hidden="false" outlineLevel="0" max="6" min="6" style="1" width="9"/>
    <col collapsed="false" customWidth="true" hidden="false" outlineLevel="0" max="7" min="7" style="1" width="8"/>
    <col collapsed="false" customWidth="true" hidden="false" outlineLevel="0" max="8" min="8" style="1" width="9"/>
    <col collapsed="false" customWidth="true" hidden="false" outlineLevel="0" max="9" min="9" style="1" width="8"/>
    <col collapsed="false" customWidth="true" hidden="false" outlineLevel="0" max="11" min="10" style="1" width="12"/>
    <col collapsed="false" customWidth="true" hidden="false" outlineLevel="0" max="12" min="12" style="1" width="11"/>
    <col collapsed="false" customWidth="true" hidden="false" outlineLevel="0" max="13" min="13" style="1" width="9"/>
    <col collapsed="false" customWidth="true" hidden="false" outlineLevel="0" max="14" min="14" style="1" width="42"/>
    <col collapsed="false" customWidth="true" hidden="false" outlineLevel="0" max="31" min="15" style="1" width="11"/>
  </cols>
  <sheetData>
    <row r="1" customFormat="false" ht="30" hidden="false" customHeight="true" outlineLevel="0" collapsed="false">
      <c r="A1" s="84" t="s">
        <v>56</v>
      </c>
      <c r="B1" s="84" t="s">
        <v>57</v>
      </c>
      <c r="C1" s="84" t="s">
        <v>58</v>
      </c>
      <c r="D1" s="84" t="s">
        <v>59</v>
      </c>
      <c r="E1" s="84" t="s">
        <v>60</v>
      </c>
      <c r="F1" s="84" t="s">
        <v>61</v>
      </c>
      <c r="G1" s="84" t="s">
        <v>275</v>
      </c>
      <c r="H1" s="84" t="s">
        <v>63</v>
      </c>
      <c r="I1" s="84" t="s">
        <v>276</v>
      </c>
      <c r="J1" s="84" t="s">
        <v>64</v>
      </c>
      <c r="K1" s="84" t="s">
        <v>39</v>
      </c>
      <c r="L1" s="84" t="s">
        <v>65</v>
      </c>
      <c r="M1" s="84" t="s">
        <v>66</v>
      </c>
      <c r="N1" s="84" t="s">
        <v>277</v>
      </c>
      <c r="O1" s="84" t="s">
        <v>68</v>
      </c>
      <c r="P1" s="85" t="s">
        <v>278</v>
      </c>
      <c r="Q1" s="85" t="s">
        <v>15</v>
      </c>
      <c r="R1" s="85" t="s">
        <v>279</v>
      </c>
      <c r="S1" s="85" t="s">
        <v>280</v>
      </c>
      <c r="T1" s="85" t="s">
        <v>281</v>
      </c>
      <c r="U1" s="85" t="s">
        <v>282</v>
      </c>
      <c r="V1" s="85" t="s">
        <v>283</v>
      </c>
      <c r="W1" s="85" t="s">
        <v>284</v>
      </c>
      <c r="X1" s="85" t="s">
        <v>285</v>
      </c>
      <c r="Y1" s="85" t="s">
        <v>286</v>
      </c>
      <c r="Z1" s="85" t="s">
        <v>287</v>
      </c>
      <c r="AA1" s="85" t="s">
        <v>288</v>
      </c>
      <c r="AB1" s="85" t="s">
        <v>289</v>
      </c>
      <c r="AC1" s="85" t="s">
        <v>290</v>
      </c>
      <c r="AD1" s="85" t="s">
        <v>291</v>
      </c>
      <c r="AE1" s="85" t="s">
        <v>292</v>
      </c>
      <c r="AF1" s="1"/>
      <c r="AG1" s="1"/>
      <c r="AH1" s="1"/>
      <c r="AI1" s="1"/>
      <c r="AJ1" s="1"/>
      <c r="AK1" s="1"/>
      <c r="AL1" s="1"/>
      <c r="AM1" s="1"/>
      <c r="AN1" s="1"/>
    </row>
    <row r="2" customFormat="false" ht="18" hidden="false" customHeight="true" outlineLevel="0" collapsed="false">
      <c r="A2" s="86" t="n">
        <f aca="false">IF(ISNUMBER('Timeline Estacas'!A2),'Timeline Estacas'!A2,"")</f>
        <v>46227</v>
      </c>
      <c r="B2" s="87" t="n">
        <f aca="false">IF($A2="","",$A2)</f>
        <v>46227</v>
      </c>
      <c r="C2" s="88" t="n">
        <f aca="false">IF(ISNUMBER('Timeline Estacas'!C2),'Timeline Estacas'!C2,"")</f>
        <v>266</v>
      </c>
      <c r="D2" s="88" t="n">
        <f aca="false">IF(ISNUMBER('Timeline Estacas'!D2),'Timeline Estacas'!D2,"")</f>
        <v>39</v>
      </c>
      <c r="E2" s="88" t="str">
        <f aca="false">IF($D2="","","S-"&amp;TEXT($D2,"00"))</f>
        <v>S-39</v>
      </c>
      <c r="F2" s="88" t="str">
        <f aca="false">IF(ISNUMBER('Timeline Estacas'!F2),'Timeline Estacas'!F2,"")</f>
        <v/>
      </c>
      <c r="G2" s="88" t="str">
        <f aca="false">IF($F2="","",IF('Timeline Estacas'!G2&lt;&gt;"",'Timeline Estacas'!G2,'Timeline Estacas'!I2))</f>
        <v/>
      </c>
      <c r="H2" s="88" t="str">
        <f aca="false">IF(ISNUMBER('Timeline Estacas'!H2),'Timeline Estacas'!H2,"")</f>
        <v/>
      </c>
      <c r="I2" s="88" t="str">
        <f aca="false">IF($H2="","",'Timeline Estacas'!I2)</f>
        <v/>
      </c>
      <c r="J2" s="86" t="str">
        <f aca="false">IF(ISNUMBER('Timeline Estacas'!J2),'Timeline Estacas'!J2,"")</f>
        <v/>
      </c>
      <c r="K2" s="88" t="str">
        <f aca="false">IF('Timeline Estacas'!K2="","",'Timeline Estacas'!K2)</f>
        <v/>
      </c>
      <c r="L2" s="88" t="str">
        <f aca="false">IF('Timeline Estacas'!L2="","",'Timeline Estacas'!L2)</f>
        <v/>
      </c>
      <c r="M2" s="88" t="str">
        <f aca="false">IF('Timeline Estacas'!M2="","",'Timeline Estacas'!M2)</f>
        <v/>
      </c>
      <c r="N2" s="89" t="str">
        <f aca="false">IF('Timeline Estacas'!N2="","",'Timeline Estacas'!N2)</f>
        <v/>
      </c>
      <c r="O2" s="90" t="str">
        <f aca="false">IF(ISNUMBER('Timeline Estacas'!O2),'Timeline Estacas'!O2,"")</f>
        <v/>
      </c>
      <c r="P2" s="91" t="n">
        <f aca="false">IF($Q2&gt;0,1,0)</f>
        <v>0</v>
      </c>
      <c r="Q2" s="91" t="n">
        <f aca="false">IF($F2="",0,1)+IF($H2="",0,1)</f>
        <v>0</v>
      </c>
      <c r="R2" s="91" t="n">
        <f aca="false">IF($N2="",0,1)</f>
        <v>0</v>
      </c>
      <c r="S2" s="91" t="n">
        <f aca="false">IF($F2="",0,1)</f>
        <v>0</v>
      </c>
      <c r="T2" s="91" t="n">
        <f aca="false">IF($H2="",0,1)</f>
        <v>0</v>
      </c>
      <c r="U2" s="91" t="n">
        <f aca="false">IF($J2="",0,1)</f>
        <v>0</v>
      </c>
      <c r="V2" s="91" t="n">
        <f aca="true">IF($J2="",0,IF($J2&lt;=TODAY(),1,0))</f>
        <v>0</v>
      </c>
      <c r="W2" s="92" t="n">
        <f aca="false">IF($O2="",0,$O2)</f>
        <v>0</v>
      </c>
      <c r="X2" s="91" t="str">
        <f aca="false">IF($R2=1,SUM($R$2:$R2),"")</f>
        <v/>
      </c>
      <c r="Y2" s="91" t="n">
        <f aca="false">IF($F2="",0,IF(COUNTIF($F$2:$F2,$F2)+COUNTIF($H$2:$H2,$F2)&gt;1,1,0))+IF($H2="",0,IF(COUNTIF($F$2:$F2,$H2)+COUNTIF($H$2:$H2,$H2)&gt;1,1,0))</f>
        <v>0</v>
      </c>
      <c r="Z2" s="91" t="n">
        <f aca="false">IF($Q2=0,0,IF(COUNTIFS($A$2:$A2,$A2,$Q$2:$Q2,"&gt;0")=1,1,0))</f>
        <v>0</v>
      </c>
      <c r="AA2" s="93" t="str">
        <f aca="false">IF($Q2&gt;0,$A2,"")</f>
        <v/>
      </c>
      <c r="AB2" s="91" t="n">
        <f aca="false">IF($K2="",0,1)</f>
        <v>0</v>
      </c>
      <c r="AC2" s="91" t="n">
        <f aca="false">IF($L2="",0,1)</f>
        <v>0</v>
      </c>
      <c r="AD2" s="91" t="n">
        <f aca="false">IF($M2="",0,1)</f>
        <v>0</v>
      </c>
      <c r="AE2" s="91" t="str">
        <f aca="false">IF($Q2&gt;0,$D2,"")</f>
        <v/>
      </c>
      <c r="AF2" s="1"/>
      <c r="AG2" s="1"/>
      <c r="AH2" s="1"/>
      <c r="AI2" s="1"/>
      <c r="AJ2" s="1"/>
      <c r="AK2" s="1"/>
      <c r="AL2" s="1"/>
      <c r="AM2" s="1"/>
      <c r="AN2" s="1"/>
    </row>
    <row r="3" customFormat="false" ht="18" hidden="false" customHeight="true" outlineLevel="0" collapsed="false">
      <c r="A3" s="86" t="n">
        <f aca="false">IF(ISNUMBER('Timeline Estacas'!A3),'Timeline Estacas'!A3,"")</f>
        <v>46228</v>
      </c>
      <c r="B3" s="87" t="n">
        <f aca="false">IF($A3="","",$A3)</f>
        <v>46228</v>
      </c>
      <c r="C3" s="88" t="n">
        <f aca="false">IF(ISNUMBER('Timeline Estacas'!C3),'Timeline Estacas'!C3,"")</f>
        <v>267</v>
      </c>
      <c r="D3" s="88" t="n">
        <f aca="false">IF(ISNUMBER('Timeline Estacas'!D3),'Timeline Estacas'!D3,"")</f>
        <v>39</v>
      </c>
      <c r="E3" s="88" t="str">
        <f aca="false">IF($D3="","","S-"&amp;TEXT($D3,"00"))</f>
        <v>S-39</v>
      </c>
      <c r="F3" s="88" t="str">
        <f aca="false">IF(ISNUMBER('Timeline Estacas'!F3),'Timeline Estacas'!F3,"")</f>
        <v/>
      </c>
      <c r="G3" s="88" t="str">
        <f aca="false">IF($F3="","",IF('Timeline Estacas'!G3&lt;&gt;"",'Timeline Estacas'!G3,'Timeline Estacas'!I3))</f>
        <v/>
      </c>
      <c r="H3" s="88" t="str">
        <f aca="false">IF(ISNUMBER('Timeline Estacas'!H3),'Timeline Estacas'!H3,"")</f>
        <v/>
      </c>
      <c r="I3" s="88" t="str">
        <f aca="false">IF($H3="","",'Timeline Estacas'!I3)</f>
        <v/>
      </c>
      <c r="J3" s="86" t="str">
        <f aca="false">IF(ISNUMBER('Timeline Estacas'!J3),'Timeline Estacas'!J3,"")</f>
        <v/>
      </c>
      <c r="K3" s="88" t="str">
        <f aca="false">IF('Timeline Estacas'!K3="","",'Timeline Estacas'!K3)</f>
        <v/>
      </c>
      <c r="L3" s="88" t="str">
        <f aca="false">IF('Timeline Estacas'!L3="","",'Timeline Estacas'!L3)</f>
        <v/>
      </c>
      <c r="M3" s="88" t="str">
        <f aca="false">IF('Timeline Estacas'!M3="","",'Timeline Estacas'!M3)</f>
        <v/>
      </c>
      <c r="N3" s="89" t="str">
        <f aca="false">IF('Timeline Estacas'!N3="","",'Timeline Estacas'!N3)</f>
        <v/>
      </c>
      <c r="O3" s="90" t="str">
        <f aca="false">IF(ISNUMBER('Timeline Estacas'!O3),'Timeline Estacas'!O3,"")</f>
        <v/>
      </c>
      <c r="P3" s="91" t="n">
        <f aca="false">IF($Q3&gt;0,1,0)</f>
        <v>0</v>
      </c>
      <c r="Q3" s="91" t="n">
        <f aca="false">IF($F3="",0,1)+IF($H3="",0,1)</f>
        <v>0</v>
      </c>
      <c r="R3" s="91" t="n">
        <f aca="false">IF($N3="",0,1)</f>
        <v>0</v>
      </c>
      <c r="S3" s="91" t="n">
        <f aca="false">IF($F3="",0,1)</f>
        <v>0</v>
      </c>
      <c r="T3" s="91" t="n">
        <f aca="false">IF($H3="",0,1)</f>
        <v>0</v>
      </c>
      <c r="U3" s="91" t="n">
        <f aca="false">IF($J3="",0,1)</f>
        <v>0</v>
      </c>
      <c r="V3" s="91" t="n">
        <f aca="true">IF($J3="",0,IF($J3&lt;=TODAY(),1,0))</f>
        <v>0</v>
      </c>
      <c r="W3" s="92" t="n">
        <f aca="false">IF($O3="",0,$O3)</f>
        <v>0</v>
      </c>
      <c r="X3" s="91" t="str">
        <f aca="false">IF($R3=1,SUM($R$2:$R3),"")</f>
        <v/>
      </c>
      <c r="Y3" s="91" t="n">
        <f aca="false">IF($F3="",0,IF(COUNTIF($F$2:$F3,$F3)+COUNTIF($H$2:$H3,$F3)&gt;1,1,0))+IF($H3="",0,IF(COUNTIF($F$2:$F3,$H3)+COUNTIF($H$2:$H3,$H3)&gt;1,1,0))</f>
        <v>0</v>
      </c>
      <c r="Z3" s="91" t="n">
        <f aca="false">IF($Q3=0,0,IF(COUNTIFS($A$2:$A3,$A3,$Q$2:$Q3,"&gt;0")=1,1,0))</f>
        <v>0</v>
      </c>
      <c r="AA3" s="93" t="str">
        <f aca="false">IF($Q3&gt;0,$A3,"")</f>
        <v/>
      </c>
      <c r="AB3" s="91" t="n">
        <f aca="false">IF($K3="",0,1)</f>
        <v>0</v>
      </c>
      <c r="AC3" s="91" t="n">
        <f aca="false">IF($L3="",0,1)</f>
        <v>0</v>
      </c>
      <c r="AD3" s="91" t="n">
        <f aca="false">IF($M3="",0,1)</f>
        <v>0</v>
      </c>
      <c r="AE3" s="91" t="str">
        <f aca="false">IF($Q3&gt;0,$D3,"")</f>
        <v/>
      </c>
      <c r="AF3" s="1"/>
      <c r="AG3" s="1"/>
      <c r="AH3" s="1"/>
      <c r="AI3" s="1"/>
      <c r="AJ3" s="1"/>
      <c r="AK3" s="1"/>
      <c r="AL3" s="1"/>
      <c r="AM3" s="1"/>
      <c r="AN3" s="1"/>
    </row>
    <row r="4" customFormat="false" ht="18" hidden="false" customHeight="true" outlineLevel="0" collapsed="false">
      <c r="A4" s="86" t="n">
        <f aca="false">IF(ISNUMBER('Timeline Estacas'!A4),'Timeline Estacas'!A4,"")</f>
        <v>46229</v>
      </c>
      <c r="B4" s="87" t="n">
        <f aca="false">IF($A4="","",$A4)</f>
        <v>46229</v>
      </c>
      <c r="C4" s="88" t="n">
        <f aca="false">IF(ISNUMBER('Timeline Estacas'!C4),'Timeline Estacas'!C4,"")</f>
        <v>268</v>
      </c>
      <c r="D4" s="88" t="n">
        <f aca="false">IF(ISNUMBER('Timeline Estacas'!D4),'Timeline Estacas'!D4,"")</f>
        <v>39</v>
      </c>
      <c r="E4" s="88" t="str">
        <f aca="false">IF($D4="","","S-"&amp;TEXT($D4,"00"))</f>
        <v>S-39</v>
      </c>
      <c r="F4" s="88" t="str">
        <f aca="false">IF(ISNUMBER('Timeline Estacas'!F4),'Timeline Estacas'!F4,"")</f>
        <v/>
      </c>
      <c r="G4" s="88" t="str">
        <f aca="false">IF($F4="","",IF('Timeline Estacas'!G4&lt;&gt;"",'Timeline Estacas'!G4,'Timeline Estacas'!I4))</f>
        <v/>
      </c>
      <c r="H4" s="88" t="str">
        <f aca="false">IF(ISNUMBER('Timeline Estacas'!H4),'Timeline Estacas'!H4,"")</f>
        <v/>
      </c>
      <c r="I4" s="88" t="str">
        <f aca="false">IF($H4="","",'Timeline Estacas'!I4)</f>
        <v/>
      </c>
      <c r="J4" s="86" t="str">
        <f aca="false">IF(ISNUMBER('Timeline Estacas'!J4),'Timeline Estacas'!J4,"")</f>
        <v/>
      </c>
      <c r="K4" s="88" t="str">
        <f aca="false">IF('Timeline Estacas'!K4="","",'Timeline Estacas'!K4)</f>
        <v/>
      </c>
      <c r="L4" s="88" t="str">
        <f aca="false">IF('Timeline Estacas'!L4="","",'Timeline Estacas'!L4)</f>
        <v/>
      </c>
      <c r="M4" s="88" t="str">
        <f aca="false">IF('Timeline Estacas'!M4="","",'Timeline Estacas'!M4)</f>
        <v/>
      </c>
      <c r="N4" s="89" t="str">
        <f aca="false">IF('Timeline Estacas'!N4="","",'Timeline Estacas'!N4)</f>
        <v/>
      </c>
      <c r="O4" s="90" t="str">
        <f aca="false">IF(ISNUMBER('Timeline Estacas'!O4),'Timeline Estacas'!O4,"")</f>
        <v/>
      </c>
      <c r="P4" s="91" t="n">
        <f aca="false">IF($Q4&gt;0,1,0)</f>
        <v>0</v>
      </c>
      <c r="Q4" s="91" t="n">
        <f aca="false">IF($F4="",0,1)+IF($H4="",0,1)</f>
        <v>0</v>
      </c>
      <c r="R4" s="91" t="n">
        <f aca="false">IF($N4="",0,1)</f>
        <v>0</v>
      </c>
      <c r="S4" s="91" t="n">
        <f aca="false">IF($F4="",0,1)</f>
        <v>0</v>
      </c>
      <c r="T4" s="91" t="n">
        <f aca="false">IF($H4="",0,1)</f>
        <v>0</v>
      </c>
      <c r="U4" s="91" t="n">
        <f aca="false">IF($J4="",0,1)</f>
        <v>0</v>
      </c>
      <c r="V4" s="91" t="n">
        <f aca="true">IF($J4="",0,IF($J4&lt;=TODAY(),1,0))</f>
        <v>0</v>
      </c>
      <c r="W4" s="92" t="n">
        <f aca="false">IF($O4="",0,$O4)</f>
        <v>0</v>
      </c>
      <c r="X4" s="91" t="str">
        <f aca="false">IF($R4=1,SUM($R$2:$R4),"")</f>
        <v/>
      </c>
      <c r="Y4" s="91" t="n">
        <f aca="false">IF($F4="",0,IF(COUNTIF($F$2:$F4,$F4)+COUNTIF($H$2:$H4,$F4)&gt;1,1,0))+IF($H4="",0,IF(COUNTIF($F$2:$F4,$H4)+COUNTIF($H$2:$H4,$H4)&gt;1,1,0))</f>
        <v>0</v>
      </c>
      <c r="Z4" s="91" t="n">
        <f aca="false">IF($Q4=0,0,IF(COUNTIFS($A$2:$A4,$A4,$Q$2:$Q4,"&gt;0")=1,1,0))</f>
        <v>0</v>
      </c>
      <c r="AA4" s="93" t="str">
        <f aca="false">IF($Q4&gt;0,$A4,"")</f>
        <v/>
      </c>
      <c r="AB4" s="91" t="n">
        <f aca="false">IF($K4="",0,1)</f>
        <v>0</v>
      </c>
      <c r="AC4" s="91" t="n">
        <f aca="false">IF($L4="",0,1)</f>
        <v>0</v>
      </c>
      <c r="AD4" s="91" t="n">
        <f aca="false">IF($M4="",0,1)</f>
        <v>0</v>
      </c>
      <c r="AE4" s="91" t="str">
        <f aca="false">IF($Q4&gt;0,$D4,"")</f>
        <v/>
      </c>
      <c r="AF4" s="1"/>
      <c r="AG4" s="1"/>
      <c r="AH4" s="1"/>
      <c r="AI4" s="1"/>
      <c r="AJ4" s="1"/>
      <c r="AK4" s="1"/>
      <c r="AL4" s="1"/>
      <c r="AM4" s="1"/>
      <c r="AN4" s="1"/>
    </row>
    <row r="5" customFormat="false" ht="18" hidden="false" customHeight="true" outlineLevel="0" collapsed="false">
      <c r="A5" s="86" t="n">
        <f aca="false">IF(ISNUMBER('Timeline Estacas'!A5),'Timeline Estacas'!A5,"")</f>
        <v>46230</v>
      </c>
      <c r="B5" s="87" t="n">
        <f aca="false">IF($A5="","",$A5)</f>
        <v>46230</v>
      </c>
      <c r="C5" s="88" t="n">
        <f aca="false">IF(ISNUMBER('Timeline Estacas'!C5),'Timeline Estacas'!C5,"")</f>
        <v>269</v>
      </c>
      <c r="D5" s="88" t="n">
        <f aca="false">IF(ISNUMBER('Timeline Estacas'!D5),'Timeline Estacas'!D5,"")</f>
        <v>39</v>
      </c>
      <c r="E5" s="88" t="str">
        <f aca="false">IF($D5="","","S-"&amp;TEXT($D5,"00"))</f>
        <v>S-39</v>
      </c>
      <c r="F5" s="88" t="str">
        <f aca="false">IF(ISNUMBER('Timeline Estacas'!F5),'Timeline Estacas'!F5,"")</f>
        <v/>
      </c>
      <c r="G5" s="88" t="str">
        <f aca="false">IF($F5="","",IF('Timeline Estacas'!G5&lt;&gt;"",'Timeline Estacas'!G5,'Timeline Estacas'!I5))</f>
        <v/>
      </c>
      <c r="H5" s="88" t="str">
        <f aca="false">IF(ISNUMBER('Timeline Estacas'!H5),'Timeline Estacas'!H5,"")</f>
        <v/>
      </c>
      <c r="I5" s="88" t="str">
        <f aca="false">IF($H5="","",'Timeline Estacas'!I5)</f>
        <v/>
      </c>
      <c r="J5" s="86" t="str">
        <f aca="false">IF(ISNUMBER('Timeline Estacas'!J5),'Timeline Estacas'!J5,"")</f>
        <v/>
      </c>
      <c r="K5" s="88" t="str">
        <f aca="false">IF('Timeline Estacas'!K5="","",'Timeline Estacas'!K5)</f>
        <v/>
      </c>
      <c r="L5" s="88" t="str">
        <f aca="false">IF('Timeline Estacas'!L5="","",'Timeline Estacas'!L5)</f>
        <v/>
      </c>
      <c r="M5" s="88" t="str">
        <f aca="false">IF('Timeline Estacas'!M5="","",'Timeline Estacas'!M5)</f>
        <v/>
      </c>
      <c r="N5" s="89" t="str">
        <f aca="false">IF('Timeline Estacas'!N5="","",'Timeline Estacas'!N5)</f>
        <v/>
      </c>
      <c r="O5" s="90" t="str">
        <f aca="false">IF(ISNUMBER('Timeline Estacas'!O5),'Timeline Estacas'!O5,"")</f>
        <v/>
      </c>
      <c r="P5" s="91" t="n">
        <f aca="false">IF($Q5&gt;0,1,0)</f>
        <v>0</v>
      </c>
      <c r="Q5" s="91" t="n">
        <f aca="false">IF($F5="",0,1)+IF($H5="",0,1)</f>
        <v>0</v>
      </c>
      <c r="R5" s="91" t="n">
        <f aca="false">IF($N5="",0,1)</f>
        <v>0</v>
      </c>
      <c r="S5" s="91" t="n">
        <f aca="false">IF($F5="",0,1)</f>
        <v>0</v>
      </c>
      <c r="T5" s="91" t="n">
        <f aca="false">IF($H5="",0,1)</f>
        <v>0</v>
      </c>
      <c r="U5" s="91" t="n">
        <f aca="false">IF($J5="",0,1)</f>
        <v>0</v>
      </c>
      <c r="V5" s="91" t="n">
        <f aca="true">IF($J5="",0,IF($J5&lt;=TODAY(),1,0))</f>
        <v>0</v>
      </c>
      <c r="W5" s="92" t="n">
        <f aca="false">IF($O5="",0,$O5)</f>
        <v>0</v>
      </c>
      <c r="X5" s="91" t="str">
        <f aca="false">IF($R5=1,SUM($R$2:$R5),"")</f>
        <v/>
      </c>
      <c r="Y5" s="91" t="n">
        <f aca="false">IF($F5="",0,IF(COUNTIF($F$2:$F5,$F5)+COUNTIF($H$2:$H5,$F5)&gt;1,1,0))+IF($H5="",0,IF(COUNTIF($F$2:$F5,$H5)+COUNTIF($H$2:$H5,$H5)&gt;1,1,0))</f>
        <v>0</v>
      </c>
      <c r="Z5" s="91" t="n">
        <f aca="false">IF($Q5=0,0,IF(COUNTIFS($A$2:$A5,$A5,$Q$2:$Q5,"&gt;0")=1,1,0))</f>
        <v>0</v>
      </c>
      <c r="AA5" s="93" t="str">
        <f aca="false">IF($Q5&gt;0,$A5,"")</f>
        <v/>
      </c>
      <c r="AB5" s="91" t="n">
        <f aca="false">IF($K5="",0,1)</f>
        <v>0</v>
      </c>
      <c r="AC5" s="91" t="n">
        <f aca="false">IF($L5="",0,1)</f>
        <v>0</v>
      </c>
      <c r="AD5" s="91" t="n">
        <f aca="false">IF($M5="",0,1)</f>
        <v>0</v>
      </c>
      <c r="AE5" s="91" t="str">
        <f aca="false">IF($Q5&gt;0,$D5,"")</f>
        <v/>
      </c>
      <c r="AF5" s="1"/>
      <c r="AG5" s="1"/>
      <c r="AH5" s="1"/>
      <c r="AI5" s="1"/>
      <c r="AJ5" s="1"/>
      <c r="AK5" s="1"/>
      <c r="AL5" s="1"/>
      <c r="AM5" s="1"/>
      <c r="AN5" s="1"/>
    </row>
    <row r="6" customFormat="false" ht="18" hidden="false" customHeight="true" outlineLevel="0" collapsed="false">
      <c r="A6" s="86" t="n">
        <f aca="false">IF(ISNUMBER('Timeline Estacas'!A6),'Timeline Estacas'!A6,"")</f>
        <v>46231</v>
      </c>
      <c r="B6" s="87" t="n">
        <f aca="false">IF($A6="","",$A6)</f>
        <v>46231</v>
      </c>
      <c r="C6" s="88" t="n">
        <f aca="false">IF(ISNUMBER('Timeline Estacas'!C6),'Timeline Estacas'!C6,"")</f>
        <v>270</v>
      </c>
      <c r="D6" s="88" t="n">
        <f aca="false">IF(ISNUMBER('Timeline Estacas'!D6),'Timeline Estacas'!D6,"")</f>
        <v>39</v>
      </c>
      <c r="E6" s="88" t="str">
        <f aca="false">IF($D6="","","S-"&amp;TEXT($D6,"00"))</f>
        <v>S-39</v>
      </c>
      <c r="F6" s="88" t="str">
        <f aca="false">IF(ISNUMBER('Timeline Estacas'!F6),'Timeline Estacas'!F6,"")</f>
        <v/>
      </c>
      <c r="G6" s="88" t="str">
        <f aca="false">IF($F6="","",IF('Timeline Estacas'!G6&lt;&gt;"",'Timeline Estacas'!G6,'Timeline Estacas'!I6))</f>
        <v/>
      </c>
      <c r="H6" s="88" t="str">
        <f aca="false">IF(ISNUMBER('Timeline Estacas'!H6),'Timeline Estacas'!H6,"")</f>
        <v/>
      </c>
      <c r="I6" s="88" t="str">
        <f aca="false">IF($H6="","",'Timeline Estacas'!I6)</f>
        <v/>
      </c>
      <c r="J6" s="86" t="str">
        <f aca="false">IF(ISNUMBER('Timeline Estacas'!J6),'Timeline Estacas'!J6,"")</f>
        <v/>
      </c>
      <c r="K6" s="88" t="str">
        <f aca="false">IF('Timeline Estacas'!K6="","",'Timeline Estacas'!K6)</f>
        <v/>
      </c>
      <c r="L6" s="88" t="str">
        <f aca="false">IF('Timeline Estacas'!L6="","",'Timeline Estacas'!L6)</f>
        <v/>
      </c>
      <c r="M6" s="88" t="str">
        <f aca="false">IF('Timeline Estacas'!M6="","",'Timeline Estacas'!M6)</f>
        <v/>
      </c>
      <c r="N6" s="89" t="str">
        <f aca="false">IF('Timeline Estacas'!N6="","",'Timeline Estacas'!N6)</f>
        <v/>
      </c>
      <c r="O6" s="90" t="str">
        <f aca="false">IF(ISNUMBER('Timeline Estacas'!O6),'Timeline Estacas'!O6,"")</f>
        <v/>
      </c>
      <c r="P6" s="91" t="n">
        <f aca="false">IF($Q6&gt;0,1,0)</f>
        <v>0</v>
      </c>
      <c r="Q6" s="91" t="n">
        <f aca="false">IF($F6="",0,1)+IF($H6="",0,1)</f>
        <v>0</v>
      </c>
      <c r="R6" s="91" t="n">
        <f aca="false">IF($N6="",0,1)</f>
        <v>0</v>
      </c>
      <c r="S6" s="91" t="n">
        <f aca="false">IF($F6="",0,1)</f>
        <v>0</v>
      </c>
      <c r="T6" s="91" t="n">
        <f aca="false">IF($H6="",0,1)</f>
        <v>0</v>
      </c>
      <c r="U6" s="91" t="n">
        <f aca="false">IF($J6="",0,1)</f>
        <v>0</v>
      </c>
      <c r="V6" s="91" t="n">
        <f aca="true">IF($J6="",0,IF($J6&lt;=TODAY(),1,0))</f>
        <v>0</v>
      </c>
      <c r="W6" s="92" t="n">
        <f aca="false">IF($O6="",0,$O6)</f>
        <v>0</v>
      </c>
      <c r="X6" s="91" t="str">
        <f aca="false">IF($R6=1,SUM($R$2:$R6),"")</f>
        <v/>
      </c>
      <c r="Y6" s="91" t="n">
        <f aca="false">IF($F6="",0,IF(COUNTIF($F$2:$F6,$F6)+COUNTIF($H$2:$H6,$F6)&gt;1,1,0))+IF($H6="",0,IF(COUNTIF($F$2:$F6,$H6)+COUNTIF($H$2:$H6,$H6)&gt;1,1,0))</f>
        <v>0</v>
      </c>
      <c r="Z6" s="91" t="n">
        <f aca="false">IF($Q6=0,0,IF(COUNTIFS($A$2:$A6,$A6,$Q$2:$Q6,"&gt;0")=1,1,0))</f>
        <v>0</v>
      </c>
      <c r="AA6" s="93" t="str">
        <f aca="false">IF($Q6&gt;0,$A6,"")</f>
        <v/>
      </c>
      <c r="AB6" s="91" t="n">
        <f aca="false">IF($K6="",0,1)</f>
        <v>0</v>
      </c>
      <c r="AC6" s="91" t="n">
        <f aca="false">IF($L6="",0,1)</f>
        <v>0</v>
      </c>
      <c r="AD6" s="91" t="n">
        <f aca="false">IF($M6="",0,1)</f>
        <v>0</v>
      </c>
      <c r="AE6" s="91" t="str">
        <f aca="false">IF($Q6&gt;0,$D6,"")</f>
        <v/>
      </c>
      <c r="AF6" s="1"/>
      <c r="AG6" s="1"/>
      <c r="AH6" s="1"/>
      <c r="AI6" s="1"/>
      <c r="AJ6" s="1"/>
      <c r="AK6" s="1"/>
      <c r="AL6" s="1"/>
      <c r="AM6" s="1"/>
      <c r="AN6" s="1"/>
    </row>
    <row r="7" customFormat="false" ht="18" hidden="false" customHeight="true" outlineLevel="0" collapsed="false">
      <c r="A7" s="86" t="n">
        <f aca="false">IF(ISNUMBER('Timeline Estacas'!A7),'Timeline Estacas'!A7,"")</f>
        <v>46232</v>
      </c>
      <c r="B7" s="87" t="n">
        <f aca="false">IF($A7="","",$A7)</f>
        <v>46232</v>
      </c>
      <c r="C7" s="88" t="n">
        <f aca="false">IF(ISNUMBER('Timeline Estacas'!C7),'Timeline Estacas'!C7,"")</f>
        <v>271</v>
      </c>
      <c r="D7" s="88" t="n">
        <f aca="false">IF(ISNUMBER('Timeline Estacas'!D7),'Timeline Estacas'!D7,"")</f>
        <v>39</v>
      </c>
      <c r="E7" s="88" t="str">
        <f aca="false">IF($D7="","","S-"&amp;TEXT($D7,"00"))</f>
        <v>S-39</v>
      </c>
      <c r="F7" s="88" t="str">
        <f aca="false">IF(ISNUMBER('Timeline Estacas'!F7),'Timeline Estacas'!F7,"")</f>
        <v/>
      </c>
      <c r="G7" s="88" t="str">
        <f aca="false">IF($F7="","",IF('Timeline Estacas'!G7&lt;&gt;"",'Timeline Estacas'!G7,'Timeline Estacas'!I7))</f>
        <v/>
      </c>
      <c r="H7" s="88" t="str">
        <f aca="false">IF(ISNUMBER('Timeline Estacas'!H7),'Timeline Estacas'!H7,"")</f>
        <v/>
      </c>
      <c r="I7" s="88" t="str">
        <f aca="false">IF($H7="","",'Timeline Estacas'!I7)</f>
        <v/>
      </c>
      <c r="J7" s="86" t="str">
        <f aca="false">IF(ISNUMBER('Timeline Estacas'!J7),'Timeline Estacas'!J7,"")</f>
        <v/>
      </c>
      <c r="K7" s="88" t="str">
        <f aca="false">IF('Timeline Estacas'!K7="","",'Timeline Estacas'!K7)</f>
        <v/>
      </c>
      <c r="L7" s="88" t="str">
        <f aca="false">IF('Timeline Estacas'!L7="","",'Timeline Estacas'!L7)</f>
        <v/>
      </c>
      <c r="M7" s="88" t="str">
        <f aca="false">IF('Timeline Estacas'!M7="","",'Timeline Estacas'!M7)</f>
        <v/>
      </c>
      <c r="N7" s="89" t="str">
        <f aca="false">IF('Timeline Estacas'!N7="","",'Timeline Estacas'!N7)</f>
        <v>Teste inicial do equipamento </v>
      </c>
      <c r="O7" s="90" t="str">
        <f aca="false">IF(ISNUMBER('Timeline Estacas'!O7),'Timeline Estacas'!O7,"")</f>
        <v/>
      </c>
      <c r="P7" s="91" t="n">
        <f aca="false">IF($Q7&gt;0,1,0)</f>
        <v>0</v>
      </c>
      <c r="Q7" s="91" t="n">
        <f aca="false">IF($F7="",0,1)+IF($H7="",0,1)</f>
        <v>0</v>
      </c>
      <c r="R7" s="91" t="n">
        <f aca="false">IF($N7="",0,1)</f>
        <v>1</v>
      </c>
      <c r="S7" s="91" t="n">
        <f aca="false">IF($F7="",0,1)</f>
        <v>0</v>
      </c>
      <c r="T7" s="91" t="n">
        <f aca="false">IF($H7="",0,1)</f>
        <v>0</v>
      </c>
      <c r="U7" s="91" t="n">
        <f aca="false">IF($J7="",0,1)</f>
        <v>0</v>
      </c>
      <c r="V7" s="91" t="n">
        <f aca="true">IF($J7="",0,IF($J7&lt;=TODAY(),1,0))</f>
        <v>0</v>
      </c>
      <c r="W7" s="92" t="n">
        <f aca="false">IF($O7="",0,$O7)</f>
        <v>0</v>
      </c>
      <c r="X7" s="91" t="n">
        <f aca="false">IF($R7=1,SUM($R$2:$R7),"")</f>
        <v>1</v>
      </c>
      <c r="Y7" s="91" t="n">
        <f aca="false">IF($F7="",0,IF(COUNTIF($F$2:$F7,$F7)+COUNTIF($H$2:$H7,$F7)&gt;1,1,0))+IF($H7="",0,IF(COUNTIF($F$2:$F7,$H7)+COUNTIF($H$2:$H7,$H7)&gt;1,1,0))</f>
        <v>0</v>
      </c>
      <c r="Z7" s="91" t="n">
        <f aca="false">IF($Q7=0,0,IF(COUNTIFS($A$2:$A7,$A7,$Q$2:$Q7,"&gt;0")=1,1,0))</f>
        <v>0</v>
      </c>
      <c r="AA7" s="93" t="str">
        <f aca="false">IF($Q7&gt;0,$A7,"")</f>
        <v/>
      </c>
      <c r="AB7" s="91" t="n">
        <f aca="false">IF($K7="",0,1)</f>
        <v>0</v>
      </c>
      <c r="AC7" s="91" t="n">
        <f aca="false">IF($L7="",0,1)</f>
        <v>0</v>
      </c>
      <c r="AD7" s="91" t="n">
        <f aca="false">IF($M7="",0,1)</f>
        <v>0</v>
      </c>
      <c r="AE7" s="91" t="str">
        <f aca="false">IF($Q7&gt;0,$D7,"")</f>
        <v/>
      </c>
      <c r="AF7" s="1"/>
      <c r="AG7" s="1"/>
      <c r="AH7" s="1"/>
      <c r="AI7" s="1"/>
      <c r="AJ7" s="1"/>
      <c r="AK7" s="1"/>
      <c r="AL7" s="1"/>
      <c r="AM7" s="1"/>
      <c r="AN7" s="1"/>
    </row>
    <row r="8" customFormat="false" ht="18" hidden="false" customHeight="true" outlineLevel="0" collapsed="false">
      <c r="A8" s="86" t="n">
        <f aca="false">IF(ISNUMBER('Timeline Estacas'!A8),'Timeline Estacas'!A8,"")</f>
        <v>46233</v>
      </c>
      <c r="B8" s="87" t="n">
        <f aca="false">IF($A8="","",$A8)</f>
        <v>46233</v>
      </c>
      <c r="C8" s="88" t="n">
        <f aca="false">IF(ISNUMBER('Timeline Estacas'!C8),'Timeline Estacas'!C8,"")</f>
        <v>272</v>
      </c>
      <c r="D8" s="88" t="n">
        <f aca="false">IF(ISNUMBER('Timeline Estacas'!D8),'Timeline Estacas'!D8,"")</f>
        <v>39</v>
      </c>
      <c r="E8" s="88" t="str">
        <f aca="false">IF($D8="","","S-"&amp;TEXT($D8,"00"))</f>
        <v>S-39</v>
      </c>
      <c r="F8" s="88" t="n">
        <f aca="false">IF(ISNUMBER('Timeline Estacas'!F8),'Timeline Estacas'!F8,"")</f>
        <v>70</v>
      </c>
      <c r="G8" s="88" t="str">
        <f aca="false">IF($F8="","",IF('Timeline Estacas'!G8&lt;&gt;"",'Timeline Estacas'!G8,'Timeline Estacas'!I8))</f>
        <v>A</v>
      </c>
      <c r="H8" s="88" t="str">
        <f aca="false">IF(ISNUMBER('Timeline Estacas'!H8),'Timeline Estacas'!H8,"")</f>
        <v/>
      </c>
      <c r="I8" s="88" t="str">
        <f aca="false">IF($H8="","",'Timeline Estacas'!I8)</f>
        <v/>
      </c>
      <c r="J8" s="86" t="n">
        <f aca="false">IF(ISNUMBER('Timeline Estacas'!J8),'Timeline Estacas'!J8,"")</f>
        <v>46247</v>
      </c>
      <c r="K8" s="88" t="str">
        <f aca="false">IF('Timeline Estacas'!K8="","",'Timeline Estacas'!K8)</f>
        <v/>
      </c>
      <c r="L8" s="88" t="str">
        <f aca="false">IF('Timeline Estacas'!L8="","",'Timeline Estacas'!L8)</f>
        <v/>
      </c>
      <c r="M8" s="88" t="str">
        <f aca="false">IF('Timeline Estacas'!M8="","",'Timeline Estacas'!M8)</f>
        <v/>
      </c>
      <c r="N8" s="89" t="str">
        <f aca="false">IF('Timeline Estacas'!N8="","",'Timeline Estacas'!N8)</f>
        <v/>
      </c>
      <c r="O8" s="90" t="str">
        <f aca="false">IF(ISNUMBER('Timeline Estacas'!O8),'Timeline Estacas'!O8,"")</f>
        <v/>
      </c>
      <c r="P8" s="91" t="n">
        <f aca="false">IF($Q8&gt;0,1,0)</f>
        <v>1</v>
      </c>
      <c r="Q8" s="91" t="n">
        <f aca="false">IF($F8="",0,1)+IF($H8="",0,1)</f>
        <v>1</v>
      </c>
      <c r="R8" s="91" t="n">
        <f aca="false">IF($N8="",0,1)</f>
        <v>0</v>
      </c>
      <c r="S8" s="91" t="n">
        <f aca="false">IF($F8="",0,1)</f>
        <v>1</v>
      </c>
      <c r="T8" s="91" t="n">
        <f aca="false">IF($H8="",0,1)</f>
        <v>0</v>
      </c>
      <c r="U8" s="91" t="n">
        <f aca="false">IF($J8="",0,1)</f>
        <v>1</v>
      </c>
      <c r="V8" s="91" t="n">
        <f aca="true">IF($J8="",0,IF($J8&lt;=TODAY(),1,0))</f>
        <v>1</v>
      </c>
      <c r="W8" s="92" t="n">
        <f aca="false">IF($O8="",0,$O8)</f>
        <v>0</v>
      </c>
      <c r="X8" s="91" t="str">
        <f aca="false">IF($R8=1,SUM($R$2:$R8),"")</f>
        <v/>
      </c>
      <c r="Y8" s="91" t="n">
        <f aca="false">IF($F8="",0,IF(COUNTIF($F$2:$F8,$F8)+COUNTIF($H$2:$H8,$F8)&gt;1,1,0))+IF($H8="",0,IF(COUNTIF($F$2:$F8,$H8)+COUNTIF($H$2:$H8,$H8)&gt;1,1,0))</f>
        <v>0</v>
      </c>
      <c r="Z8" s="91" t="n">
        <f aca="false">IF($Q8=0,0,IF(COUNTIFS($A$2:$A8,$A8,$Q$2:$Q8,"&gt;0")=1,1,0))</f>
        <v>1</v>
      </c>
      <c r="AA8" s="93" t="n">
        <f aca="false">IF($Q8&gt;0,$A8,"")</f>
        <v>46233</v>
      </c>
      <c r="AB8" s="91" t="n">
        <f aca="false">IF($K8="",0,1)</f>
        <v>0</v>
      </c>
      <c r="AC8" s="91" t="n">
        <f aca="false">IF($L8="",0,1)</f>
        <v>0</v>
      </c>
      <c r="AD8" s="91" t="n">
        <f aca="false">IF($M8="",0,1)</f>
        <v>0</v>
      </c>
      <c r="AE8" s="91" t="n">
        <f aca="false">IF($Q8&gt;0,$D8,"")</f>
        <v>39</v>
      </c>
      <c r="AF8" s="1"/>
      <c r="AG8" s="1"/>
      <c r="AH8" s="1"/>
      <c r="AI8" s="1"/>
      <c r="AJ8" s="1"/>
      <c r="AK8" s="1"/>
      <c r="AL8" s="1"/>
      <c r="AM8" s="1"/>
      <c r="AN8" s="1"/>
    </row>
    <row r="9" customFormat="false" ht="18" hidden="false" customHeight="true" outlineLevel="0" collapsed="false">
      <c r="A9" s="86" t="n">
        <f aca="false">IF(ISNUMBER('Timeline Estacas'!A9),'Timeline Estacas'!A9,"")</f>
        <v>46233</v>
      </c>
      <c r="B9" s="87" t="n">
        <f aca="false">IF($A9="","",$A9)</f>
        <v>46233</v>
      </c>
      <c r="C9" s="88" t="n">
        <f aca="false">IF(ISNUMBER('Timeline Estacas'!C9),'Timeline Estacas'!C9,"")</f>
        <v>272</v>
      </c>
      <c r="D9" s="88" t="n">
        <f aca="false">IF(ISNUMBER('Timeline Estacas'!D9),'Timeline Estacas'!D9,"")</f>
        <v>39</v>
      </c>
      <c r="E9" s="88" t="str">
        <f aca="false">IF($D9="","","S-"&amp;TEXT($D9,"00"))</f>
        <v>S-39</v>
      </c>
      <c r="F9" s="88" t="n">
        <f aca="false">IF(ISNUMBER('Timeline Estacas'!F9),'Timeline Estacas'!F9,"")</f>
        <v>71</v>
      </c>
      <c r="G9" s="88" t="str">
        <f aca="false">IF($F9="","",IF('Timeline Estacas'!G9&lt;&gt;"",'Timeline Estacas'!G9,'Timeline Estacas'!I9))</f>
        <v>A</v>
      </c>
      <c r="H9" s="88" t="str">
        <f aca="false">IF(ISNUMBER('Timeline Estacas'!H9),'Timeline Estacas'!H9,"")</f>
        <v/>
      </c>
      <c r="I9" s="88" t="str">
        <f aca="false">IF($H9="","",'Timeline Estacas'!I9)</f>
        <v/>
      </c>
      <c r="J9" s="86" t="n">
        <f aca="false">IF(ISNUMBER('Timeline Estacas'!J9),'Timeline Estacas'!J9,"")</f>
        <v>46247</v>
      </c>
      <c r="K9" s="88" t="str">
        <f aca="false">IF('Timeline Estacas'!K9="","",'Timeline Estacas'!K9)</f>
        <v/>
      </c>
      <c r="L9" s="88" t="str">
        <f aca="false">IF('Timeline Estacas'!L9="","",'Timeline Estacas'!L9)</f>
        <v/>
      </c>
      <c r="M9" s="88" t="str">
        <f aca="false">IF('Timeline Estacas'!M9="","",'Timeline Estacas'!M9)</f>
        <v/>
      </c>
      <c r="N9" s="89" t="str">
        <f aca="false">IF('Timeline Estacas'!N9="","",'Timeline Estacas'!N9)</f>
        <v/>
      </c>
      <c r="O9" s="90" t="str">
        <f aca="false">IF(ISNUMBER('Timeline Estacas'!O9),'Timeline Estacas'!O9,"")</f>
        <v/>
      </c>
      <c r="P9" s="91" t="n">
        <f aca="false">IF($Q9&gt;0,1,0)</f>
        <v>1</v>
      </c>
      <c r="Q9" s="91" t="n">
        <f aca="false">IF($F9="",0,1)+IF($H9="",0,1)</f>
        <v>1</v>
      </c>
      <c r="R9" s="91" t="n">
        <f aca="false">IF($N9="",0,1)</f>
        <v>0</v>
      </c>
      <c r="S9" s="91" t="n">
        <f aca="false">IF($F9="",0,1)</f>
        <v>1</v>
      </c>
      <c r="T9" s="91" t="n">
        <f aca="false">IF($H9="",0,1)</f>
        <v>0</v>
      </c>
      <c r="U9" s="91" t="n">
        <f aca="false">IF($J9="",0,1)</f>
        <v>1</v>
      </c>
      <c r="V9" s="91" t="n">
        <f aca="true">IF($J9="",0,IF($J9&lt;=TODAY(),1,0))</f>
        <v>1</v>
      </c>
      <c r="W9" s="92" t="n">
        <f aca="false">IF($O9="",0,$O9)</f>
        <v>0</v>
      </c>
      <c r="X9" s="91" t="str">
        <f aca="false">IF($R9=1,SUM($R$2:$R9),"")</f>
        <v/>
      </c>
      <c r="Y9" s="91" t="n">
        <f aca="false">IF($F9="",0,IF(COUNTIF($F$2:$F9,$F9)+COUNTIF($H$2:$H9,$F9)&gt;1,1,0))+IF($H9="",0,IF(COUNTIF($F$2:$F9,$H9)+COUNTIF($H$2:$H9,$H9)&gt;1,1,0))</f>
        <v>0</v>
      </c>
      <c r="Z9" s="91" t="n">
        <f aca="false">IF($Q9=0,0,IF(COUNTIFS($A$2:$A9,$A9,$Q$2:$Q9,"&gt;0")=1,1,0))</f>
        <v>0</v>
      </c>
      <c r="AA9" s="93" t="n">
        <f aca="false">IF($Q9&gt;0,$A9,"")</f>
        <v>46233</v>
      </c>
      <c r="AB9" s="91" t="n">
        <f aca="false">IF($K9="",0,1)</f>
        <v>0</v>
      </c>
      <c r="AC9" s="91" t="n">
        <f aca="false">IF($L9="",0,1)</f>
        <v>0</v>
      </c>
      <c r="AD9" s="91" t="n">
        <f aca="false">IF($M9="",0,1)</f>
        <v>0</v>
      </c>
      <c r="AE9" s="91" t="n">
        <f aca="false">IF($Q9&gt;0,$D9,"")</f>
        <v>39</v>
      </c>
      <c r="AF9" s="1"/>
      <c r="AG9" s="1"/>
      <c r="AH9" s="1"/>
      <c r="AI9" s="1"/>
      <c r="AJ9" s="1"/>
      <c r="AK9" s="1"/>
      <c r="AL9" s="1"/>
      <c r="AM9" s="1"/>
      <c r="AN9" s="1"/>
    </row>
    <row r="10" customFormat="false" ht="18" hidden="false" customHeight="true" outlineLevel="0" collapsed="false">
      <c r="A10" s="86" t="n">
        <f aca="false">IF(ISNUMBER('Timeline Estacas'!A10),'Timeline Estacas'!A10,"")</f>
        <v>46233</v>
      </c>
      <c r="B10" s="87" t="n">
        <f aca="false">IF($A10="","",$A10)</f>
        <v>46233</v>
      </c>
      <c r="C10" s="88" t="n">
        <f aca="false">IF(ISNUMBER('Timeline Estacas'!C10),'Timeline Estacas'!C10,"")</f>
        <v>272</v>
      </c>
      <c r="D10" s="88" t="n">
        <f aca="false">IF(ISNUMBER('Timeline Estacas'!D10),'Timeline Estacas'!D10,"")</f>
        <v>39</v>
      </c>
      <c r="E10" s="88" t="str">
        <f aca="false">IF($D10="","","S-"&amp;TEXT($D10,"00"))</f>
        <v>S-39</v>
      </c>
      <c r="F10" s="88" t="n">
        <f aca="false">IF(ISNUMBER('Timeline Estacas'!F10),'Timeline Estacas'!F10,"")</f>
        <v>74</v>
      </c>
      <c r="G10" s="88" t="str">
        <f aca="false">IF($F10="","",IF('Timeline Estacas'!G10&lt;&gt;"",'Timeline Estacas'!G10,'Timeline Estacas'!I10))</f>
        <v>A</v>
      </c>
      <c r="H10" s="88" t="str">
        <f aca="false">IF(ISNUMBER('Timeline Estacas'!H10),'Timeline Estacas'!H10,"")</f>
        <v/>
      </c>
      <c r="I10" s="88" t="str">
        <f aca="false">IF($H10="","",'Timeline Estacas'!I10)</f>
        <v/>
      </c>
      <c r="J10" s="86" t="n">
        <f aca="false">IF(ISNUMBER('Timeline Estacas'!J10),'Timeline Estacas'!J10,"")</f>
        <v>46247</v>
      </c>
      <c r="K10" s="88" t="str">
        <f aca="false">IF('Timeline Estacas'!K10="","",'Timeline Estacas'!K10)</f>
        <v/>
      </c>
      <c r="L10" s="88" t="str">
        <f aca="false">IF('Timeline Estacas'!L10="","",'Timeline Estacas'!L10)</f>
        <v/>
      </c>
      <c r="M10" s="88" t="str">
        <f aca="false">IF('Timeline Estacas'!M10="","",'Timeline Estacas'!M10)</f>
        <v/>
      </c>
      <c r="N10" s="89" t="str">
        <f aca="false">IF('Timeline Estacas'!N10="","",'Timeline Estacas'!N10)</f>
        <v/>
      </c>
      <c r="O10" s="90" t="str">
        <f aca="false">IF(ISNUMBER('Timeline Estacas'!O10),'Timeline Estacas'!O10,"")</f>
        <v/>
      </c>
      <c r="P10" s="91" t="n">
        <f aca="false">IF($Q10&gt;0,1,0)</f>
        <v>1</v>
      </c>
      <c r="Q10" s="91" t="n">
        <f aca="false">IF($F10="",0,1)+IF($H10="",0,1)</f>
        <v>1</v>
      </c>
      <c r="R10" s="91" t="n">
        <f aca="false">IF($N10="",0,1)</f>
        <v>0</v>
      </c>
      <c r="S10" s="91" t="n">
        <f aca="false">IF($F10="",0,1)</f>
        <v>1</v>
      </c>
      <c r="T10" s="91" t="n">
        <f aca="false">IF($H10="",0,1)</f>
        <v>0</v>
      </c>
      <c r="U10" s="91" t="n">
        <f aca="false">IF($J10="",0,1)</f>
        <v>1</v>
      </c>
      <c r="V10" s="91" t="n">
        <f aca="true">IF($J10="",0,IF($J10&lt;=TODAY(),1,0))</f>
        <v>1</v>
      </c>
      <c r="W10" s="92" t="n">
        <f aca="false">IF($O10="",0,$O10)</f>
        <v>0</v>
      </c>
      <c r="X10" s="91" t="str">
        <f aca="false">IF($R10=1,SUM($R$2:$R10),"")</f>
        <v/>
      </c>
      <c r="Y10" s="91" t="n">
        <f aca="false">IF($F10="",0,IF(COUNTIF($F$2:$F10,$F10)+COUNTIF($H$2:$H10,$F10)&gt;1,1,0))+IF($H10="",0,IF(COUNTIF($F$2:$F10,$H10)+COUNTIF($H$2:$H10,$H10)&gt;1,1,0))</f>
        <v>0</v>
      </c>
      <c r="Z10" s="91" t="n">
        <f aca="false">IF($Q10=0,0,IF(COUNTIFS($A$2:$A10,$A10,$Q$2:$Q10,"&gt;0")=1,1,0))</f>
        <v>0</v>
      </c>
      <c r="AA10" s="93" t="n">
        <f aca="false">IF($Q10&gt;0,$A10,"")</f>
        <v>46233</v>
      </c>
      <c r="AB10" s="91" t="n">
        <f aca="false">IF($K10="",0,1)</f>
        <v>0</v>
      </c>
      <c r="AC10" s="91" t="n">
        <f aca="false">IF($L10="",0,1)</f>
        <v>0</v>
      </c>
      <c r="AD10" s="91" t="n">
        <f aca="false">IF($M10="",0,1)</f>
        <v>0</v>
      </c>
      <c r="AE10" s="91" t="n">
        <f aca="false">IF($Q10&gt;0,$D10,"")</f>
        <v>39</v>
      </c>
      <c r="AF10" s="1"/>
      <c r="AG10" s="1"/>
      <c r="AH10" s="1"/>
      <c r="AI10" s="1"/>
      <c r="AJ10" s="1"/>
      <c r="AK10" s="1"/>
      <c r="AL10" s="1"/>
      <c r="AM10" s="1"/>
      <c r="AN10" s="1"/>
    </row>
    <row r="11" customFormat="false" ht="18" hidden="false" customHeight="true" outlineLevel="0" collapsed="false">
      <c r="A11" s="86" t="n">
        <f aca="false">IF(ISNUMBER('Timeline Estacas'!A11),'Timeline Estacas'!A11,"")</f>
        <v>46234</v>
      </c>
      <c r="B11" s="87" t="n">
        <f aca="false">IF($A11="","",$A11)</f>
        <v>46234</v>
      </c>
      <c r="C11" s="88" t="n">
        <f aca="false">IF(ISNUMBER('Timeline Estacas'!C11),'Timeline Estacas'!C11,"")</f>
        <v>273</v>
      </c>
      <c r="D11" s="88" t="n">
        <f aca="false">IF(ISNUMBER('Timeline Estacas'!D11),'Timeline Estacas'!D11,"")</f>
        <v>40</v>
      </c>
      <c r="E11" s="88" t="str">
        <f aca="false">IF($D11="","","S-"&amp;TEXT($D11,"00"))</f>
        <v>S-40</v>
      </c>
      <c r="F11" s="88" t="str">
        <f aca="false">IF(ISNUMBER('Timeline Estacas'!F11),'Timeline Estacas'!F11,"")</f>
        <v/>
      </c>
      <c r="G11" s="88" t="str">
        <f aca="false">IF($F11="","",IF('Timeline Estacas'!G11&lt;&gt;"",'Timeline Estacas'!G11,'Timeline Estacas'!I11))</f>
        <v/>
      </c>
      <c r="H11" s="88" t="str">
        <f aca="false">IF(ISNUMBER('Timeline Estacas'!H11),'Timeline Estacas'!H11,"")</f>
        <v/>
      </c>
      <c r="I11" s="88" t="str">
        <f aca="false">IF($H11="","",'Timeline Estacas'!I11)</f>
        <v/>
      </c>
      <c r="J11" s="86" t="str">
        <f aca="false">IF(ISNUMBER('Timeline Estacas'!J11),'Timeline Estacas'!J11,"")</f>
        <v/>
      </c>
      <c r="K11" s="88" t="str">
        <f aca="false">IF('Timeline Estacas'!K11="","",'Timeline Estacas'!K11)</f>
        <v/>
      </c>
      <c r="L11" s="88" t="str">
        <f aca="false">IF('Timeline Estacas'!L11="","",'Timeline Estacas'!L11)</f>
        <v/>
      </c>
      <c r="M11" s="88" t="str">
        <f aca="false">IF('Timeline Estacas'!M11="","",'Timeline Estacas'!M11)</f>
        <v/>
      </c>
      <c r="N11" s="89" t="str">
        <f aca="false">IF('Timeline Estacas'!N11="","",'Timeline Estacas'!N11)</f>
        <v>Bomba entupida</v>
      </c>
      <c r="O11" s="90" t="str">
        <f aca="false">IF(ISNUMBER('Timeline Estacas'!O11),'Timeline Estacas'!O11,"")</f>
        <v/>
      </c>
      <c r="P11" s="91" t="n">
        <f aca="false">IF($Q11&gt;0,1,0)</f>
        <v>0</v>
      </c>
      <c r="Q11" s="91" t="n">
        <f aca="false">IF($F11="",0,1)+IF($H11="",0,1)</f>
        <v>0</v>
      </c>
      <c r="R11" s="91" t="n">
        <f aca="false">IF($N11="",0,1)</f>
        <v>1</v>
      </c>
      <c r="S11" s="91" t="n">
        <f aca="false">IF($F11="",0,1)</f>
        <v>0</v>
      </c>
      <c r="T11" s="91" t="n">
        <f aca="false">IF($H11="",0,1)</f>
        <v>0</v>
      </c>
      <c r="U11" s="91" t="n">
        <f aca="false">IF($J11="",0,1)</f>
        <v>0</v>
      </c>
      <c r="V11" s="91" t="n">
        <f aca="true">IF($J11="",0,IF($J11&lt;=TODAY(),1,0))</f>
        <v>0</v>
      </c>
      <c r="W11" s="92" t="n">
        <f aca="false">IF($O11="",0,$O11)</f>
        <v>0</v>
      </c>
      <c r="X11" s="91" t="n">
        <f aca="false">IF($R11=1,SUM($R$2:$R11),"")</f>
        <v>2</v>
      </c>
      <c r="Y11" s="91" t="n">
        <f aca="false">IF($F11="",0,IF(COUNTIF($F$2:$F11,$F11)+COUNTIF($H$2:$H11,$F11)&gt;1,1,0))+IF($H11="",0,IF(COUNTIF($F$2:$F11,$H11)+COUNTIF($H$2:$H11,$H11)&gt;1,1,0))</f>
        <v>0</v>
      </c>
      <c r="Z11" s="91" t="n">
        <f aca="false">IF($Q11=0,0,IF(COUNTIFS($A$2:$A11,$A11,$Q$2:$Q11,"&gt;0")=1,1,0))</f>
        <v>0</v>
      </c>
      <c r="AA11" s="93" t="str">
        <f aca="false">IF($Q11&gt;0,$A11,"")</f>
        <v/>
      </c>
      <c r="AB11" s="91" t="n">
        <f aca="false">IF($K11="",0,1)</f>
        <v>0</v>
      </c>
      <c r="AC11" s="91" t="n">
        <f aca="false">IF($L11="",0,1)</f>
        <v>0</v>
      </c>
      <c r="AD11" s="91" t="n">
        <f aca="false">IF($M11="",0,1)</f>
        <v>0</v>
      </c>
      <c r="AE11" s="91" t="str">
        <f aca="false">IF($Q11&gt;0,$D11,"")</f>
        <v/>
      </c>
      <c r="AF11" s="1"/>
      <c r="AG11" s="1"/>
      <c r="AH11" s="1"/>
      <c r="AI11" s="1"/>
      <c r="AJ11" s="1"/>
      <c r="AK11" s="1"/>
      <c r="AL11" s="1"/>
      <c r="AM11" s="1"/>
      <c r="AN11" s="1"/>
    </row>
    <row r="12" customFormat="false" ht="18" hidden="false" customHeight="true" outlineLevel="0" collapsed="false">
      <c r="A12" s="86" t="n">
        <f aca="false">IF(ISNUMBER('Timeline Estacas'!A12),'Timeline Estacas'!A12,"")</f>
        <v>46235</v>
      </c>
      <c r="B12" s="87" t="n">
        <f aca="false">IF($A12="","",$A12)</f>
        <v>46235</v>
      </c>
      <c r="C12" s="88" t="n">
        <f aca="false">IF(ISNUMBER('Timeline Estacas'!C12),'Timeline Estacas'!C12,"")</f>
        <v>274</v>
      </c>
      <c r="D12" s="88" t="n">
        <f aca="false">IF(ISNUMBER('Timeline Estacas'!D12),'Timeline Estacas'!D12,"")</f>
        <v>40</v>
      </c>
      <c r="E12" s="88" t="str">
        <f aca="false">IF($D12="","","S-"&amp;TEXT($D12,"00"))</f>
        <v>S-40</v>
      </c>
      <c r="F12" s="88" t="str">
        <f aca="false">IF(ISNUMBER('Timeline Estacas'!F12),'Timeline Estacas'!F12,"")</f>
        <v/>
      </c>
      <c r="G12" s="88" t="str">
        <f aca="false">IF($F12="","",IF('Timeline Estacas'!G12&lt;&gt;"",'Timeline Estacas'!G12,'Timeline Estacas'!I12))</f>
        <v/>
      </c>
      <c r="H12" s="88" t="str">
        <f aca="false">IF(ISNUMBER('Timeline Estacas'!H12),'Timeline Estacas'!H12,"")</f>
        <v/>
      </c>
      <c r="I12" s="88" t="str">
        <f aca="false">IF($H12="","",'Timeline Estacas'!I12)</f>
        <v/>
      </c>
      <c r="J12" s="86" t="str">
        <f aca="false">IF(ISNUMBER('Timeline Estacas'!J12),'Timeline Estacas'!J12,"")</f>
        <v/>
      </c>
      <c r="K12" s="88" t="str">
        <f aca="false">IF('Timeline Estacas'!K12="","",'Timeline Estacas'!K12)</f>
        <v/>
      </c>
      <c r="L12" s="88" t="str">
        <f aca="false">IF('Timeline Estacas'!L12="","",'Timeline Estacas'!L12)</f>
        <v/>
      </c>
      <c r="M12" s="88" t="str">
        <f aca="false">IF('Timeline Estacas'!M12="","",'Timeline Estacas'!M12)</f>
        <v/>
      </c>
      <c r="N12" s="89" t="str">
        <f aca="false">IF('Timeline Estacas'!N12="","",'Timeline Estacas'!N12)</f>
        <v/>
      </c>
      <c r="O12" s="90" t="str">
        <f aca="false">IF(ISNUMBER('Timeline Estacas'!O12),'Timeline Estacas'!O12,"")</f>
        <v/>
      </c>
      <c r="P12" s="91" t="n">
        <f aca="false">IF($Q12&gt;0,1,0)</f>
        <v>0</v>
      </c>
      <c r="Q12" s="91" t="n">
        <f aca="false">IF($F12="",0,1)+IF($H12="",0,1)</f>
        <v>0</v>
      </c>
      <c r="R12" s="91" t="n">
        <f aca="false">IF($N12="",0,1)</f>
        <v>0</v>
      </c>
      <c r="S12" s="91" t="n">
        <f aca="false">IF($F12="",0,1)</f>
        <v>0</v>
      </c>
      <c r="T12" s="91" t="n">
        <f aca="false">IF($H12="",0,1)</f>
        <v>0</v>
      </c>
      <c r="U12" s="91" t="n">
        <f aca="false">IF($J12="",0,1)</f>
        <v>0</v>
      </c>
      <c r="V12" s="91" t="n">
        <f aca="true">IF($J12="",0,IF($J12&lt;=TODAY(),1,0))</f>
        <v>0</v>
      </c>
      <c r="W12" s="92" t="n">
        <f aca="false">IF($O12="",0,$O12)</f>
        <v>0</v>
      </c>
      <c r="X12" s="91" t="str">
        <f aca="false">IF($R12=1,SUM($R$2:$R12),"")</f>
        <v/>
      </c>
      <c r="Y12" s="91" t="n">
        <f aca="false">IF($F12="",0,IF(COUNTIF($F$2:$F12,$F12)+COUNTIF($H$2:$H12,$F12)&gt;1,1,0))+IF($H12="",0,IF(COUNTIF($F$2:$F12,$H12)+COUNTIF($H$2:$H12,$H12)&gt;1,1,0))</f>
        <v>0</v>
      </c>
      <c r="Z12" s="91" t="n">
        <f aca="false">IF($Q12=0,0,IF(COUNTIFS($A$2:$A12,$A12,$Q$2:$Q12,"&gt;0")=1,1,0))</f>
        <v>0</v>
      </c>
      <c r="AA12" s="93" t="str">
        <f aca="false">IF($Q12&gt;0,$A12,"")</f>
        <v/>
      </c>
      <c r="AB12" s="91" t="n">
        <f aca="false">IF($K12="",0,1)</f>
        <v>0</v>
      </c>
      <c r="AC12" s="91" t="n">
        <f aca="false">IF($L12="",0,1)</f>
        <v>0</v>
      </c>
      <c r="AD12" s="91" t="n">
        <f aca="false">IF($M12="",0,1)</f>
        <v>0</v>
      </c>
      <c r="AE12" s="91" t="str">
        <f aca="false">IF($Q12&gt;0,$D12,"")</f>
        <v/>
      </c>
      <c r="AF12" s="1"/>
      <c r="AG12" s="1"/>
      <c r="AH12" s="1"/>
      <c r="AI12" s="1"/>
      <c r="AJ12" s="1"/>
      <c r="AK12" s="1"/>
      <c r="AL12" s="1"/>
      <c r="AM12" s="1"/>
      <c r="AN12" s="1"/>
    </row>
    <row r="13" customFormat="false" ht="18" hidden="false" customHeight="true" outlineLevel="0" collapsed="false">
      <c r="A13" s="86" t="n">
        <f aca="false">IF(ISNUMBER('Timeline Estacas'!A13),'Timeline Estacas'!A13,"")</f>
        <v>46236</v>
      </c>
      <c r="B13" s="87" t="n">
        <f aca="false">IF($A13="","",$A13)</f>
        <v>46236</v>
      </c>
      <c r="C13" s="88" t="n">
        <f aca="false">IF(ISNUMBER('Timeline Estacas'!C13),'Timeline Estacas'!C13,"")</f>
        <v>275</v>
      </c>
      <c r="D13" s="88" t="n">
        <f aca="false">IF(ISNUMBER('Timeline Estacas'!D13),'Timeline Estacas'!D13,"")</f>
        <v>40</v>
      </c>
      <c r="E13" s="88" t="str">
        <f aca="false">IF($D13="","","S-"&amp;TEXT($D13,"00"))</f>
        <v>S-40</v>
      </c>
      <c r="F13" s="88" t="str">
        <f aca="false">IF(ISNUMBER('Timeline Estacas'!F13),'Timeline Estacas'!F13,"")</f>
        <v/>
      </c>
      <c r="G13" s="88" t="str">
        <f aca="false">IF($F13="","",IF('Timeline Estacas'!G13&lt;&gt;"",'Timeline Estacas'!G13,'Timeline Estacas'!I13))</f>
        <v/>
      </c>
      <c r="H13" s="88" t="str">
        <f aca="false">IF(ISNUMBER('Timeline Estacas'!H13),'Timeline Estacas'!H13,"")</f>
        <v/>
      </c>
      <c r="I13" s="88" t="str">
        <f aca="false">IF($H13="","",'Timeline Estacas'!I13)</f>
        <v/>
      </c>
      <c r="J13" s="86" t="str">
        <f aca="false">IF(ISNUMBER('Timeline Estacas'!J13),'Timeline Estacas'!J13,"")</f>
        <v/>
      </c>
      <c r="K13" s="88" t="str">
        <f aca="false">IF('Timeline Estacas'!K13="","",'Timeline Estacas'!K13)</f>
        <v/>
      </c>
      <c r="L13" s="88" t="str">
        <f aca="false">IF('Timeline Estacas'!L13="","",'Timeline Estacas'!L13)</f>
        <v/>
      </c>
      <c r="M13" s="88" t="str">
        <f aca="false">IF('Timeline Estacas'!M13="","",'Timeline Estacas'!M13)</f>
        <v/>
      </c>
      <c r="N13" s="89" t="str">
        <f aca="false">IF('Timeline Estacas'!N13="","",'Timeline Estacas'!N13)</f>
        <v/>
      </c>
      <c r="O13" s="90" t="str">
        <f aca="false">IF(ISNUMBER('Timeline Estacas'!O13),'Timeline Estacas'!O13,"")</f>
        <v/>
      </c>
      <c r="P13" s="91" t="n">
        <f aca="false">IF($Q13&gt;0,1,0)</f>
        <v>0</v>
      </c>
      <c r="Q13" s="91" t="n">
        <f aca="false">IF($F13="",0,1)+IF($H13="",0,1)</f>
        <v>0</v>
      </c>
      <c r="R13" s="91" t="n">
        <f aca="false">IF($N13="",0,1)</f>
        <v>0</v>
      </c>
      <c r="S13" s="91" t="n">
        <f aca="false">IF($F13="",0,1)</f>
        <v>0</v>
      </c>
      <c r="T13" s="91" t="n">
        <f aca="false">IF($H13="",0,1)</f>
        <v>0</v>
      </c>
      <c r="U13" s="91" t="n">
        <f aca="false">IF($J13="",0,1)</f>
        <v>0</v>
      </c>
      <c r="V13" s="91" t="n">
        <f aca="true">IF($J13="",0,IF($J13&lt;=TODAY(),1,0))</f>
        <v>0</v>
      </c>
      <c r="W13" s="92" t="n">
        <f aca="false">IF($O13="",0,$O13)</f>
        <v>0</v>
      </c>
      <c r="X13" s="91" t="str">
        <f aca="false">IF($R13=1,SUM($R$2:$R13),"")</f>
        <v/>
      </c>
      <c r="Y13" s="91" t="n">
        <f aca="false">IF($F13="",0,IF(COUNTIF($F$2:$F13,$F13)+COUNTIF($H$2:$H13,$F13)&gt;1,1,0))+IF($H13="",0,IF(COUNTIF($F$2:$F13,$H13)+COUNTIF($H$2:$H13,$H13)&gt;1,1,0))</f>
        <v>0</v>
      </c>
      <c r="Z13" s="91" t="n">
        <f aca="false">IF($Q13=0,0,IF(COUNTIFS($A$2:$A13,$A13,$Q$2:$Q13,"&gt;0")=1,1,0))</f>
        <v>0</v>
      </c>
      <c r="AA13" s="93" t="str">
        <f aca="false">IF($Q13&gt;0,$A13,"")</f>
        <v/>
      </c>
      <c r="AB13" s="91" t="n">
        <f aca="false">IF($K13="",0,1)</f>
        <v>0</v>
      </c>
      <c r="AC13" s="91" t="n">
        <f aca="false">IF($L13="",0,1)</f>
        <v>0</v>
      </c>
      <c r="AD13" s="91" t="n">
        <f aca="false">IF($M13="",0,1)</f>
        <v>0</v>
      </c>
      <c r="AE13" s="91" t="str">
        <f aca="false">IF($Q13&gt;0,$D13,"")</f>
        <v/>
      </c>
      <c r="AF13" s="1"/>
      <c r="AG13" s="1"/>
      <c r="AH13" s="1"/>
      <c r="AI13" s="1"/>
      <c r="AJ13" s="1"/>
      <c r="AK13" s="1"/>
      <c r="AL13" s="1"/>
      <c r="AM13" s="1"/>
      <c r="AN13" s="1"/>
    </row>
    <row r="14" customFormat="false" ht="18" hidden="false" customHeight="true" outlineLevel="0" collapsed="false">
      <c r="A14" s="86" t="n">
        <f aca="false">IF(ISNUMBER('Timeline Estacas'!A14),'Timeline Estacas'!A14,"")</f>
        <v>46237</v>
      </c>
      <c r="B14" s="87" t="n">
        <f aca="false">IF($A14="","",$A14)</f>
        <v>46237</v>
      </c>
      <c r="C14" s="88" t="n">
        <f aca="false">IF(ISNUMBER('Timeline Estacas'!C14),'Timeline Estacas'!C14,"")</f>
        <v>276</v>
      </c>
      <c r="D14" s="88" t="n">
        <f aca="false">IF(ISNUMBER('Timeline Estacas'!D14),'Timeline Estacas'!D14,"")</f>
        <v>40</v>
      </c>
      <c r="E14" s="88" t="str">
        <f aca="false">IF($D14="","","S-"&amp;TEXT($D14,"00"))</f>
        <v>S-40</v>
      </c>
      <c r="F14" s="88" t="str">
        <f aca="false">IF(ISNUMBER('Timeline Estacas'!F14),'Timeline Estacas'!F14,"")</f>
        <v/>
      </c>
      <c r="G14" s="88" t="str">
        <f aca="false">IF($F14="","",IF('Timeline Estacas'!G14&lt;&gt;"",'Timeline Estacas'!G14,'Timeline Estacas'!I14))</f>
        <v/>
      </c>
      <c r="H14" s="88" t="str">
        <f aca="false">IF(ISNUMBER('Timeline Estacas'!H14),'Timeline Estacas'!H14,"")</f>
        <v/>
      </c>
      <c r="I14" s="88" t="str">
        <f aca="false">IF($H14="","",'Timeline Estacas'!I14)</f>
        <v/>
      </c>
      <c r="J14" s="86" t="str">
        <f aca="false">IF(ISNUMBER('Timeline Estacas'!J14),'Timeline Estacas'!J14,"")</f>
        <v/>
      </c>
      <c r="K14" s="88" t="str">
        <f aca="false">IF('Timeline Estacas'!K14="","",'Timeline Estacas'!K14)</f>
        <v/>
      </c>
      <c r="L14" s="88" t="str">
        <f aca="false">IF('Timeline Estacas'!L14="","",'Timeline Estacas'!L14)</f>
        <v/>
      </c>
      <c r="M14" s="88" t="str">
        <f aca="false">IF('Timeline Estacas'!M14="","",'Timeline Estacas'!M14)</f>
        <v/>
      </c>
      <c r="N14" s="89" t="str">
        <f aca="false">IF('Timeline Estacas'!N14="","",'Timeline Estacas'!N14)</f>
        <v>Manutenção do trado</v>
      </c>
      <c r="O14" s="90" t="str">
        <f aca="false">IF(ISNUMBER('Timeline Estacas'!O14),'Timeline Estacas'!O14,"")</f>
        <v/>
      </c>
      <c r="P14" s="91" t="n">
        <f aca="false">IF($Q14&gt;0,1,0)</f>
        <v>0</v>
      </c>
      <c r="Q14" s="91" t="n">
        <f aca="false">IF($F14="",0,1)+IF($H14="",0,1)</f>
        <v>0</v>
      </c>
      <c r="R14" s="91" t="n">
        <f aca="false">IF($N14="",0,1)</f>
        <v>1</v>
      </c>
      <c r="S14" s="91" t="n">
        <f aca="false">IF($F14="",0,1)</f>
        <v>0</v>
      </c>
      <c r="T14" s="91" t="n">
        <f aca="false">IF($H14="",0,1)</f>
        <v>0</v>
      </c>
      <c r="U14" s="91" t="n">
        <f aca="false">IF($J14="",0,1)</f>
        <v>0</v>
      </c>
      <c r="V14" s="91" t="n">
        <f aca="true">IF($J14="",0,IF($J14&lt;=TODAY(),1,0))</f>
        <v>0</v>
      </c>
      <c r="W14" s="92" t="n">
        <f aca="false">IF($O14="",0,$O14)</f>
        <v>0</v>
      </c>
      <c r="X14" s="91" t="n">
        <f aca="false">IF($R14=1,SUM($R$2:$R14),"")</f>
        <v>3</v>
      </c>
      <c r="Y14" s="91" t="n">
        <f aca="false">IF($F14="",0,IF(COUNTIF($F$2:$F14,$F14)+COUNTIF($H$2:$H14,$F14)&gt;1,1,0))+IF($H14="",0,IF(COUNTIF($F$2:$F14,$H14)+COUNTIF($H$2:$H14,$H14)&gt;1,1,0))</f>
        <v>0</v>
      </c>
      <c r="Z14" s="91" t="n">
        <f aca="false">IF($Q14=0,0,IF(COUNTIFS($A$2:$A14,$A14,$Q$2:$Q14,"&gt;0")=1,1,0))</f>
        <v>0</v>
      </c>
      <c r="AA14" s="93" t="str">
        <f aca="false">IF($Q14&gt;0,$A14,"")</f>
        <v/>
      </c>
      <c r="AB14" s="91" t="n">
        <f aca="false">IF($K14="",0,1)</f>
        <v>0</v>
      </c>
      <c r="AC14" s="91" t="n">
        <f aca="false">IF($L14="",0,1)</f>
        <v>0</v>
      </c>
      <c r="AD14" s="91" t="n">
        <f aca="false">IF($M14="",0,1)</f>
        <v>0</v>
      </c>
      <c r="AE14" s="91" t="str">
        <f aca="false">IF($Q14&gt;0,$D14,"")</f>
        <v/>
      </c>
      <c r="AF14" s="1"/>
      <c r="AG14" s="1"/>
      <c r="AH14" s="1"/>
      <c r="AI14" s="1"/>
      <c r="AJ14" s="1"/>
      <c r="AK14" s="1"/>
      <c r="AL14" s="1"/>
      <c r="AM14" s="1"/>
      <c r="AN14" s="1"/>
    </row>
    <row r="15" customFormat="false" ht="18" hidden="false" customHeight="true" outlineLevel="0" collapsed="false">
      <c r="A15" s="86" t="n">
        <f aca="false">IF(ISNUMBER('Timeline Estacas'!A15),'Timeline Estacas'!A15,"")</f>
        <v>46238</v>
      </c>
      <c r="B15" s="87" t="n">
        <f aca="false">IF($A15="","",$A15)</f>
        <v>46238</v>
      </c>
      <c r="C15" s="88" t="n">
        <f aca="false">IF(ISNUMBER('Timeline Estacas'!C15),'Timeline Estacas'!C15,"")</f>
        <v>277</v>
      </c>
      <c r="D15" s="88" t="n">
        <f aca="false">IF(ISNUMBER('Timeline Estacas'!D15),'Timeline Estacas'!D15,"")</f>
        <v>40</v>
      </c>
      <c r="E15" s="88" t="str">
        <f aca="false">IF($D15="","","S-"&amp;TEXT($D15,"00"))</f>
        <v>S-40</v>
      </c>
      <c r="F15" s="88" t="n">
        <f aca="false">IF(ISNUMBER('Timeline Estacas'!F15),'Timeline Estacas'!F15,"")</f>
        <v>5</v>
      </c>
      <c r="G15" s="88" t="str">
        <f aca="false">IF($F15="","",IF('Timeline Estacas'!G15&lt;&gt;"",'Timeline Estacas'!G15,'Timeline Estacas'!I15))</f>
        <v>B</v>
      </c>
      <c r="H15" s="88" t="str">
        <f aca="false">IF(ISNUMBER('Timeline Estacas'!H15),'Timeline Estacas'!H15,"")</f>
        <v/>
      </c>
      <c r="I15" s="88" t="str">
        <f aca="false">IF($H15="","",'Timeline Estacas'!I15)</f>
        <v/>
      </c>
      <c r="J15" s="86" t="n">
        <f aca="false">IF(ISNUMBER('Timeline Estacas'!J15),'Timeline Estacas'!J15,"")</f>
        <v>46252</v>
      </c>
      <c r="K15" s="88" t="str">
        <f aca="false">IF('Timeline Estacas'!K15="","",'Timeline Estacas'!K15)</f>
        <v/>
      </c>
      <c r="L15" s="88" t="str">
        <f aca="false">IF('Timeline Estacas'!L15="","",'Timeline Estacas'!L15)</f>
        <v/>
      </c>
      <c r="M15" s="88" t="str">
        <f aca="false">IF('Timeline Estacas'!M15="","",'Timeline Estacas'!M15)</f>
        <v/>
      </c>
      <c r="N15" s="89" t="str">
        <f aca="false">IF('Timeline Estacas'!N15="","",'Timeline Estacas'!N15)</f>
        <v/>
      </c>
      <c r="O15" s="90" t="str">
        <f aca="false">IF(ISNUMBER('Timeline Estacas'!O15),'Timeline Estacas'!O15,"")</f>
        <v/>
      </c>
      <c r="P15" s="91" t="n">
        <f aca="false">IF($Q15&gt;0,1,0)</f>
        <v>1</v>
      </c>
      <c r="Q15" s="91" t="n">
        <f aca="false">IF($F15="",0,1)+IF($H15="",0,1)</f>
        <v>1</v>
      </c>
      <c r="R15" s="91" t="n">
        <f aca="false">IF($N15="",0,1)</f>
        <v>0</v>
      </c>
      <c r="S15" s="91" t="n">
        <f aca="false">IF($F15="",0,1)</f>
        <v>1</v>
      </c>
      <c r="T15" s="91" t="n">
        <f aca="false">IF($H15="",0,1)</f>
        <v>0</v>
      </c>
      <c r="U15" s="91" t="n">
        <f aca="false">IF($J15="",0,1)</f>
        <v>1</v>
      </c>
      <c r="V15" s="91" t="n">
        <f aca="true">IF($J15="",0,IF($J15&lt;=TODAY(),1,0))</f>
        <v>1</v>
      </c>
      <c r="W15" s="92" t="n">
        <f aca="false">IF($O15="",0,$O15)</f>
        <v>0</v>
      </c>
      <c r="X15" s="91" t="str">
        <f aca="false">IF($R15=1,SUM($R$2:$R15),"")</f>
        <v/>
      </c>
      <c r="Y15" s="91" t="n">
        <f aca="false">IF($F15="",0,IF(COUNTIF($F$2:$F15,$F15)+COUNTIF($H$2:$H15,$F15)&gt;1,1,0))+IF($H15="",0,IF(COUNTIF($F$2:$F15,$H15)+COUNTIF($H$2:$H15,$H15)&gt;1,1,0))</f>
        <v>0</v>
      </c>
      <c r="Z15" s="91" t="n">
        <f aca="false">IF($Q15=0,0,IF(COUNTIFS($A$2:$A15,$A15,$Q$2:$Q15,"&gt;0")=1,1,0))</f>
        <v>1</v>
      </c>
      <c r="AA15" s="93" t="n">
        <f aca="false">IF($Q15&gt;0,$A15,"")</f>
        <v>46238</v>
      </c>
      <c r="AB15" s="91" t="n">
        <f aca="false">IF($K15="",0,1)</f>
        <v>0</v>
      </c>
      <c r="AC15" s="91" t="n">
        <f aca="false">IF($L15="",0,1)</f>
        <v>0</v>
      </c>
      <c r="AD15" s="91" t="n">
        <f aca="false">IF($M15="",0,1)</f>
        <v>0</v>
      </c>
      <c r="AE15" s="91" t="n">
        <f aca="false">IF($Q15&gt;0,$D15,"")</f>
        <v>40</v>
      </c>
      <c r="AF15" s="1"/>
      <c r="AG15" s="1"/>
      <c r="AH15" s="1"/>
      <c r="AI15" s="1"/>
      <c r="AJ15" s="1"/>
      <c r="AK15" s="1"/>
      <c r="AL15" s="1"/>
      <c r="AM15" s="1"/>
      <c r="AN15" s="1"/>
    </row>
    <row r="16" customFormat="false" ht="18" hidden="false" customHeight="true" outlineLevel="0" collapsed="false">
      <c r="A16" s="86" t="n">
        <f aca="false">IF(ISNUMBER('Timeline Estacas'!A16),'Timeline Estacas'!A16,"")</f>
        <v>46239</v>
      </c>
      <c r="B16" s="87" t="n">
        <f aca="false">IF($A16="","",$A16)</f>
        <v>46239</v>
      </c>
      <c r="C16" s="88" t="n">
        <f aca="false">IF(ISNUMBER('Timeline Estacas'!C16),'Timeline Estacas'!C16,"")</f>
        <v>278</v>
      </c>
      <c r="D16" s="88" t="n">
        <f aca="false">IF(ISNUMBER('Timeline Estacas'!D16),'Timeline Estacas'!D16,"")</f>
        <v>40</v>
      </c>
      <c r="E16" s="88" t="str">
        <f aca="false">IF($D16="","","S-"&amp;TEXT($D16,"00"))</f>
        <v>S-40</v>
      </c>
      <c r="F16" s="88" t="str">
        <f aca="false">IF(ISNUMBER('Timeline Estacas'!F16),'Timeline Estacas'!F16,"")</f>
        <v/>
      </c>
      <c r="G16" s="88" t="str">
        <f aca="false">IF($F16="","",IF('Timeline Estacas'!G16&lt;&gt;"",'Timeline Estacas'!G16,'Timeline Estacas'!I16))</f>
        <v/>
      </c>
      <c r="H16" s="88" t="str">
        <f aca="false">IF(ISNUMBER('Timeline Estacas'!H16),'Timeline Estacas'!H16,"")</f>
        <v/>
      </c>
      <c r="I16" s="88" t="str">
        <f aca="false">IF($H16="","",'Timeline Estacas'!I16)</f>
        <v/>
      </c>
      <c r="J16" s="86" t="str">
        <f aca="false">IF(ISNUMBER('Timeline Estacas'!J16),'Timeline Estacas'!J16,"")</f>
        <v/>
      </c>
      <c r="K16" s="88" t="str">
        <f aca="false">IF('Timeline Estacas'!K16="","",'Timeline Estacas'!K16)</f>
        <v/>
      </c>
      <c r="L16" s="88" t="str">
        <f aca="false">IF('Timeline Estacas'!L16="","",'Timeline Estacas'!L16)</f>
        <v/>
      </c>
      <c r="M16" s="88" t="str">
        <f aca="false">IF('Timeline Estacas'!M16="","",'Timeline Estacas'!M16)</f>
        <v/>
      </c>
      <c r="N16" s="89" t="str">
        <f aca="false">IF('Timeline Estacas'!N16="","",'Timeline Estacas'!N16)</f>
        <v>Bomba entupida</v>
      </c>
      <c r="O16" s="90" t="str">
        <f aca="false">IF(ISNUMBER('Timeline Estacas'!O16),'Timeline Estacas'!O16,"")</f>
        <v/>
      </c>
      <c r="P16" s="91" t="n">
        <f aca="false">IF($Q16&gt;0,1,0)</f>
        <v>0</v>
      </c>
      <c r="Q16" s="91" t="n">
        <f aca="false">IF($F16="",0,1)+IF($H16="",0,1)</f>
        <v>0</v>
      </c>
      <c r="R16" s="91" t="n">
        <f aca="false">IF($N16="",0,1)</f>
        <v>1</v>
      </c>
      <c r="S16" s="91" t="n">
        <f aca="false">IF($F16="",0,1)</f>
        <v>0</v>
      </c>
      <c r="T16" s="91" t="n">
        <f aca="false">IF($H16="",0,1)</f>
        <v>0</v>
      </c>
      <c r="U16" s="91" t="n">
        <f aca="false">IF($J16="",0,1)</f>
        <v>0</v>
      </c>
      <c r="V16" s="91" t="n">
        <f aca="true">IF($J16="",0,IF($J16&lt;=TODAY(),1,0))</f>
        <v>0</v>
      </c>
      <c r="W16" s="92" t="n">
        <f aca="false">IF($O16="",0,$O16)</f>
        <v>0</v>
      </c>
      <c r="X16" s="91" t="n">
        <f aca="false">IF($R16=1,SUM($R$2:$R16),"")</f>
        <v>4</v>
      </c>
      <c r="Y16" s="91" t="n">
        <f aca="false">IF($F16="",0,IF(COUNTIF($F$2:$F16,$F16)+COUNTIF($H$2:$H16,$F16)&gt;1,1,0))+IF($H16="",0,IF(COUNTIF($F$2:$F16,$H16)+COUNTIF($H$2:$H16,$H16)&gt;1,1,0))</f>
        <v>0</v>
      </c>
      <c r="Z16" s="91" t="n">
        <f aca="false">IF($Q16=0,0,IF(COUNTIFS($A$2:$A16,$A16,$Q$2:$Q16,"&gt;0")=1,1,0))</f>
        <v>0</v>
      </c>
      <c r="AA16" s="93" t="str">
        <f aca="false">IF($Q16&gt;0,$A16,"")</f>
        <v/>
      </c>
      <c r="AB16" s="91" t="n">
        <f aca="false">IF($K16="",0,1)</f>
        <v>0</v>
      </c>
      <c r="AC16" s="91" t="n">
        <f aca="false">IF($L16="",0,1)</f>
        <v>0</v>
      </c>
      <c r="AD16" s="91" t="n">
        <f aca="false">IF($M16="",0,1)</f>
        <v>0</v>
      </c>
      <c r="AE16" s="91" t="str">
        <f aca="false">IF($Q16&gt;0,$D16,"")</f>
        <v/>
      </c>
      <c r="AF16" s="1"/>
      <c r="AG16" s="1"/>
      <c r="AH16" s="1"/>
      <c r="AI16" s="1"/>
      <c r="AJ16" s="1"/>
      <c r="AK16" s="1"/>
      <c r="AL16" s="1"/>
      <c r="AM16" s="1"/>
      <c r="AN16" s="1"/>
    </row>
    <row r="17" customFormat="false" ht="18" hidden="false" customHeight="true" outlineLevel="0" collapsed="false">
      <c r="A17" s="86" t="n">
        <f aca="false">IF(ISNUMBER('Timeline Estacas'!A17),'Timeline Estacas'!A17,"")</f>
        <v>46240</v>
      </c>
      <c r="B17" s="87" t="n">
        <f aca="false">IF($A17="","",$A17)</f>
        <v>46240</v>
      </c>
      <c r="C17" s="88" t="n">
        <f aca="false">IF(ISNUMBER('Timeline Estacas'!C17),'Timeline Estacas'!C17,"")</f>
        <v>279</v>
      </c>
      <c r="D17" s="88" t="n">
        <f aca="false">IF(ISNUMBER('Timeline Estacas'!D17),'Timeline Estacas'!D17,"")</f>
        <v>40</v>
      </c>
      <c r="E17" s="88" t="str">
        <f aca="false">IF($D17="","","S-"&amp;TEXT($D17,"00"))</f>
        <v>S-40</v>
      </c>
      <c r="F17" s="88" t="str">
        <f aca="false">IF(ISNUMBER('Timeline Estacas'!F17),'Timeline Estacas'!F17,"")</f>
        <v/>
      </c>
      <c r="G17" s="88" t="str">
        <f aca="false">IF($F17="","",IF('Timeline Estacas'!G17&lt;&gt;"",'Timeline Estacas'!G17,'Timeline Estacas'!I17))</f>
        <v/>
      </c>
      <c r="H17" s="88" t="str">
        <f aca="false">IF(ISNUMBER('Timeline Estacas'!H17),'Timeline Estacas'!H17,"")</f>
        <v/>
      </c>
      <c r="I17" s="88" t="str">
        <f aca="false">IF($H17="","",'Timeline Estacas'!I17)</f>
        <v/>
      </c>
      <c r="J17" s="86" t="str">
        <f aca="false">IF(ISNUMBER('Timeline Estacas'!J17),'Timeline Estacas'!J17,"")</f>
        <v/>
      </c>
      <c r="K17" s="88" t="str">
        <f aca="false">IF('Timeline Estacas'!K17="","",'Timeline Estacas'!K17)</f>
        <v/>
      </c>
      <c r="L17" s="88" t="str">
        <f aca="false">IF('Timeline Estacas'!L17="","",'Timeline Estacas'!L17)</f>
        <v/>
      </c>
      <c r="M17" s="88" t="str">
        <f aca="false">IF('Timeline Estacas'!M17="","",'Timeline Estacas'!M17)</f>
        <v/>
      </c>
      <c r="N17" s="89" t="str">
        <f aca="false">IF('Timeline Estacas'!N17="","",'Timeline Estacas'!N17)</f>
        <v>Manutenção do trado</v>
      </c>
      <c r="O17" s="90" t="str">
        <f aca="false">IF(ISNUMBER('Timeline Estacas'!O17),'Timeline Estacas'!O17,"")</f>
        <v/>
      </c>
      <c r="P17" s="91" t="n">
        <f aca="false">IF($Q17&gt;0,1,0)</f>
        <v>0</v>
      </c>
      <c r="Q17" s="91" t="n">
        <f aca="false">IF($F17="",0,1)+IF($H17="",0,1)</f>
        <v>0</v>
      </c>
      <c r="R17" s="91" t="n">
        <f aca="false">IF($N17="",0,1)</f>
        <v>1</v>
      </c>
      <c r="S17" s="91" t="n">
        <f aca="false">IF($F17="",0,1)</f>
        <v>0</v>
      </c>
      <c r="T17" s="91" t="n">
        <f aca="false">IF($H17="",0,1)</f>
        <v>0</v>
      </c>
      <c r="U17" s="91" t="n">
        <f aca="false">IF($J17="",0,1)</f>
        <v>0</v>
      </c>
      <c r="V17" s="91" t="n">
        <f aca="true">IF($J17="",0,IF($J17&lt;=TODAY(),1,0))</f>
        <v>0</v>
      </c>
      <c r="W17" s="92" t="n">
        <f aca="false">IF($O17="",0,$O17)</f>
        <v>0</v>
      </c>
      <c r="X17" s="91" t="n">
        <f aca="false">IF($R17=1,SUM($R$2:$R17),"")</f>
        <v>5</v>
      </c>
      <c r="Y17" s="91" t="n">
        <f aca="false">IF($F17="",0,IF(COUNTIF($F$2:$F17,$F17)+COUNTIF($H$2:$H17,$F17)&gt;1,1,0))+IF($H17="",0,IF(COUNTIF($F$2:$F17,$H17)+COUNTIF($H$2:$H17,$H17)&gt;1,1,0))</f>
        <v>0</v>
      </c>
      <c r="Z17" s="91" t="n">
        <f aca="false">IF($Q17=0,0,IF(COUNTIFS($A$2:$A17,$A17,$Q$2:$Q17,"&gt;0")=1,1,0))</f>
        <v>0</v>
      </c>
      <c r="AA17" s="93" t="str">
        <f aca="false">IF($Q17&gt;0,$A17,"")</f>
        <v/>
      </c>
      <c r="AB17" s="91" t="n">
        <f aca="false">IF($K17="",0,1)</f>
        <v>0</v>
      </c>
      <c r="AC17" s="91" t="n">
        <f aca="false">IF($L17="",0,1)</f>
        <v>0</v>
      </c>
      <c r="AD17" s="91" t="n">
        <f aca="false">IF($M17="",0,1)</f>
        <v>0</v>
      </c>
      <c r="AE17" s="91" t="str">
        <f aca="false">IF($Q17&gt;0,$D17,"")</f>
        <v/>
      </c>
      <c r="AF17" s="1"/>
      <c r="AG17" s="1"/>
      <c r="AH17" s="1"/>
      <c r="AI17" s="1"/>
      <c r="AJ17" s="1"/>
      <c r="AK17" s="1"/>
      <c r="AL17" s="1"/>
      <c r="AM17" s="1"/>
      <c r="AN17" s="1"/>
    </row>
    <row r="18" customFormat="false" ht="18" hidden="false" customHeight="true" outlineLevel="0" collapsed="false">
      <c r="A18" s="86" t="n">
        <f aca="false">IF(ISNUMBER('Timeline Estacas'!A18),'Timeline Estacas'!A18,"")</f>
        <v>46241</v>
      </c>
      <c r="B18" s="87" t="n">
        <f aca="false">IF($A18="","",$A18)</f>
        <v>46241</v>
      </c>
      <c r="C18" s="88" t="n">
        <f aca="false">IF(ISNUMBER('Timeline Estacas'!C18),'Timeline Estacas'!C18,"")</f>
        <v>280</v>
      </c>
      <c r="D18" s="88" t="n">
        <f aca="false">IF(ISNUMBER('Timeline Estacas'!D18),'Timeline Estacas'!D18,"")</f>
        <v>41</v>
      </c>
      <c r="E18" s="88" t="str">
        <f aca="false">IF($D18="","","S-"&amp;TEXT($D18,"00"))</f>
        <v>S-41</v>
      </c>
      <c r="F18" s="88" t="str">
        <f aca="false">IF(ISNUMBER('Timeline Estacas'!F18),'Timeline Estacas'!F18,"")</f>
        <v/>
      </c>
      <c r="G18" s="88" t="str">
        <f aca="false">IF($F18="","",IF('Timeline Estacas'!G18&lt;&gt;"",'Timeline Estacas'!G18,'Timeline Estacas'!I18))</f>
        <v/>
      </c>
      <c r="H18" s="88" t="str">
        <f aca="false">IF(ISNUMBER('Timeline Estacas'!H18),'Timeline Estacas'!H18,"")</f>
        <v/>
      </c>
      <c r="I18" s="88" t="str">
        <f aca="false">IF($H18="","",'Timeline Estacas'!I18)</f>
        <v/>
      </c>
      <c r="J18" s="86" t="str">
        <f aca="false">IF(ISNUMBER('Timeline Estacas'!J18),'Timeline Estacas'!J18,"")</f>
        <v/>
      </c>
      <c r="K18" s="88" t="str">
        <f aca="false">IF('Timeline Estacas'!K18="","",'Timeline Estacas'!K18)</f>
        <v/>
      </c>
      <c r="L18" s="88" t="str">
        <f aca="false">IF('Timeline Estacas'!L18="","",'Timeline Estacas'!L18)</f>
        <v/>
      </c>
      <c r="M18" s="88" t="str">
        <f aca="false">IF('Timeline Estacas'!M18="","",'Timeline Estacas'!M18)</f>
        <v/>
      </c>
      <c r="N18" s="89" t="str">
        <f aca="false">IF('Timeline Estacas'!N18="","",'Timeline Estacas'!N18)</f>
        <v>Desmontagem / Manutenção do trado</v>
      </c>
      <c r="O18" s="90" t="str">
        <f aca="false">IF(ISNUMBER('Timeline Estacas'!O18),'Timeline Estacas'!O18,"")</f>
        <v/>
      </c>
      <c r="P18" s="91" t="n">
        <f aca="false">IF($Q18&gt;0,1,0)</f>
        <v>0</v>
      </c>
      <c r="Q18" s="91" t="n">
        <f aca="false">IF($F18="",0,1)+IF($H18="",0,1)</f>
        <v>0</v>
      </c>
      <c r="R18" s="91" t="n">
        <f aca="false">IF($N18="",0,1)</f>
        <v>1</v>
      </c>
      <c r="S18" s="91" t="n">
        <f aca="false">IF($F18="",0,1)</f>
        <v>0</v>
      </c>
      <c r="T18" s="91" t="n">
        <f aca="false">IF($H18="",0,1)</f>
        <v>0</v>
      </c>
      <c r="U18" s="91" t="n">
        <f aca="false">IF($J18="",0,1)</f>
        <v>0</v>
      </c>
      <c r="V18" s="91" t="n">
        <f aca="true">IF($J18="",0,IF($J18&lt;=TODAY(),1,0))</f>
        <v>0</v>
      </c>
      <c r="W18" s="92" t="n">
        <f aca="false">IF($O18="",0,$O18)</f>
        <v>0</v>
      </c>
      <c r="X18" s="91" t="n">
        <f aca="false">IF($R18=1,SUM($R$2:$R18),"")</f>
        <v>6</v>
      </c>
      <c r="Y18" s="91" t="n">
        <f aca="false">IF($F18="",0,IF(COUNTIF($F$2:$F18,$F18)+COUNTIF($H$2:$H18,$F18)&gt;1,1,0))+IF($H18="",0,IF(COUNTIF($F$2:$F18,$H18)+COUNTIF($H$2:$H18,$H18)&gt;1,1,0))</f>
        <v>0</v>
      </c>
      <c r="Z18" s="91" t="n">
        <f aca="false">IF($Q18=0,0,IF(COUNTIFS($A$2:$A18,$A18,$Q$2:$Q18,"&gt;0")=1,1,0))</f>
        <v>0</v>
      </c>
      <c r="AA18" s="93" t="str">
        <f aca="false">IF($Q18&gt;0,$A18,"")</f>
        <v/>
      </c>
      <c r="AB18" s="91" t="n">
        <f aca="false">IF($K18="",0,1)</f>
        <v>0</v>
      </c>
      <c r="AC18" s="91" t="n">
        <f aca="false">IF($L18="",0,1)</f>
        <v>0</v>
      </c>
      <c r="AD18" s="91" t="n">
        <f aca="false">IF($M18="",0,1)</f>
        <v>0</v>
      </c>
      <c r="AE18" s="91" t="str">
        <f aca="false">IF($Q18&gt;0,$D18,"")</f>
        <v/>
      </c>
      <c r="AF18" s="1"/>
      <c r="AG18" s="1"/>
      <c r="AH18" s="1"/>
      <c r="AI18" s="1"/>
      <c r="AJ18" s="1"/>
      <c r="AK18" s="1"/>
      <c r="AL18" s="1"/>
      <c r="AM18" s="1"/>
      <c r="AN18" s="1"/>
    </row>
    <row r="19" customFormat="false" ht="18" hidden="false" customHeight="true" outlineLevel="0" collapsed="false">
      <c r="A19" s="86" t="n">
        <f aca="false">IF(ISNUMBER('Timeline Estacas'!A19),'Timeline Estacas'!A19,"")</f>
        <v>46242</v>
      </c>
      <c r="B19" s="87" t="n">
        <f aca="false">IF($A19="","",$A19)</f>
        <v>46242</v>
      </c>
      <c r="C19" s="88" t="n">
        <f aca="false">IF(ISNUMBER('Timeline Estacas'!C19),'Timeline Estacas'!C19,"")</f>
        <v>281</v>
      </c>
      <c r="D19" s="88" t="n">
        <f aca="false">IF(ISNUMBER('Timeline Estacas'!D19),'Timeline Estacas'!D19,"")</f>
        <v>41</v>
      </c>
      <c r="E19" s="88" t="str">
        <f aca="false">IF($D19="","","S-"&amp;TEXT($D19,"00"))</f>
        <v>S-41</v>
      </c>
      <c r="F19" s="88" t="str">
        <f aca="false">IF(ISNUMBER('Timeline Estacas'!F19),'Timeline Estacas'!F19,"")</f>
        <v/>
      </c>
      <c r="G19" s="88" t="str">
        <f aca="false">IF($F19="","",IF('Timeline Estacas'!G19&lt;&gt;"",'Timeline Estacas'!G19,'Timeline Estacas'!I19))</f>
        <v/>
      </c>
      <c r="H19" s="88" t="str">
        <f aca="false">IF(ISNUMBER('Timeline Estacas'!H19),'Timeline Estacas'!H19,"")</f>
        <v/>
      </c>
      <c r="I19" s="88" t="str">
        <f aca="false">IF($H19="","",'Timeline Estacas'!I19)</f>
        <v/>
      </c>
      <c r="J19" s="86" t="str">
        <f aca="false">IF(ISNUMBER('Timeline Estacas'!J19),'Timeline Estacas'!J19,"")</f>
        <v/>
      </c>
      <c r="K19" s="88" t="str">
        <f aca="false">IF('Timeline Estacas'!K19="","",'Timeline Estacas'!K19)</f>
        <v/>
      </c>
      <c r="L19" s="88" t="str">
        <f aca="false">IF('Timeline Estacas'!L19="","",'Timeline Estacas'!L19)</f>
        <v/>
      </c>
      <c r="M19" s="88" t="str">
        <f aca="false">IF('Timeline Estacas'!M19="","",'Timeline Estacas'!M19)</f>
        <v/>
      </c>
      <c r="N19" s="89" t="str">
        <f aca="false">IF('Timeline Estacas'!N19="","",'Timeline Estacas'!N19)</f>
        <v/>
      </c>
      <c r="O19" s="90" t="str">
        <f aca="false">IF(ISNUMBER('Timeline Estacas'!O19),'Timeline Estacas'!O19,"")</f>
        <v/>
      </c>
      <c r="P19" s="91" t="n">
        <f aca="false">IF($Q19&gt;0,1,0)</f>
        <v>0</v>
      </c>
      <c r="Q19" s="91" t="n">
        <f aca="false">IF($F19="",0,1)+IF($H19="",0,1)</f>
        <v>0</v>
      </c>
      <c r="R19" s="91" t="n">
        <f aca="false">IF($N19="",0,1)</f>
        <v>0</v>
      </c>
      <c r="S19" s="91" t="n">
        <f aca="false">IF($F19="",0,1)</f>
        <v>0</v>
      </c>
      <c r="T19" s="91" t="n">
        <f aca="false">IF($H19="",0,1)</f>
        <v>0</v>
      </c>
      <c r="U19" s="91" t="n">
        <f aca="false">IF($J19="",0,1)</f>
        <v>0</v>
      </c>
      <c r="V19" s="91" t="n">
        <f aca="true">IF($J19="",0,IF($J19&lt;=TODAY(),1,0))</f>
        <v>0</v>
      </c>
      <c r="W19" s="92" t="n">
        <f aca="false">IF($O19="",0,$O19)</f>
        <v>0</v>
      </c>
      <c r="X19" s="91" t="str">
        <f aca="false">IF($R19=1,SUM($R$2:$R19),"")</f>
        <v/>
      </c>
      <c r="Y19" s="91" t="n">
        <f aca="false">IF($F19="",0,IF(COUNTIF($F$2:$F19,$F19)+COUNTIF($H$2:$H19,$F19)&gt;1,1,0))+IF($H19="",0,IF(COUNTIF($F$2:$F19,$H19)+COUNTIF($H$2:$H19,$H19)&gt;1,1,0))</f>
        <v>0</v>
      </c>
      <c r="Z19" s="91" t="n">
        <f aca="false">IF($Q19=0,0,IF(COUNTIFS($A$2:$A19,$A19,$Q$2:$Q19,"&gt;0")=1,1,0))</f>
        <v>0</v>
      </c>
      <c r="AA19" s="93" t="str">
        <f aca="false">IF($Q19&gt;0,$A19,"")</f>
        <v/>
      </c>
      <c r="AB19" s="91" t="n">
        <f aca="false">IF($K19="",0,1)</f>
        <v>0</v>
      </c>
      <c r="AC19" s="91" t="n">
        <f aca="false">IF($L19="",0,1)</f>
        <v>0</v>
      </c>
      <c r="AD19" s="91" t="n">
        <f aca="false">IF($M19="",0,1)</f>
        <v>0</v>
      </c>
      <c r="AE19" s="91" t="str">
        <f aca="false">IF($Q19&gt;0,$D19,"")</f>
        <v/>
      </c>
      <c r="AF19" s="1"/>
      <c r="AG19" s="1"/>
      <c r="AH19" s="1"/>
      <c r="AI19" s="1"/>
      <c r="AJ19" s="1"/>
      <c r="AK19" s="1"/>
      <c r="AL19" s="1"/>
      <c r="AM19" s="1"/>
      <c r="AN19" s="1"/>
    </row>
    <row r="20" customFormat="false" ht="18" hidden="false" customHeight="true" outlineLevel="0" collapsed="false">
      <c r="A20" s="86" t="n">
        <f aca="false">IF(ISNUMBER('Timeline Estacas'!A20),'Timeline Estacas'!A20,"")</f>
        <v>46243</v>
      </c>
      <c r="B20" s="87" t="n">
        <f aca="false">IF($A20="","",$A20)</f>
        <v>46243</v>
      </c>
      <c r="C20" s="88" t="n">
        <f aca="false">IF(ISNUMBER('Timeline Estacas'!C20),'Timeline Estacas'!C20,"")</f>
        <v>282</v>
      </c>
      <c r="D20" s="88" t="n">
        <f aca="false">IF(ISNUMBER('Timeline Estacas'!D20),'Timeline Estacas'!D20,"")</f>
        <v>41</v>
      </c>
      <c r="E20" s="88" t="str">
        <f aca="false">IF($D20="","","S-"&amp;TEXT($D20,"00"))</f>
        <v>S-41</v>
      </c>
      <c r="F20" s="88" t="str">
        <f aca="false">IF(ISNUMBER('Timeline Estacas'!F20),'Timeline Estacas'!F20,"")</f>
        <v/>
      </c>
      <c r="G20" s="88" t="str">
        <f aca="false">IF($F20="","",IF('Timeline Estacas'!G20&lt;&gt;"",'Timeline Estacas'!G20,'Timeline Estacas'!I20))</f>
        <v/>
      </c>
      <c r="H20" s="88" t="str">
        <f aca="false">IF(ISNUMBER('Timeline Estacas'!H20),'Timeline Estacas'!H20,"")</f>
        <v/>
      </c>
      <c r="I20" s="88" t="str">
        <f aca="false">IF($H20="","",'Timeline Estacas'!I20)</f>
        <v/>
      </c>
      <c r="J20" s="86" t="str">
        <f aca="false">IF(ISNUMBER('Timeline Estacas'!J20),'Timeline Estacas'!J20,"")</f>
        <v/>
      </c>
      <c r="K20" s="88" t="str">
        <f aca="false">IF('Timeline Estacas'!K20="","",'Timeline Estacas'!K20)</f>
        <v/>
      </c>
      <c r="L20" s="88" t="str">
        <f aca="false">IF('Timeline Estacas'!L20="","",'Timeline Estacas'!L20)</f>
        <v/>
      </c>
      <c r="M20" s="88" t="str">
        <f aca="false">IF('Timeline Estacas'!M20="","",'Timeline Estacas'!M20)</f>
        <v/>
      </c>
      <c r="N20" s="89" t="str">
        <f aca="false">IF('Timeline Estacas'!N20="","",'Timeline Estacas'!N20)</f>
        <v/>
      </c>
      <c r="O20" s="90" t="str">
        <f aca="false">IF(ISNUMBER('Timeline Estacas'!O20),'Timeline Estacas'!O20,"")</f>
        <v/>
      </c>
      <c r="P20" s="91" t="n">
        <f aca="false">IF($Q20&gt;0,1,0)</f>
        <v>0</v>
      </c>
      <c r="Q20" s="91" t="n">
        <f aca="false">IF($F20="",0,1)+IF($H20="",0,1)</f>
        <v>0</v>
      </c>
      <c r="R20" s="91" t="n">
        <f aca="false">IF($N20="",0,1)</f>
        <v>0</v>
      </c>
      <c r="S20" s="91" t="n">
        <f aca="false">IF($F20="",0,1)</f>
        <v>0</v>
      </c>
      <c r="T20" s="91" t="n">
        <f aca="false">IF($H20="",0,1)</f>
        <v>0</v>
      </c>
      <c r="U20" s="91" t="n">
        <f aca="false">IF($J20="",0,1)</f>
        <v>0</v>
      </c>
      <c r="V20" s="91" t="n">
        <f aca="true">IF($J20="",0,IF($J20&lt;=TODAY(),1,0))</f>
        <v>0</v>
      </c>
      <c r="W20" s="92" t="n">
        <f aca="false">IF($O20="",0,$O20)</f>
        <v>0</v>
      </c>
      <c r="X20" s="91" t="str">
        <f aca="false">IF($R20=1,SUM($R$2:$R20),"")</f>
        <v/>
      </c>
      <c r="Y20" s="91" t="n">
        <f aca="false">IF($F20="",0,IF(COUNTIF($F$2:$F20,$F20)+COUNTIF($H$2:$H20,$F20)&gt;1,1,0))+IF($H20="",0,IF(COUNTIF($F$2:$F20,$H20)+COUNTIF($H$2:$H20,$H20)&gt;1,1,0))</f>
        <v>0</v>
      </c>
      <c r="Z20" s="91" t="n">
        <f aca="false">IF($Q20=0,0,IF(COUNTIFS($A$2:$A20,$A20,$Q$2:$Q20,"&gt;0")=1,1,0))</f>
        <v>0</v>
      </c>
      <c r="AA20" s="93" t="str">
        <f aca="false">IF($Q20&gt;0,$A20,"")</f>
        <v/>
      </c>
      <c r="AB20" s="91" t="n">
        <f aca="false">IF($K20="",0,1)</f>
        <v>0</v>
      </c>
      <c r="AC20" s="91" t="n">
        <f aca="false">IF($L20="",0,1)</f>
        <v>0</v>
      </c>
      <c r="AD20" s="91" t="n">
        <f aca="false">IF($M20="",0,1)</f>
        <v>0</v>
      </c>
      <c r="AE20" s="91" t="str">
        <f aca="false">IF($Q20&gt;0,$D20,"")</f>
        <v/>
      </c>
      <c r="AF20" s="1"/>
      <c r="AG20" s="1"/>
      <c r="AH20" s="1"/>
      <c r="AI20" s="1"/>
      <c r="AJ20" s="1"/>
      <c r="AK20" s="1"/>
      <c r="AL20" s="1"/>
      <c r="AM20" s="1"/>
      <c r="AN20" s="1"/>
    </row>
    <row r="21" customFormat="false" ht="18" hidden="false" customHeight="true" outlineLevel="0" collapsed="false">
      <c r="A21" s="86" t="n">
        <f aca="false">IF(ISNUMBER('Timeline Estacas'!A21),'Timeline Estacas'!A21,"")</f>
        <v>46244</v>
      </c>
      <c r="B21" s="87" t="n">
        <f aca="false">IF($A21="","",$A21)</f>
        <v>46244</v>
      </c>
      <c r="C21" s="88" t="n">
        <f aca="false">IF(ISNUMBER('Timeline Estacas'!C21),'Timeline Estacas'!C21,"")</f>
        <v>283</v>
      </c>
      <c r="D21" s="88" t="n">
        <f aca="false">IF(ISNUMBER('Timeline Estacas'!D21),'Timeline Estacas'!D21,"")</f>
        <v>41</v>
      </c>
      <c r="E21" s="88" t="str">
        <f aca="false">IF($D21="","","S-"&amp;TEXT($D21,"00"))</f>
        <v>S-41</v>
      </c>
      <c r="F21" s="88" t="str">
        <f aca="false">IF(ISNUMBER('Timeline Estacas'!F21),'Timeline Estacas'!F21,"")</f>
        <v/>
      </c>
      <c r="G21" s="88" t="str">
        <f aca="false">IF($F21="","",IF('Timeline Estacas'!G21&lt;&gt;"",'Timeline Estacas'!G21,'Timeline Estacas'!I21))</f>
        <v/>
      </c>
      <c r="H21" s="88" t="str">
        <f aca="false">IF(ISNUMBER('Timeline Estacas'!H21),'Timeline Estacas'!H21,"")</f>
        <v/>
      </c>
      <c r="I21" s="88" t="str">
        <f aca="false">IF($H21="","",'Timeline Estacas'!I21)</f>
        <v/>
      </c>
      <c r="J21" s="86" t="str">
        <f aca="false">IF(ISNUMBER('Timeline Estacas'!J21),'Timeline Estacas'!J21,"")</f>
        <v/>
      </c>
      <c r="K21" s="88" t="str">
        <f aca="false">IF('Timeline Estacas'!K21="","",'Timeline Estacas'!K21)</f>
        <v/>
      </c>
      <c r="L21" s="88" t="str">
        <f aca="false">IF('Timeline Estacas'!L21="","",'Timeline Estacas'!L21)</f>
        <v/>
      </c>
      <c r="M21" s="88" t="str">
        <f aca="false">IF('Timeline Estacas'!M21="","",'Timeline Estacas'!M21)</f>
        <v/>
      </c>
      <c r="N21" s="89" t="str">
        <f aca="false">IF('Timeline Estacas'!N21="","",'Timeline Estacas'!N21)</f>
        <v>Teste equipamento Rei Hélice - 7min perfuração</v>
      </c>
      <c r="O21" s="90" t="str">
        <f aca="false">IF(ISNUMBER('Timeline Estacas'!O21),'Timeline Estacas'!O21,"")</f>
        <v/>
      </c>
      <c r="P21" s="91" t="n">
        <f aca="false">IF($Q21&gt;0,1,0)</f>
        <v>0</v>
      </c>
      <c r="Q21" s="91" t="n">
        <f aca="false">IF($F21="",0,1)+IF($H21="",0,1)</f>
        <v>0</v>
      </c>
      <c r="R21" s="91" t="n">
        <f aca="false">IF($N21="",0,1)</f>
        <v>1</v>
      </c>
      <c r="S21" s="91" t="n">
        <f aca="false">IF($F21="",0,1)</f>
        <v>0</v>
      </c>
      <c r="T21" s="91" t="n">
        <f aca="false">IF($H21="",0,1)</f>
        <v>0</v>
      </c>
      <c r="U21" s="91" t="n">
        <f aca="false">IF($J21="",0,1)</f>
        <v>0</v>
      </c>
      <c r="V21" s="91" t="n">
        <f aca="true">IF($J21="",0,IF($J21&lt;=TODAY(),1,0))</f>
        <v>0</v>
      </c>
      <c r="W21" s="92" t="n">
        <f aca="false">IF($O21="",0,$O21)</f>
        <v>0</v>
      </c>
      <c r="X21" s="91" t="n">
        <f aca="false">IF($R21=1,SUM($R$2:$R21),"")</f>
        <v>7</v>
      </c>
      <c r="Y21" s="91" t="n">
        <f aca="false">IF($F21="",0,IF(COUNTIF($F$2:$F21,$F21)+COUNTIF($H$2:$H21,$F21)&gt;1,1,0))+IF($H21="",0,IF(COUNTIF($F$2:$F21,$H21)+COUNTIF($H$2:$H21,$H21)&gt;1,1,0))</f>
        <v>0</v>
      </c>
      <c r="Z21" s="91" t="n">
        <f aca="false">IF($Q21=0,0,IF(COUNTIFS($A$2:$A21,$A21,$Q$2:$Q21,"&gt;0")=1,1,0))</f>
        <v>0</v>
      </c>
      <c r="AA21" s="93" t="str">
        <f aca="false">IF($Q21&gt;0,$A21,"")</f>
        <v/>
      </c>
      <c r="AB21" s="91" t="n">
        <f aca="false">IF($K21="",0,1)</f>
        <v>0</v>
      </c>
      <c r="AC21" s="91" t="n">
        <f aca="false">IF($L21="",0,1)</f>
        <v>0</v>
      </c>
      <c r="AD21" s="91" t="n">
        <f aca="false">IF($M21="",0,1)</f>
        <v>0</v>
      </c>
      <c r="AE21" s="91" t="str">
        <f aca="false">IF($Q21&gt;0,$D21,"")</f>
        <v/>
      </c>
      <c r="AF21" s="1"/>
      <c r="AG21" s="1"/>
      <c r="AH21" s="1"/>
      <c r="AI21" s="1"/>
      <c r="AJ21" s="1"/>
      <c r="AK21" s="1"/>
      <c r="AL21" s="1"/>
      <c r="AM21" s="1"/>
      <c r="AN21" s="1"/>
    </row>
    <row r="22" customFormat="false" ht="18" hidden="false" customHeight="true" outlineLevel="0" collapsed="false">
      <c r="A22" s="86" t="n">
        <f aca="false">IF(ISNUMBER('Timeline Estacas'!A22),'Timeline Estacas'!A22,"")</f>
        <v>46245</v>
      </c>
      <c r="B22" s="87" t="n">
        <f aca="false">IF($A22="","",$A22)</f>
        <v>46245</v>
      </c>
      <c r="C22" s="88" t="n">
        <f aca="false">IF(ISNUMBER('Timeline Estacas'!C22),'Timeline Estacas'!C22,"")</f>
        <v>284</v>
      </c>
      <c r="D22" s="88" t="n">
        <f aca="false">IF(ISNUMBER('Timeline Estacas'!D22),'Timeline Estacas'!D22,"")</f>
        <v>41</v>
      </c>
      <c r="E22" s="88" t="str">
        <f aca="false">IF($D22="","","S-"&amp;TEXT($D22,"00"))</f>
        <v>S-41</v>
      </c>
      <c r="F22" s="88" t="n">
        <f aca="false">IF(ISNUMBER('Timeline Estacas'!F22),'Timeline Estacas'!F22,"")</f>
        <v>1</v>
      </c>
      <c r="G22" s="88" t="str">
        <f aca="false">IF($F22="","",IF('Timeline Estacas'!G22&lt;&gt;"",'Timeline Estacas'!G22,'Timeline Estacas'!I22))</f>
        <v>B</v>
      </c>
      <c r="H22" s="88" t="str">
        <f aca="false">IF(ISNUMBER('Timeline Estacas'!H22),'Timeline Estacas'!H22,"")</f>
        <v/>
      </c>
      <c r="I22" s="88" t="str">
        <f aca="false">IF($H22="","",'Timeline Estacas'!I22)</f>
        <v/>
      </c>
      <c r="J22" s="86" t="n">
        <f aca="false">IF(ISNUMBER('Timeline Estacas'!J22),'Timeline Estacas'!J22,"")</f>
        <v>46259</v>
      </c>
      <c r="K22" s="88" t="str">
        <f aca="false">IF('Timeline Estacas'!K22="","",'Timeline Estacas'!K22)</f>
        <v/>
      </c>
      <c r="L22" s="88" t="str">
        <f aca="false">IF('Timeline Estacas'!L22="","",'Timeline Estacas'!L22)</f>
        <v/>
      </c>
      <c r="M22" s="88" t="str">
        <f aca="false">IF('Timeline Estacas'!M22="","",'Timeline Estacas'!M22)</f>
        <v/>
      </c>
      <c r="N22" s="89" t="str">
        <f aca="false">IF('Timeline Estacas'!N22="","",'Timeline Estacas'!N22)</f>
        <v/>
      </c>
      <c r="O22" s="90" t="str">
        <f aca="false">IF(ISNUMBER('Timeline Estacas'!O22),'Timeline Estacas'!O22,"")</f>
        <v/>
      </c>
      <c r="P22" s="91" t="n">
        <f aca="false">IF($Q22&gt;0,1,0)</f>
        <v>1</v>
      </c>
      <c r="Q22" s="91" t="n">
        <f aca="false">IF($F22="",0,1)+IF($H22="",0,1)</f>
        <v>1</v>
      </c>
      <c r="R22" s="91" t="n">
        <f aca="false">IF($N22="",0,1)</f>
        <v>0</v>
      </c>
      <c r="S22" s="91" t="n">
        <f aca="false">IF($F22="",0,1)</f>
        <v>1</v>
      </c>
      <c r="T22" s="91" t="n">
        <f aca="false">IF($H22="",0,1)</f>
        <v>0</v>
      </c>
      <c r="U22" s="91" t="n">
        <f aca="false">IF($J22="",0,1)</f>
        <v>1</v>
      </c>
      <c r="V22" s="91" t="n">
        <f aca="true">IF($J22="",0,IF($J22&lt;=TODAY(),1,0))</f>
        <v>1</v>
      </c>
      <c r="W22" s="92" t="n">
        <f aca="false">IF($O22="",0,$O22)</f>
        <v>0</v>
      </c>
      <c r="X22" s="91" t="str">
        <f aca="false">IF($R22=1,SUM($R$2:$R22),"")</f>
        <v/>
      </c>
      <c r="Y22" s="91" t="n">
        <f aca="false">IF($F22="",0,IF(COUNTIF($F$2:$F22,$F22)+COUNTIF($H$2:$H22,$F22)&gt;1,1,0))+IF($H22="",0,IF(COUNTIF($F$2:$F22,$H22)+COUNTIF($H$2:$H22,$H22)&gt;1,1,0))</f>
        <v>0</v>
      </c>
      <c r="Z22" s="91" t="n">
        <f aca="false">IF($Q22=0,0,IF(COUNTIFS($A$2:$A22,$A22,$Q$2:$Q22,"&gt;0")=1,1,0))</f>
        <v>1</v>
      </c>
      <c r="AA22" s="93" t="n">
        <f aca="false">IF($Q22&gt;0,$A22,"")</f>
        <v>46245</v>
      </c>
      <c r="AB22" s="91" t="n">
        <f aca="false">IF($K22="",0,1)</f>
        <v>0</v>
      </c>
      <c r="AC22" s="91" t="n">
        <f aca="false">IF($L22="",0,1)</f>
        <v>0</v>
      </c>
      <c r="AD22" s="91" t="n">
        <f aca="false">IF($M22="",0,1)</f>
        <v>0</v>
      </c>
      <c r="AE22" s="91" t="n">
        <f aca="false">IF($Q22&gt;0,$D22,"")</f>
        <v>41</v>
      </c>
      <c r="AF22" s="1"/>
      <c r="AG22" s="1"/>
      <c r="AH22" s="1"/>
      <c r="AI22" s="1"/>
      <c r="AJ22" s="1"/>
      <c r="AK22" s="1"/>
      <c r="AL22" s="1"/>
      <c r="AM22" s="1"/>
      <c r="AN22" s="1"/>
    </row>
    <row r="23" customFormat="false" ht="18" hidden="false" customHeight="true" outlineLevel="0" collapsed="false">
      <c r="A23" s="86" t="n">
        <f aca="false">IF(ISNUMBER('Timeline Estacas'!A23),'Timeline Estacas'!A23,"")</f>
        <v>46245</v>
      </c>
      <c r="B23" s="87" t="n">
        <f aca="false">IF($A23="","",$A23)</f>
        <v>46245</v>
      </c>
      <c r="C23" s="88" t="n">
        <f aca="false">IF(ISNUMBER('Timeline Estacas'!C23),'Timeline Estacas'!C23,"")</f>
        <v>284</v>
      </c>
      <c r="D23" s="88" t="n">
        <f aca="false">IF(ISNUMBER('Timeline Estacas'!D23),'Timeline Estacas'!D23,"")</f>
        <v>41</v>
      </c>
      <c r="E23" s="88" t="str">
        <f aca="false">IF($D23="","","S-"&amp;TEXT($D23,"00"))</f>
        <v>S-41</v>
      </c>
      <c r="F23" s="88" t="n">
        <f aca="false">IF(ISNUMBER('Timeline Estacas'!F23),'Timeline Estacas'!F23,"")</f>
        <v>9</v>
      </c>
      <c r="G23" s="88" t="str">
        <f aca="false">IF($F23="","",IF('Timeline Estacas'!G23&lt;&gt;"",'Timeline Estacas'!G23,'Timeline Estacas'!I23))</f>
        <v>B</v>
      </c>
      <c r="H23" s="88" t="str">
        <f aca="false">IF(ISNUMBER('Timeline Estacas'!H23),'Timeline Estacas'!H23,"")</f>
        <v/>
      </c>
      <c r="I23" s="88" t="str">
        <f aca="false">IF($H23="","",'Timeline Estacas'!I23)</f>
        <v/>
      </c>
      <c r="J23" s="86" t="n">
        <f aca="false">IF(ISNUMBER('Timeline Estacas'!J23),'Timeline Estacas'!J23,"")</f>
        <v>46259</v>
      </c>
      <c r="K23" s="88" t="str">
        <f aca="false">IF('Timeline Estacas'!K23="","",'Timeline Estacas'!K23)</f>
        <v/>
      </c>
      <c r="L23" s="88" t="str">
        <f aca="false">IF('Timeline Estacas'!L23="","",'Timeline Estacas'!L23)</f>
        <v/>
      </c>
      <c r="M23" s="88" t="str">
        <f aca="false">IF('Timeline Estacas'!M23="","",'Timeline Estacas'!M23)</f>
        <v/>
      </c>
      <c r="N23" s="89" t="str">
        <f aca="false">IF('Timeline Estacas'!N23="","",'Timeline Estacas'!N23)</f>
        <v/>
      </c>
      <c r="O23" s="90" t="str">
        <f aca="false">IF(ISNUMBER('Timeline Estacas'!O23),'Timeline Estacas'!O23,"")</f>
        <v/>
      </c>
      <c r="P23" s="91" t="n">
        <f aca="false">IF($Q23&gt;0,1,0)</f>
        <v>1</v>
      </c>
      <c r="Q23" s="91" t="n">
        <f aca="false">IF($F23="",0,1)+IF($H23="",0,1)</f>
        <v>1</v>
      </c>
      <c r="R23" s="91" t="n">
        <f aca="false">IF($N23="",0,1)</f>
        <v>0</v>
      </c>
      <c r="S23" s="91" t="n">
        <f aca="false">IF($F23="",0,1)</f>
        <v>1</v>
      </c>
      <c r="T23" s="91" t="n">
        <f aca="false">IF($H23="",0,1)</f>
        <v>0</v>
      </c>
      <c r="U23" s="91" t="n">
        <f aca="false">IF($J23="",0,1)</f>
        <v>1</v>
      </c>
      <c r="V23" s="91" t="n">
        <f aca="true">IF($J23="",0,IF($J23&lt;=TODAY(),1,0))</f>
        <v>1</v>
      </c>
      <c r="W23" s="92" t="n">
        <f aca="false">IF($O23="",0,$O23)</f>
        <v>0</v>
      </c>
      <c r="X23" s="91" t="str">
        <f aca="false">IF($R23=1,SUM($R$2:$R23),"")</f>
        <v/>
      </c>
      <c r="Y23" s="91" t="n">
        <f aca="false">IF($F23="",0,IF(COUNTIF($F$2:$F23,$F23)+COUNTIF($H$2:$H23,$F23)&gt;1,1,0))+IF($H23="",0,IF(COUNTIF($F$2:$F23,$H23)+COUNTIF($H$2:$H23,$H23)&gt;1,1,0))</f>
        <v>0</v>
      </c>
      <c r="Z23" s="91" t="n">
        <f aca="false">IF($Q23=0,0,IF(COUNTIFS($A$2:$A23,$A23,$Q$2:$Q23,"&gt;0")=1,1,0))</f>
        <v>0</v>
      </c>
      <c r="AA23" s="93" t="n">
        <f aca="false">IF($Q23&gt;0,$A23,"")</f>
        <v>46245</v>
      </c>
      <c r="AB23" s="91" t="n">
        <f aca="false">IF($K23="",0,1)</f>
        <v>0</v>
      </c>
      <c r="AC23" s="91" t="n">
        <f aca="false">IF($L23="",0,1)</f>
        <v>0</v>
      </c>
      <c r="AD23" s="91" t="n">
        <f aca="false">IF($M23="",0,1)</f>
        <v>0</v>
      </c>
      <c r="AE23" s="91" t="n">
        <f aca="false">IF($Q23&gt;0,$D23,"")</f>
        <v>41</v>
      </c>
      <c r="AF23" s="1"/>
      <c r="AG23" s="1"/>
      <c r="AH23" s="1"/>
      <c r="AI23" s="1"/>
      <c r="AJ23" s="1"/>
      <c r="AK23" s="1"/>
      <c r="AL23" s="1"/>
      <c r="AM23" s="1"/>
      <c r="AN23" s="1"/>
    </row>
    <row r="24" customFormat="false" ht="18" hidden="false" customHeight="true" outlineLevel="0" collapsed="false">
      <c r="A24" s="86" t="n">
        <f aca="false">IF(ISNUMBER('Timeline Estacas'!A24),'Timeline Estacas'!A24,"")</f>
        <v>46245</v>
      </c>
      <c r="B24" s="87" t="n">
        <f aca="false">IF($A24="","",$A24)</f>
        <v>46245</v>
      </c>
      <c r="C24" s="88" t="n">
        <f aca="false">IF(ISNUMBER('Timeline Estacas'!C24),'Timeline Estacas'!C24,"")</f>
        <v>284</v>
      </c>
      <c r="D24" s="88" t="n">
        <f aca="false">IF(ISNUMBER('Timeline Estacas'!D24),'Timeline Estacas'!D24,"")</f>
        <v>41</v>
      </c>
      <c r="E24" s="88" t="str">
        <f aca="false">IF($D24="","","S-"&amp;TEXT($D24,"00"))</f>
        <v>S-41</v>
      </c>
      <c r="F24" s="88" t="n">
        <f aca="false">IF(ISNUMBER('Timeline Estacas'!F24),'Timeline Estacas'!F24,"")</f>
        <v>13</v>
      </c>
      <c r="G24" s="88" t="str">
        <f aca="false">IF($F24="","",IF('Timeline Estacas'!G24&lt;&gt;"",'Timeline Estacas'!G24,'Timeline Estacas'!I24))</f>
        <v>B</v>
      </c>
      <c r="H24" s="88" t="str">
        <f aca="false">IF(ISNUMBER('Timeline Estacas'!H24),'Timeline Estacas'!H24,"")</f>
        <v/>
      </c>
      <c r="I24" s="88" t="str">
        <f aca="false">IF($H24="","",'Timeline Estacas'!I24)</f>
        <v/>
      </c>
      <c r="J24" s="86" t="n">
        <f aca="false">IF(ISNUMBER('Timeline Estacas'!J24),'Timeline Estacas'!J24,"")</f>
        <v>46259</v>
      </c>
      <c r="K24" s="88" t="str">
        <f aca="false">IF('Timeline Estacas'!K24="","",'Timeline Estacas'!K24)</f>
        <v/>
      </c>
      <c r="L24" s="88" t="str">
        <f aca="false">IF('Timeline Estacas'!L24="","",'Timeline Estacas'!L24)</f>
        <v/>
      </c>
      <c r="M24" s="88" t="str">
        <f aca="false">IF('Timeline Estacas'!M24="","",'Timeline Estacas'!M24)</f>
        <v/>
      </c>
      <c r="N24" s="89" t="str">
        <f aca="false">IF('Timeline Estacas'!N24="","",'Timeline Estacas'!N24)</f>
        <v/>
      </c>
      <c r="O24" s="90" t="str">
        <f aca="false">IF(ISNUMBER('Timeline Estacas'!O24),'Timeline Estacas'!O24,"")</f>
        <v/>
      </c>
      <c r="P24" s="91" t="n">
        <f aca="false">IF($Q24&gt;0,1,0)</f>
        <v>1</v>
      </c>
      <c r="Q24" s="91" t="n">
        <f aca="false">IF($F24="",0,1)+IF($H24="",0,1)</f>
        <v>1</v>
      </c>
      <c r="R24" s="91" t="n">
        <f aca="false">IF($N24="",0,1)</f>
        <v>0</v>
      </c>
      <c r="S24" s="91" t="n">
        <f aca="false">IF($F24="",0,1)</f>
        <v>1</v>
      </c>
      <c r="T24" s="91" t="n">
        <f aca="false">IF($H24="",0,1)</f>
        <v>0</v>
      </c>
      <c r="U24" s="91" t="n">
        <f aca="false">IF($J24="",0,1)</f>
        <v>1</v>
      </c>
      <c r="V24" s="91" t="n">
        <f aca="true">IF($J24="",0,IF($J24&lt;=TODAY(),1,0))</f>
        <v>1</v>
      </c>
      <c r="W24" s="92" t="n">
        <f aca="false">IF($O24="",0,$O24)</f>
        <v>0</v>
      </c>
      <c r="X24" s="91" t="str">
        <f aca="false">IF($R24=1,SUM($R$2:$R24),"")</f>
        <v/>
      </c>
      <c r="Y24" s="91" t="n">
        <f aca="false">IF($F24="",0,IF(COUNTIF($F$2:$F24,$F24)+COUNTIF($H$2:$H24,$F24)&gt;1,1,0))+IF($H24="",0,IF(COUNTIF($F$2:$F24,$H24)+COUNTIF($H$2:$H24,$H24)&gt;1,1,0))</f>
        <v>0</v>
      </c>
      <c r="Z24" s="91" t="n">
        <f aca="false">IF($Q24=0,0,IF(COUNTIFS($A$2:$A24,$A24,$Q$2:$Q24,"&gt;0")=1,1,0))</f>
        <v>0</v>
      </c>
      <c r="AA24" s="93" t="n">
        <f aca="false">IF($Q24&gt;0,$A24,"")</f>
        <v>46245</v>
      </c>
      <c r="AB24" s="91" t="n">
        <f aca="false">IF($K24="",0,1)</f>
        <v>0</v>
      </c>
      <c r="AC24" s="91" t="n">
        <f aca="false">IF($L24="",0,1)</f>
        <v>0</v>
      </c>
      <c r="AD24" s="91" t="n">
        <f aca="false">IF($M24="",0,1)</f>
        <v>0</v>
      </c>
      <c r="AE24" s="91" t="n">
        <f aca="false">IF($Q24&gt;0,$D24,"")</f>
        <v>41</v>
      </c>
      <c r="AF24" s="1"/>
      <c r="AG24" s="1"/>
      <c r="AH24" s="1"/>
      <c r="AI24" s="1"/>
      <c r="AJ24" s="1"/>
      <c r="AK24" s="1"/>
      <c r="AL24" s="1"/>
      <c r="AM24" s="1"/>
      <c r="AN24" s="1"/>
    </row>
    <row r="25" customFormat="false" ht="18" hidden="false" customHeight="true" outlineLevel="0" collapsed="false">
      <c r="A25" s="86" t="n">
        <f aca="false">IF(ISNUMBER('Timeline Estacas'!A25),'Timeline Estacas'!A25,"")</f>
        <v>46246</v>
      </c>
      <c r="B25" s="87" t="n">
        <f aca="false">IF($A25="","",$A25)</f>
        <v>46246</v>
      </c>
      <c r="C25" s="88" t="n">
        <f aca="false">IF(ISNUMBER('Timeline Estacas'!C25),'Timeline Estacas'!C25,"")</f>
        <v>285</v>
      </c>
      <c r="D25" s="88" t="n">
        <f aca="false">IF(ISNUMBER('Timeline Estacas'!D25),'Timeline Estacas'!D25,"")</f>
        <v>41</v>
      </c>
      <c r="E25" s="88" t="str">
        <f aca="false">IF($D25="","","S-"&amp;TEXT($D25,"00"))</f>
        <v>S-41</v>
      </c>
      <c r="F25" s="88" t="n">
        <f aca="false">IF(ISNUMBER('Timeline Estacas'!F25),'Timeline Estacas'!F25,"")</f>
        <v>14</v>
      </c>
      <c r="G25" s="88" t="str">
        <f aca="false">IF($F25="","",IF('Timeline Estacas'!G25&lt;&gt;"",'Timeline Estacas'!G25,'Timeline Estacas'!I25))</f>
        <v>B</v>
      </c>
      <c r="H25" s="88" t="str">
        <f aca="false">IF(ISNUMBER('Timeline Estacas'!H25),'Timeline Estacas'!H25,"")</f>
        <v/>
      </c>
      <c r="I25" s="88" t="str">
        <f aca="false">IF($H25="","",'Timeline Estacas'!I25)</f>
        <v/>
      </c>
      <c r="J25" s="86" t="n">
        <f aca="false">IF(ISNUMBER('Timeline Estacas'!J25),'Timeline Estacas'!J25,"")</f>
        <v>46260</v>
      </c>
      <c r="K25" s="88" t="str">
        <f aca="false">IF('Timeline Estacas'!K25="","",'Timeline Estacas'!K25)</f>
        <v/>
      </c>
      <c r="L25" s="88" t="str">
        <f aca="false">IF('Timeline Estacas'!L25="","",'Timeline Estacas'!L25)</f>
        <v/>
      </c>
      <c r="M25" s="88" t="str">
        <f aca="false">IF('Timeline Estacas'!M25="","",'Timeline Estacas'!M25)</f>
        <v/>
      </c>
      <c r="N25" s="89" t="str">
        <f aca="false">IF('Timeline Estacas'!N25="","",'Timeline Estacas'!N25)</f>
        <v/>
      </c>
      <c r="O25" s="90" t="str">
        <f aca="false">IF(ISNUMBER('Timeline Estacas'!O25),'Timeline Estacas'!O25,"")</f>
        <v/>
      </c>
      <c r="P25" s="91" t="n">
        <f aca="false">IF($Q25&gt;0,1,0)</f>
        <v>1</v>
      </c>
      <c r="Q25" s="91" t="n">
        <f aca="false">IF($F25="",0,1)+IF($H25="",0,1)</f>
        <v>1</v>
      </c>
      <c r="R25" s="91" t="n">
        <f aca="false">IF($N25="",0,1)</f>
        <v>0</v>
      </c>
      <c r="S25" s="91" t="n">
        <f aca="false">IF($F25="",0,1)</f>
        <v>1</v>
      </c>
      <c r="T25" s="91" t="n">
        <f aca="false">IF($H25="",0,1)</f>
        <v>0</v>
      </c>
      <c r="U25" s="91" t="n">
        <f aca="false">IF($J25="",0,1)</f>
        <v>1</v>
      </c>
      <c r="V25" s="91" t="n">
        <f aca="true">IF($J25="",0,IF($J25&lt;=TODAY(),1,0))</f>
        <v>1</v>
      </c>
      <c r="W25" s="92" t="n">
        <f aca="false">IF($O25="",0,$O25)</f>
        <v>0</v>
      </c>
      <c r="X25" s="91" t="str">
        <f aca="false">IF($R25=1,SUM($R$2:$R25),"")</f>
        <v/>
      </c>
      <c r="Y25" s="91" t="n">
        <f aca="false">IF($F25="",0,IF(COUNTIF($F$2:$F25,$F25)+COUNTIF($H$2:$H25,$F25)&gt;1,1,0))+IF($H25="",0,IF(COUNTIF($F$2:$F25,$H25)+COUNTIF($H$2:$H25,$H25)&gt;1,1,0))</f>
        <v>0</v>
      </c>
      <c r="Z25" s="91" t="n">
        <f aca="false">IF($Q25=0,0,IF(COUNTIFS($A$2:$A25,$A25,$Q$2:$Q25,"&gt;0")=1,1,0))</f>
        <v>1</v>
      </c>
      <c r="AA25" s="93" t="n">
        <f aca="false">IF($Q25&gt;0,$A25,"")</f>
        <v>46246</v>
      </c>
      <c r="AB25" s="91" t="n">
        <f aca="false">IF($K25="",0,1)</f>
        <v>0</v>
      </c>
      <c r="AC25" s="91" t="n">
        <f aca="false">IF($L25="",0,1)</f>
        <v>0</v>
      </c>
      <c r="AD25" s="91" t="n">
        <f aca="false">IF($M25="",0,1)</f>
        <v>0</v>
      </c>
      <c r="AE25" s="91" t="n">
        <f aca="false">IF($Q25&gt;0,$D25,"")</f>
        <v>41</v>
      </c>
      <c r="AF25" s="1"/>
      <c r="AG25" s="1"/>
      <c r="AH25" s="1"/>
      <c r="AI25" s="1"/>
      <c r="AJ25" s="1"/>
      <c r="AK25" s="1"/>
      <c r="AL25" s="1"/>
      <c r="AM25" s="1"/>
      <c r="AN25" s="1"/>
    </row>
    <row r="26" customFormat="false" ht="18" hidden="false" customHeight="true" outlineLevel="0" collapsed="false">
      <c r="A26" s="86" t="n">
        <f aca="false">IF(ISNUMBER('Timeline Estacas'!A26),'Timeline Estacas'!A26,"")</f>
        <v>46246</v>
      </c>
      <c r="B26" s="87" t="n">
        <f aca="false">IF($A26="","",$A26)</f>
        <v>46246</v>
      </c>
      <c r="C26" s="88" t="n">
        <f aca="false">IF(ISNUMBER('Timeline Estacas'!C26),'Timeline Estacas'!C26,"")</f>
        <v>285</v>
      </c>
      <c r="D26" s="88" t="n">
        <f aca="false">IF(ISNUMBER('Timeline Estacas'!D26),'Timeline Estacas'!D26,"")</f>
        <v>41</v>
      </c>
      <c r="E26" s="88" t="str">
        <f aca="false">IF($D26="","","S-"&amp;TEXT($D26,"00"))</f>
        <v>S-41</v>
      </c>
      <c r="F26" s="88" t="n">
        <f aca="false">IF(ISNUMBER('Timeline Estacas'!F26),'Timeline Estacas'!F26,"")</f>
        <v>15</v>
      </c>
      <c r="G26" s="88" t="str">
        <f aca="false">IF($F26="","",IF('Timeline Estacas'!G26&lt;&gt;"",'Timeline Estacas'!G26,'Timeline Estacas'!I26))</f>
        <v>B</v>
      </c>
      <c r="H26" s="88" t="str">
        <f aca="false">IF(ISNUMBER('Timeline Estacas'!H26),'Timeline Estacas'!H26,"")</f>
        <v/>
      </c>
      <c r="I26" s="88" t="str">
        <f aca="false">IF($H26="","",'Timeline Estacas'!I26)</f>
        <v/>
      </c>
      <c r="J26" s="86" t="n">
        <f aca="false">IF(ISNUMBER('Timeline Estacas'!J26),'Timeline Estacas'!J26,"")</f>
        <v>46260</v>
      </c>
      <c r="K26" s="88" t="str">
        <f aca="false">IF('Timeline Estacas'!K26="","",'Timeline Estacas'!K26)</f>
        <v/>
      </c>
      <c r="L26" s="88" t="str">
        <f aca="false">IF('Timeline Estacas'!L26="","",'Timeline Estacas'!L26)</f>
        <v/>
      </c>
      <c r="M26" s="88" t="str">
        <f aca="false">IF('Timeline Estacas'!M26="","",'Timeline Estacas'!M26)</f>
        <v/>
      </c>
      <c r="N26" s="89" t="str">
        <f aca="false">IF('Timeline Estacas'!N26="","",'Timeline Estacas'!N26)</f>
        <v/>
      </c>
      <c r="O26" s="90" t="str">
        <f aca="false">IF(ISNUMBER('Timeline Estacas'!O26),'Timeline Estacas'!O26,"")</f>
        <v/>
      </c>
      <c r="P26" s="91" t="n">
        <f aca="false">IF($Q26&gt;0,1,0)</f>
        <v>1</v>
      </c>
      <c r="Q26" s="91" t="n">
        <f aca="false">IF($F26="",0,1)+IF($H26="",0,1)</f>
        <v>1</v>
      </c>
      <c r="R26" s="91" t="n">
        <f aca="false">IF($N26="",0,1)</f>
        <v>0</v>
      </c>
      <c r="S26" s="91" t="n">
        <f aca="false">IF($F26="",0,1)</f>
        <v>1</v>
      </c>
      <c r="T26" s="91" t="n">
        <f aca="false">IF($H26="",0,1)</f>
        <v>0</v>
      </c>
      <c r="U26" s="91" t="n">
        <f aca="false">IF($J26="",0,1)</f>
        <v>1</v>
      </c>
      <c r="V26" s="91" t="n">
        <f aca="true">IF($J26="",0,IF($J26&lt;=TODAY(),1,0))</f>
        <v>1</v>
      </c>
      <c r="W26" s="92" t="n">
        <f aca="false">IF($O26="",0,$O26)</f>
        <v>0</v>
      </c>
      <c r="X26" s="91" t="str">
        <f aca="false">IF($R26=1,SUM($R$2:$R26),"")</f>
        <v/>
      </c>
      <c r="Y26" s="91" t="n">
        <f aca="false">IF($F26="",0,IF(COUNTIF($F$2:$F26,$F26)+COUNTIF($H$2:$H26,$F26)&gt;1,1,0))+IF($H26="",0,IF(COUNTIF($F$2:$F26,$H26)+COUNTIF($H$2:$H26,$H26)&gt;1,1,0))</f>
        <v>0</v>
      </c>
      <c r="Z26" s="91" t="n">
        <f aca="false">IF($Q26=0,0,IF(COUNTIFS($A$2:$A26,$A26,$Q$2:$Q26,"&gt;0")=1,1,0))</f>
        <v>0</v>
      </c>
      <c r="AA26" s="93" t="n">
        <f aca="false">IF($Q26&gt;0,$A26,"")</f>
        <v>46246</v>
      </c>
      <c r="AB26" s="91" t="n">
        <f aca="false">IF($K26="",0,1)</f>
        <v>0</v>
      </c>
      <c r="AC26" s="91" t="n">
        <f aca="false">IF($L26="",0,1)</f>
        <v>0</v>
      </c>
      <c r="AD26" s="91" t="n">
        <f aca="false">IF($M26="",0,1)</f>
        <v>0</v>
      </c>
      <c r="AE26" s="91" t="n">
        <f aca="false">IF($Q26&gt;0,$D26,"")</f>
        <v>41</v>
      </c>
      <c r="AF26" s="1"/>
      <c r="AG26" s="1"/>
      <c r="AH26" s="1"/>
      <c r="AI26" s="1"/>
      <c r="AJ26" s="1"/>
      <c r="AK26" s="1"/>
      <c r="AL26" s="1"/>
      <c r="AM26" s="1"/>
      <c r="AN26" s="1"/>
    </row>
    <row r="27" customFormat="false" ht="18" hidden="false" customHeight="true" outlineLevel="0" collapsed="false">
      <c r="A27" s="86" t="n">
        <f aca="false">IF(ISNUMBER('Timeline Estacas'!A27),'Timeline Estacas'!A27,"")</f>
        <v>46246</v>
      </c>
      <c r="B27" s="87" t="n">
        <f aca="false">IF($A27="","",$A27)</f>
        <v>46246</v>
      </c>
      <c r="C27" s="88" t="n">
        <f aca="false">IF(ISNUMBER('Timeline Estacas'!C27),'Timeline Estacas'!C27,"")</f>
        <v>285</v>
      </c>
      <c r="D27" s="88" t="n">
        <f aca="false">IF(ISNUMBER('Timeline Estacas'!D27),'Timeline Estacas'!D27,"")</f>
        <v>41</v>
      </c>
      <c r="E27" s="88" t="str">
        <f aca="false">IF($D27="","","S-"&amp;TEXT($D27,"00"))</f>
        <v>S-41</v>
      </c>
      <c r="F27" s="88" t="n">
        <f aca="false">IF(ISNUMBER('Timeline Estacas'!F27),'Timeline Estacas'!F27,"")</f>
        <v>18</v>
      </c>
      <c r="G27" s="88" t="str">
        <f aca="false">IF($F27="","",IF('Timeline Estacas'!G27&lt;&gt;"",'Timeline Estacas'!G27,'Timeline Estacas'!I27))</f>
        <v>B</v>
      </c>
      <c r="H27" s="88" t="str">
        <f aca="false">IF(ISNUMBER('Timeline Estacas'!H27),'Timeline Estacas'!H27,"")</f>
        <v/>
      </c>
      <c r="I27" s="88" t="str">
        <f aca="false">IF($H27="","",'Timeline Estacas'!I27)</f>
        <v/>
      </c>
      <c r="J27" s="86" t="n">
        <f aca="false">IF(ISNUMBER('Timeline Estacas'!J27),'Timeline Estacas'!J27,"")</f>
        <v>46260</v>
      </c>
      <c r="K27" s="88" t="str">
        <f aca="false">IF('Timeline Estacas'!K27="","",'Timeline Estacas'!K27)</f>
        <v/>
      </c>
      <c r="L27" s="88" t="str">
        <f aca="false">IF('Timeline Estacas'!L27="","",'Timeline Estacas'!L27)</f>
        <v/>
      </c>
      <c r="M27" s="88" t="str">
        <f aca="false">IF('Timeline Estacas'!M27="","",'Timeline Estacas'!M27)</f>
        <v/>
      </c>
      <c r="N27" s="89" t="str">
        <f aca="false">IF('Timeline Estacas'!N27="","",'Timeline Estacas'!N27)</f>
        <v/>
      </c>
      <c r="O27" s="90" t="str">
        <f aca="false">IF(ISNUMBER('Timeline Estacas'!O27),'Timeline Estacas'!O27,"")</f>
        <v/>
      </c>
      <c r="P27" s="91" t="n">
        <f aca="false">IF($Q27&gt;0,1,0)</f>
        <v>1</v>
      </c>
      <c r="Q27" s="91" t="n">
        <f aca="false">IF($F27="",0,1)+IF($H27="",0,1)</f>
        <v>1</v>
      </c>
      <c r="R27" s="91" t="n">
        <f aca="false">IF($N27="",0,1)</f>
        <v>0</v>
      </c>
      <c r="S27" s="91" t="n">
        <f aca="false">IF($F27="",0,1)</f>
        <v>1</v>
      </c>
      <c r="T27" s="91" t="n">
        <f aca="false">IF($H27="",0,1)</f>
        <v>0</v>
      </c>
      <c r="U27" s="91" t="n">
        <f aca="false">IF($J27="",0,1)</f>
        <v>1</v>
      </c>
      <c r="V27" s="91" t="n">
        <f aca="true">IF($J27="",0,IF($J27&lt;=TODAY(),1,0))</f>
        <v>1</v>
      </c>
      <c r="W27" s="92" t="n">
        <f aca="false">IF($O27="",0,$O27)</f>
        <v>0</v>
      </c>
      <c r="X27" s="91" t="str">
        <f aca="false">IF($R27=1,SUM($R$2:$R27),"")</f>
        <v/>
      </c>
      <c r="Y27" s="91" t="n">
        <f aca="false">IF($F27="",0,IF(COUNTIF($F$2:$F27,$F27)+COUNTIF($H$2:$H27,$F27)&gt;1,1,0))+IF($H27="",0,IF(COUNTIF($F$2:$F27,$H27)+COUNTIF($H$2:$H27,$H27)&gt;1,1,0))</f>
        <v>0</v>
      </c>
      <c r="Z27" s="91" t="n">
        <f aca="false">IF($Q27=0,0,IF(COUNTIFS($A$2:$A27,$A27,$Q$2:$Q27,"&gt;0")=1,1,0))</f>
        <v>0</v>
      </c>
      <c r="AA27" s="93" t="n">
        <f aca="false">IF($Q27&gt;0,$A27,"")</f>
        <v>46246</v>
      </c>
      <c r="AB27" s="91" t="n">
        <f aca="false">IF($K27="",0,1)</f>
        <v>0</v>
      </c>
      <c r="AC27" s="91" t="n">
        <f aca="false">IF($L27="",0,1)</f>
        <v>0</v>
      </c>
      <c r="AD27" s="91" t="n">
        <f aca="false">IF($M27="",0,1)</f>
        <v>0</v>
      </c>
      <c r="AE27" s="91" t="n">
        <f aca="false">IF($Q27&gt;0,$D27,"")</f>
        <v>41</v>
      </c>
      <c r="AF27" s="1"/>
      <c r="AG27" s="1"/>
      <c r="AH27" s="1"/>
      <c r="AI27" s="1"/>
      <c r="AJ27" s="1"/>
      <c r="AK27" s="1"/>
      <c r="AL27" s="1"/>
      <c r="AM27" s="1"/>
      <c r="AN27" s="1"/>
    </row>
    <row r="28" customFormat="false" ht="18" hidden="false" customHeight="true" outlineLevel="0" collapsed="false">
      <c r="A28" s="86" t="n">
        <f aca="false">IF(ISNUMBER('Timeline Estacas'!A28),'Timeline Estacas'!A28,"")</f>
        <v>46246</v>
      </c>
      <c r="B28" s="87" t="n">
        <f aca="false">IF($A28="","",$A28)</f>
        <v>46246</v>
      </c>
      <c r="C28" s="88" t="n">
        <f aca="false">IF(ISNUMBER('Timeline Estacas'!C28),'Timeline Estacas'!C28,"")</f>
        <v>285</v>
      </c>
      <c r="D28" s="88" t="n">
        <f aca="false">IF(ISNUMBER('Timeline Estacas'!D28),'Timeline Estacas'!D28,"")</f>
        <v>41</v>
      </c>
      <c r="E28" s="88" t="str">
        <f aca="false">IF($D28="","","S-"&amp;TEXT($D28,"00"))</f>
        <v>S-41</v>
      </c>
      <c r="F28" s="88" t="n">
        <f aca="false">IF(ISNUMBER('Timeline Estacas'!F28),'Timeline Estacas'!F28,"")</f>
        <v>19</v>
      </c>
      <c r="G28" s="88" t="str">
        <f aca="false">IF($F28="","",IF('Timeline Estacas'!G28&lt;&gt;"",'Timeline Estacas'!G28,'Timeline Estacas'!I28))</f>
        <v>B</v>
      </c>
      <c r="H28" s="88" t="str">
        <f aca="false">IF(ISNUMBER('Timeline Estacas'!H28),'Timeline Estacas'!H28,"")</f>
        <v/>
      </c>
      <c r="I28" s="88" t="str">
        <f aca="false">IF($H28="","",'Timeline Estacas'!I28)</f>
        <v/>
      </c>
      <c r="J28" s="86" t="n">
        <f aca="false">IF(ISNUMBER('Timeline Estacas'!J28),'Timeline Estacas'!J28,"")</f>
        <v>46260</v>
      </c>
      <c r="K28" s="88" t="str">
        <f aca="false">IF('Timeline Estacas'!K28="","",'Timeline Estacas'!K28)</f>
        <v/>
      </c>
      <c r="L28" s="88" t="str">
        <f aca="false">IF('Timeline Estacas'!L28="","",'Timeline Estacas'!L28)</f>
        <v/>
      </c>
      <c r="M28" s="88" t="str">
        <f aca="false">IF('Timeline Estacas'!M28="","",'Timeline Estacas'!M28)</f>
        <v/>
      </c>
      <c r="N28" s="89" t="str">
        <f aca="false">IF('Timeline Estacas'!N28="","",'Timeline Estacas'!N28)</f>
        <v/>
      </c>
      <c r="O28" s="90" t="str">
        <f aca="false">IF(ISNUMBER('Timeline Estacas'!O28),'Timeline Estacas'!O28,"")</f>
        <v/>
      </c>
      <c r="P28" s="91" t="n">
        <f aca="false">IF($Q28&gt;0,1,0)</f>
        <v>1</v>
      </c>
      <c r="Q28" s="91" t="n">
        <f aca="false">IF($F28="",0,1)+IF($H28="",0,1)</f>
        <v>1</v>
      </c>
      <c r="R28" s="91" t="n">
        <f aca="false">IF($N28="",0,1)</f>
        <v>0</v>
      </c>
      <c r="S28" s="91" t="n">
        <f aca="false">IF($F28="",0,1)</f>
        <v>1</v>
      </c>
      <c r="T28" s="91" t="n">
        <f aca="false">IF($H28="",0,1)</f>
        <v>0</v>
      </c>
      <c r="U28" s="91" t="n">
        <f aca="false">IF($J28="",0,1)</f>
        <v>1</v>
      </c>
      <c r="V28" s="91" t="n">
        <f aca="true">IF($J28="",0,IF($J28&lt;=TODAY(),1,0))</f>
        <v>1</v>
      </c>
      <c r="W28" s="92" t="n">
        <f aca="false">IF($O28="",0,$O28)</f>
        <v>0</v>
      </c>
      <c r="X28" s="91" t="str">
        <f aca="false">IF($R28=1,SUM($R$2:$R28),"")</f>
        <v/>
      </c>
      <c r="Y28" s="91" t="n">
        <f aca="false">IF($F28="",0,IF(COUNTIF($F$2:$F28,$F28)+COUNTIF($H$2:$H28,$F28)&gt;1,1,0))+IF($H28="",0,IF(COUNTIF($F$2:$F28,$H28)+COUNTIF($H$2:$H28,$H28)&gt;1,1,0))</f>
        <v>0</v>
      </c>
      <c r="Z28" s="91" t="n">
        <f aca="false">IF($Q28=0,0,IF(COUNTIFS($A$2:$A28,$A28,$Q$2:$Q28,"&gt;0")=1,1,0))</f>
        <v>0</v>
      </c>
      <c r="AA28" s="93" t="n">
        <f aca="false">IF($Q28&gt;0,$A28,"")</f>
        <v>46246</v>
      </c>
      <c r="AB28" s="91" t="n">
        <f aca="false">IF($K28="",0,1)</f>
        <v>0</v>
      </c>
      <c r="AC28" s="91" t="n">
        <f aca="false">IF($L28="",0,1)</f>
        <v>0</v>
      </c>
      <c r="AD28" s="91" t="n">
        <f aca="false">IF($M28="",0,1)</f>
        <v>0</v>
      </c>
      <c r="AE28" s="91" t="n">
        <f aca="false">IF($Q28&gt;0,$D28,"")</f>
        <v>41</v>
      </c>
      <c r="AF28" s="1"/>
      <c r="AG28" s="1"/>
      <c r="AH28" s="1"/>
      <c r="AI28" s="1"/>
      <c r="AJ28" s="1"/>
      <c r="AK28" s="1"/>
      <c r="AL28" s="1"/>
      <c r="AM28" s="1"/>
      <c r="AN28" s="1"/>
    </row>
    <row r="29" customFormat="false" ht="18" hidden="false" customHeight="true" outlineLevel="0" collapsed="false">
      <c r="A29" s="86" t="n">
        <f aca="false">IF(ISNUMBER('Timeline Estacas'!A29),'Timeline Estacas'!A29,"")</f>
        <v>46246</v>
      </c>
      <c r="B29" s="87" t="n">
        <f aca="false">IF($A29="","",$A29)</f>
        <v>46246</v>
      </c>
      <c r="C29" s="88" t="n">
        <f aca="false">IF(ISNUMBER('Timeline Estacas'!C29),'Timeline Estacas'!C29,"")</f>
        <v>285</v>
      </c>
      <c r="D29" s="88" t="n">
        <f aca="false">IF(ISNUMBER('Timeline Estacas'!D29),'Timeline Estacas'!D29,"")</f>
        <v>41</v>
      </c>
      <c r="E29" s="88" t="str">
        <f aca="false">IF($D29="","","S-"&amp;TEXT($D29,"00"))</f>
        <v>S-41</v>
      </c>
      <c r="F29" s="88" t="n">
        <f aca="false">IF(ISNUMBER('Timeline Estacas'!F29),'Timeline Estacas'!F29,"")</f>
        <v>22</v>
      </c>
      <c r="G29" s="88" t="str">
        <f aca="false">IF($F29="","",IF('Timeline Estacas'!G29&lt;&gt;"",'Timeline Estacas'!G29,'Timeline Estacas'!I29))</f>
        <v>B</v>
      </c>
      <c r="H29" s="88" t="str">
        <f aca="false">IF(ISNUMBER('Timeline Estacas'!H29),'Timeline Estacas'!H29,"")</f>
        <v/>
      </c>
      <c r="I29" s="88" t="str">
        <f aca="false">IF($H29="","",'Timeline Estacas'!I29)</f>
        <v/>
      </c>
      <c r="J29" s="86" t="n">
        <f aca="false">IF(ISNUMBER('Timeline Estacas'!J29),'Timeline Estacas'!J29,"")</f>
        <v>46260</v>
      </c>
      <c r="K29" s="88" t="str">
        <f aca="false">IF('Timeline Estacas'!K29="","",'Timeline Estacas'!K29)</f>
        <v/>
      </c>
      <c r="L29" s="88" t="str">
        <f aca="false">IF('Timeline Estacas'!L29="","",'Timeline Estacas'!L29)</f>
        <v/>
      </c>
      <c r="M29" s="88" t="str">
        <f aca="false">IF('Timeline Estacas'!M29="","",'Timeline Estacas'!M29)</f>
        <v/>
      </c>
      <c r="N29" s="89" t="str">
        <f aca="false">IF('Timeline Estacas'!N29="","",'Timeline Estacas'!N29)</f>
        <v/>
      </c>
      <c r="O29" s="90" t="str">
        <f aca="false">IF(ISNUMBER('Timeline Estacas'!O29),'Timeline Estacas'!O29,"")</f>
        <v/>
      </c>
      <c r="P29" s="91" t="n">
        <f aca="false">IF($Q29&gt;0,1,0)</f>
        <v>1</v>
      </c>
      <c r="Q29" s="91" t="n">
        <f aca="false">IF($F29="",0,1)+IF($H29="",0,1)</f>
        <v>1</v>
      </c>
      <c r="R29" s="91" t="n">
        <f aca="false">IF($N29="",0,1)</f>
        <v>0</v>
      </c>
      <c r="S29" s="91" t="n">
        <f aca="false">IF($F29="",0,1)</f>
        <v>1</v>
      </c>
      <c r="T29" s="91" t="n">
        <f aca="false">IF($H29="",0,1)</f>
        <v>0</v>
      </c>
      <c r="U29" s="91" t="n">
        <f aca="false">IF($J29="",0,1)</f>
        <v>1</v>
      </c>
      <c r="V29" s="91" t="n">
        <f aca="true">IF($J29="",0,IF($J29&lt;=TODAY(),1,0))</f>
        <v>1</v>
      </c>
      <c r="W29" s="92" t="n">
        <f aca="false">IF($O29="",0,$O29)</f>
        <v>0</v>
      </c>
      <c r="X29" s="91" t="str">
        <f aca="false">IF($R29=1,SUM($R$2:$R29),"")</f>
        <v/>
      </c>
      <c r="Y29" s="91" t="n">
        <f aca="false">IF($F29="",0,IF(COUNTIF($F$2:$F29,$F29)+COUNTIF($H$2:$H29,$F29)&gt;1,1,0))+IF($H29="",0,IF(COUNTIF($F$2:$F29,$H29)+COUNTIF($H$2:$H29,$H29)&gt;1,1,0))</f>
        <v>0</v>
      </c>
      <c r="Z29" s="91" t="n">
        <f aca="false">IF($Q29=0,0,IF(COUNTIFS($A$2:$A29,$A29,$Q$2:$Q29,"&gt;0")=1,1,0))</f>
        <v>0</v>
      </c>
      <c r="AA29" s="93" t="n">
        <f aca="false">IF($Q29&gt;0,$A29,"")</f>
        <v>46246</v>
      </c>
      <c r="AB29" s="91" t="n">
        <f aca="false">IF($K29="",0,1)</f>
        <v>0</v>
      </c>
      <c r="AC29" s="91" t="n">
        <f aca="false">IF($L29="",0,1)</f>
        <v>0</v>
      </c>
      <c r="AD29" s="91" t="n">
        <f aca="false">IF($M29="",0,1)</f>
        <v>0</v>
      </c>
      <c r="AE29" s="91" t="n">
        <f aca="false">IF($Q29&gt;0,$D29,"")</f>
        <v>41</v>
      </c>
      <c r="AF29" s="1"/>
      <c r="AG29" s="1"/>
      <c r="AH29" s="1"/>
      <c r="AI29" s="1"/>
      <c r="AJ29" s="1"/>
      <c r="AK29" s="1"/>
      <c r="AL29" s="1"/>
      <c r="AM29" s="1"/>
      <c r="AN29" s="1"/>
    </row>
    <row r="30" customFormat="false" ht="18" hidden="false" customHeight="true" outlineLevel="0" collapsed="false">
      <c r="A30" s="86" t="n">
        <f aca="false">IF(ISNUMBER('Timeline Estacas'!A30),'Timeline Estacas'!A30,"")</f>
        <v>46246</v>
      </c>
      <c r="B30" s="87" t="n">
        <f aca="false">IF($A30="","",$A30)</f>
        <v>46246</v>
      </c>
      <c r="C30" s="88" t="n">
        <f aca="false">IF(ISNUMBER('Timeline Estacas'!C30),'Timeline Estacas'!C30,"")</f>
        <v>285</v>
      </c>
      <c r="D30" s="88" t="n">
        <f aca="false">IF(ISNUMBER('Timeline Estacas'!D30),'Timeline Estacas'!D30,"")</f>
        <v>41</v>
      </c>
      <c r="E30" s="88" t="str">
        <f aca="false">IF($D30="","","S-"&amp;TEXT($D30,"00"))</f>
        <v>S-41</v>
      </c>
      <c r="F30" s="88" t="n">
        <f aca="false">IF(ISNUMBER('Timeline Estacas'!F30),'Timeline Estacas'!F30,"")</f>
        <v>23</v>
      </c>
      <c r="G30" s="88" t="str">
        <f aca="false">IF($F30="","",IF('Timeline Estacas'!G30&lt;&gt;"",'Timeline Estacas'!G30,'Timeline Estacas'!I30))</f>
        <v>B</v>
      </c>
      <c r="H30" s="88" t="str">
        <f aca="false">IF(ISNUMBER('Timeline Estacas'!H30),'Timeline Estacas'!H30,"")</f>
        <v/>
      </c>
      <c r="I30" s="88" t="str">
        <f aca="false">IF($H30="","",'Timeline Estacas'!I30)</f>
        <v/>
      </c>
      <c r="J30" s="86" t="n">
        <f aca="false">IF(ISNUMBER('Timeline Estacas'!J30),'Timeline Estacas'!J30,"")</f>
        <v>46260</v>
      </c>
      <c r="K30" s="88" t="str">
        <f aca="false">IF('Timeline Estacas'!K30="","",'Timeline Estacas'!K30)</f>
        <v/>
      </c>
      <c r="L30" s="88" t="str">
        <f aca="false">IF('Timeline Estacas'!L30="","",'Timeline Estacas'!L30)</f>
        <v/>
      </c>
      <c r="M30" s="88" t="str">
        <f aca="false">IF('Timeline Estacas'!M30="","",'Timeline Estacas'!M30)</f>
        <v/>
      </c>
      <c r="N30" s="89" t="str">
        <f aca="false">IF('Timeline Estacas'!N30="","",'Timeline Estacas'!N30)</f>
        <v/>
      </c>
      <c r="O30" s="90" t="str">
        <f aca="false">IF(ISNUMBER('Timeline Estacas'!O30),'Timeline Estacas'!O30,"")</f>
        <v/>
      </c>
      <c r="P30" s="91" t="n">
        <f aca="false">IF($Q30&gt;0,1,0)</f>
        <v>1</v>
      </c>
      <c r="Q30" s="91" t="n">
        <f aca="false">IF($F30="",0,1)+IF($H30="",0,1)</f>
        <v>1</v>
      </c>
      <c r="R30" s="91" t="n">
        <f aca="false">IF($N30="",0,1)</f>
        <v>0</v>
      </c>
      <c r="S30" s="91" t="n">
        <f aca="false">IF($F30="",0,1)</f>
        <v>1</v>
      </c>
      <c r="T30" s="91" t="n">
        <f aca="false">IF($H30="",0,1)</f>
        <v>0</v>
      </c>
      <c r="U30" s="91" t="n">
        <f aca="false">IF($J30="",0,1)</f>
        <v>1</v>
      </c>
      <c r="V30" s="91" t="n">
        <f aca="true">IF($J30="",0,IF($J30&lt;=TODAY(),1,0))</f>
        <v>1</v>
      </c>
      <c r="W30" s="92" t="n">
        <f aca="false">IF($O30="",0,$O30)</f>
        <v>0</v>
      </c>
      <c r="X30" s="91" t="str">
        <f aca="false">IF($R30=1,SUM($R$2:$R30),"")</f>
        <v/>
      </c>
      <c r="Y30" s="91" t="n">
        <f aca="false">IF($F30="",0,IF(COUNTIF($F$2:$F30,$F30)+COUNTIF($H$2:$H30,$F30)&gt;1,1,0))+IF($H30="",0,IF(COUNTIF($F$2:$F30,$H30)+COUNTIF($H$2:$H30,$H30)&gt;1,1,0))</f>
        <v>0</v>
      </c>
      <c r="Z30" s="91" t="n">
        <f aca="false">IF($Q30=0,0,IF(COUNTIFS($A$2:$A30,$A30,$Q$2:$Q30,"&gt;0")=1,1,0))</f>
        <v>0</v>
      </c>
      <c r="AA30" s="93" t="n">
        <f aca="false">IF($Q30&gt;0,$A30,"")</f>
        <v>46246</v>
      </c>
      <c r="AB30" s="91" t="n">
        <f aca="false">IF($K30="",0,1)</f>
        <v>0</v>
      </c>
      <c r="AC30" s="91" t="n">
        <f aca="false">IF($L30="",0,1)</f>
        <v>0</v>
      </c>
      <c r="AD30" s="91" t="n">
        <f aca="false">IF($M30="",0,1)</f>
        <v>0</v>
      </c>
      <c r="AE30" s="91" t="n">
        <f aca="false">IF($Q30&gt;0,$D30,"")</f>
        <v>41</v>
      </c>
      <c r="AF30" s="1"/>
      <c r="AG30" s="1"/>
      <c r="AH30" s="1"/>
      <c r="AI30" s="1"/>
      <c r="AJ30" s="1"/>
      <c r="AK30" s="1"/>
      <c r="AL30" s="1"/>
      <c r="AM30" s="1"/>
      <c r="AN30" s="1"/>
    </row>
    <row r="31" customFormat="false" ht="18" hidden="false" customHeight="true" outlineLevel="0" collapsed="false">
      <c r="A31" s="86" t="n">
        <f aca="false">IF(ISNUMBER('Timeline Estacas'!A31),'Timeline Estacas'!A31,"")</f>
        <v>46246</v>
      </c>
      <c r="B31" s="87" t="n">
        <f aca="false">IF($A31="","",$A31)</f>
        <v>46246</v>
      </c>
      <c r="C31" s="88" t="n">
        <f aca="false">IF(ISNUMBER('Timeline Estacas'!C31),'Timeline Estacas'!C31,"")</f>
        <v>285</v>
      </c>
      <c r="D31" s="88" t="n">
        <f aca="false">IF(ISNUMBER('Timeline Estacas'!D31),'Timeline Estacas'!D31,"")</f>
        <v>41</v>
      </c>
      <c r="E31" s="88" t="str">
        <f aca="false">IF($D31="","","S-"&amp;TEXT($D31,"00"))</f>
        <v>S-41</v>
      </c>
      <c r="F31" s="88" t="n">
        <f aca="false">IF(ISNUMBER('Timeline Estacas'!F31),'Timeline Estacas'!F31,"")</f>
        <v>26</v>
      </c>
      <c r="G31" s="88" t="str">
        <f aca="false">IF($F31="","",IF('Timeline Estacas'!G31&lt;&gt;"",'Timeline Estacas'!G31,'Timeline Estacas'!I31))</f>
        <v>B</v>
      </c>
      <c r="H31" s="88" t="str">
        <f aca="false">IF(ISNUMBER('Timeline Estacas'!H31),'Timeline Estacas'!H31,"")</f>
        <v/>
      </c>
      <c r="I31" s="88" t="str">
        <f aca="false">IF($H31="","",'Timeline Estacas'!I31)</f>
        <v/>
      </c>
      <c r="J31" s="86" t="n">
        <f aca="false">IF(ISNUMBER('Timeline Estacas'!J31),'Timeline Estacas'!J31,"")</f>
        <v>46260</v>
      </c>
      <c r="K31" s="88" t="str">
        <f aca="false">IF('Timeline Estacas'!K31="","",'Timeline Estacas'!K31)</f>
        <v/>
      </c>
      <c r="L31" s="88" t="str">
        <f aca="false">IF('Timeline Estacas'!L31="","",'Timeline Estacas'!L31)</f>
        <v/>
      </c>
      <c r="M31" s="88" t="str">
        <f aca="false">IF('Timeline Estacas'!M31="","",'Timeline Estacas'!M31)</f>
        <v/>
      </c>
      <c r="N31" s="89" t="str">
        <f aca="false">IF('Timeline Estacas'!N31="","",'Timeline Estacas'!N31)</f>
        <v/>
      </c>
      <c r="O31" s="90" t="str">
        <f aca="false">IF(ISNUMBER('Timeline Estacas'!O31),'Timeline Estacas'!O31,"")</f>
        <v/>
      </c>
      <c r="P31" s="91" t="n">
        <f aca="false">IF($Q31&gt;0,1,0)</f>
        <v>1</v>
      </c>
      <c r="Q31" s="91" t="n">
        <f aca="false">IF($F31="",0,1)+IF($H31="",0,1)</f>
        <v>1</v>
      </c>
      <c r="R31" s="91" t="n">
        <f aca="false">IF($N31="",0,1)</f>
        <v>0</v>
      </c>
      <c r="S31" s="91" t="n">
        <f aca="false">IF($F31="",0,1)</f>
        <v>1</v>
      </c>
      <c r="T31" s="91" t="n">
        <f aca="false">IF($H31="",0,1)</f>
        <v>0</v>
      </c>
      <c r="U31" s="91" t="n">
        <f aca="false">IF($J31="",0,1)</f>
        <v>1</v>
      </c>
      <c r="V31" s="91" t="n">
        <f aca="true">IF($J31="",0,IF($J31&lt;=TODAY(),1,0))</f>
        <v>1</v>
      </c>
      <c r="W31" s="92" t="n">
        <f aca="false">IF($O31="",0,$O31)</f>
        <v>0</v>
      </c>
      <c r="X31" s="91" t="str">
        <f aca="false">IF($R31=1,SUM($R$2:$R31),"")</f>
        <v/>
      </c>
      <c r="Y31" s="91" t="n">
        <f aca="false">IF($F31="",0,IF(COUNTIF($F$2:$F31,$F31)+COUNTIF($H$2:$H31,$F31)&gt;1,1,0))+IF($H31="",0,IF(COUNTIF($F$2:$F31,$H31)+COUNTIF($H$2:$H31,$H31)&gt;1,1,0))</f>
        <v>0</v>
      </c>
      <c r="Z31" s="91" t="n">
        <f aca="false">IF($Q31=0,0,IF(COUNTIFS($A$2:$A31,$A31,$Q$2:$Q31,"&gt;0")=1,1,0))</f>
        <v>0</v>
      </c>
      <c r="AA31" s="93" t="n">
        <f aca="false">IF($Q31&gt;0,$A31,"")</f>
        <v>46246</v>
      </c>
      <c r="AB31" s="91" t="n">
        <f aca="false">IF($K31="",0,1)</f>
        <v>0</v>
      </c>
      <c r="AC31" s="91" t="n">
        <f aca="false">IF($L31="",0,1)</f>
        <v>0</v>
      </c>
      <c r="AD31" s="91" t="n">
        <f aca="false">IF($M31="",0,1)</f>
        <v>0</v>
      </c>
      <c r="AE31" s="91" t="n">
        <f aca="false">IF($Q31&gt;0,$D31,"")</f>
        <v>41</v>
      </c>
      <c r="AF31" s="1"/>
      <c r="AG31" s="1"/>
      <c r="AH31" s="1"/>
      <c r="AI31" s="1"/>
      <c r="AJ31" s="1"/>
      <c r="AK31" s="1"/>
      <c r="AL31" s="1"/>
      <c r="AM31" s="1"/>
      <c r="AN31" s="1"/>
    </row>
    <row r="32" customFormat="false" ht="18" hidden="false" customHeight="true" outlineLevel="0" collapsed="false">
      <c r="A32" s="86" t="n">
        <f aca="false">IF(ISNUMBER('Timeline Estacas'!A32),'Timeline Estacas'!A32,"")</f>
        <v>46246</v>
      </c>
      <c r="B32" s="87" t="n">
        <f aca="false">IF($A32="","",$A32)</f>
        <v>46246</v>
      </c>
      <c r="C32" s="88" t="n">
        <f aca="false">IF(ISNUMBER('Timeline Estacas'!C32),'Timeline Estacas'!C32,"")</f>
        <v>285</v>
      </c>
      <c r="D32" s="88" t="n">
        <f aca="false">IF(ISNUMBER('Timeline Estacas'!D32),'Timeline Estacas'!D32,"")</f>
        <v>41</v>
      </c>
      <c r="E32" s="88" t="str">
        <f aca="false">IF($D32="","","S-"&amp;TEXT($D32,"00"))</f>
        <v>S-41</v>
      </c>
      <c r="F32" s="88" t="n">
        <f aca="false">IF(ISNUMBER('Timeline Estacas'!F32),'Timeline Estacas'!F32,"")</f>
        <v>27</v>
      </c>
      <c r="G32" s="88" t="str">
        <f aca="false">IF($F32="","",IF('Timeline Estacas'!G32&lt;&gt;"",'Timeline Estacas'!G32,'Timeline Estacas'!I32))</f>
        <v>B</v>
      </c>
      <c r="H32" s="88" t="str">
        <f aca="false">IF(ISNUMBER('Timeline Estacas'!H32),'Timeline Estacas'!H32,"")</f>
        <v/>
      </c>
      <c r="I32" s="88" t="str">
        <f aca="false">IF($H32="","",'Timeline Estacas'!I32)</f>
        <v/>
      </c>
      <c r="J32" s="86" t="n">
        <f aca="false">IF(ISNUMBER('Timeline Estacas'!J32),'Timeline Estacas'!J32,"")</f>
        <v>46260</v>
      </c>
      <c r="K32" s="88" t="str">
        <f aca="false">IF('Timeline Estacas'!K32="","",'Timeline Estacas'!K32)</f>
        <v/>
      </c>
      <c r="L32" s="88" t="str">
        <f aca="false">IF('Timeline Estacas'!L32="","",'Timeline Estacas'!L32)</f>
        <v/>
      </c>
      <c r="M32" s="88" t="str">
        <f aca="false">IF('Timeline Estacas'!M32="","",'Timeline Estacas'!M32)</f>
        <v/>
      </c>
      <c r="N32" s="89" t="str">
        <f aca="false">IF('Timeline Estacas'!N32="","",'Timeline Estacas'!N32)</f>
        <v/>
      </c>
      <c r="O32" s="90" t="str">
        <f aca="false">IF(ISNUMBER('Timeline Estacas'!O32),'Timeline Estacas'!O32,"")</f>
        <v/>
      </c>
      <c r="P32" s="91" t="n">
        <f aca="false">IF($Q32&gt;0,1,0)</f>
        <v>1</v>
      </c>
      <c r="Q32" s="91" t="n">
        <f aca="false">IF($F32="",0,1)+IF($H32="",0,1)</f>
        <v>1</v>
      </c>
      <c r="R32" s="91" t="n">
        <f aca="false">IF($N32="",0,1)</f>
        <v>0</v>
      </c>
      <c r="S32" s="91" t="n">
        <f aca="false">IF($F32="",0,1)</f>
        <v>1</v>
      </c>
      <c r="T32" s="91" t="n">
        <f aca="false">IF($H32="",0,1)</f>
        <v>0</v>
      </c>
      <c r="U32" s="91" t="n">
        <f aca="false">IF($J32="",0,1)</f>
        <v>1</v>
      </c>
      <c r="V32" s="91" t="n">
        <f aca="true">IF($J32="",0,IF($J32&lt;=TODAY(),1,0))</f>
        <v>1</v>
      </c>
      <c r="W32" s="92" t="n">
        <f aca="false">IF($O32="",0,$O32)</f>
        <v>0</v>
      </c>
      <c r="X32" s="91" t="str">
        <f aca="false">IF($R32=1,SUM($R$2:$R32),"")</f>
        <v/>
      </c>
      <c r="Y32" s="91" t="n">
        <f aca="false">IF($F32="",0,IF(COUNTIF($F$2:$F32,$F32)+COUNTIF($H$2:$H32,$F32)&gt;1,1,0))+IF($H32="",0,IF(COUNTIF($F$2:$F32,$H32)+COUNTIF($H$2:$H32,$H32)&gt;1,1,0))</f>
        <v>0</v>
      </c>
      <c r="Z32" s="91" t="n">
        <f aca="false">IF($Q32=0,0,IF(COUNTIFS($A$2:$A32,$A32,$Q$2:$Q32,"&gt;0")=1,1,0))</f>
        <v>0</v>
      </c>
      <c r="AA32" s="93" t="n">
        <f aca="false">IF($Q32&gt;0,$A32,"")</f>
        <v>46246</v>
      </c>
      <c r="AB32" s="91" t="n">
        <f aca="false">IF($K32="",0,1)</f>
        <v>0</v>
      </c>
      <c r="AC32" s="91" t="n">
        <f aca="false">IF($L32="",0,1)</f>
        <v>0</v>
      </c>
      <c r="AD32" s="91" t="n">
        <f aca="false">IF($M32="",0,1)</f>
        <v>0</v>
      </c>
      <c r="AE32" s="91" t="n">
        <f aca="false">IF($Q32&gt;0,$D32,"")</f>
        <v>41</v>
      </c>
      <c r="AF32" s="1"/>
      <c r="AG32" s="1"/>
      <c r="AH32" s="1"/>
      <c r="AI32" s="1"/>
      <c r="AJ32" s="1"/>
      <c r="AK32" s="1"/>
      <c r="AL32" s="1"/>
      <c r="AM32" s="1"/>
      <c r="AN32" s="1"/>
    </row>
    <row r="33" customFormat="false" ht="18" hidden="false" customHeight="true" outlineLevel="0" collapsed="false">
      <c r="A33" s="86" t="n">
        <f aca="false">IF(ISNUMBER('Timeline Estacas'!A33),'Timeline Estacas'!A33,"")</f>
        <v>46246</v>
      </c>
      <c r="B33" s="87" t="n">
        <f aca="false">IF($A33="","",$A33)</f>
        <v>46246</v>
      </c>
      <c r="C33" s="88" t="n">
        <f aca="false">IF(ISNUMBER('Timeline Estacas'!C33),'Timeline Estacas'!C33,"")</f>
        <v>285</v>
      </c>
      <c r="D33" s="88" t="n">
        <f aca="false">IF(ISNUMBER('Timeline Estacas'!D33),'Timeline Estacas'!D33,"")</f>
        <v>41</v>
      </c>
      <c r="E33" s="88" t="str">
        <f aca="false">IF($D33="","","S-"&amp;TEXT($D33,"00"))</f>
        <v>S-41</v>
      </c>
      <c r="F33" s="88" t="n">
        <f aca="false">IF(ISNUMBER('Timeline Estacas'!F33),'Timeline Estacas'!F33,"")</f>
        <v>86</v>
      </c>
      <c r="G33" s="88" t="str">
        <f aca="false">IF($F33="","",IF('Timeline Estacas'!G33&lt;&gt;"",'Timeline Estacas'!G33,'Timeline Estacas'!I33))</f>
        <v>A</v>
      </c>
      <c r="H33" s="88" t="str">
        <f aca="false">IF(ISNUMBER('Timeline Estacas'!H33),'Timeline Estacas'!H33,"")</f>
        <v/>
      </c>
      <c r="I33" s="88" t="str">
        <f aca="false">IF($H33="","",'Timeline Estacas'!I33)</f>
        <v/>
      </c>
      <c r="J33" s="86" t="n">
        <f aca="false">IF(ISNUMBER('Timeline Estacas'!J33),'Timeline Estacas'!J33,"")</f>
        <v>46260</v>
      </c>
      <c r="K33" s="88" t="str">
        <f aca="false">IF('Timeline Estacas'!K33="","",'Timeline Estacas'!K33)</f>
        <v/>
      </c>
      <c r="L33" s="88" t="str">
        <f aca="false">IF('Timeline Estacas'!L33="","",'Timeline Estacas'!L33)</f>
        <v/>
      </c>
      <c r="M33" s="88" t="str">
        <f aca="false">IF('Timeline Estacas'!M33="","",'Timeline Estacas'!M33)</f>
        <v/>
      </c>
      <c r="N33" s="89" t="str">
        <f aca="false">IF('Timeline Estacas'!N33="","",'Timeline Estacas'!N33)</f>
        <v/>
      </c>
      <c r="O33" s="90" t="str">
        <f aca="false">IF(ISNUMBER('Timeline Estacas'!O33),'Timeline Estacas'!O33,"")</f>
        <v/>
      </c>
      <c r="P33" s="91" t="n">
        <f aca="false">IF($Q33&gt;0,1,0)</f>
        <v>1</v>
      </c>
      <c r="Q33" s="91" t="n">
        <f aca="false">IF($F33="",0,1)+IF($H33="",0,1)</f>
        <v>1</v>
      </c>
      <c r="R33" s="91" t="n">
        <f aca="false">IF($N33="",0,1)</f>
        <v>0</v>
      </c>
      <c r="S33" s="91" t="n">
        <f aca="false">IF($F33="",0,1)</f>
        <v>1</v>
      </c>
      <c r="T33" s="91" t="n">
        <f aca="false">IF($H33="",0,1)</f>
        <v>0</v>
      </c>
      <c r="U33" s="91" t="n">
        <f aca="false">IF($J33="",0,1)</f>
        <v>1</v>
      </c>
      <c r="V33" s="91" t="n">
        <f aca="true">IF($J33="",0,IF($J33&lt;=TODAY(),1,0))</f>
        <v>1</v>
      </c>
      <c r="W33" s="92" t="n">
        <f aca="false">IF($O33="",0,$O33)</f>
        <v>0</v>
      </c>
      <c r="X33" s="91" t="str">
        <f aca="false">IF($R33=1,SUM($R$2:$R33),"")</f>
        <v/>
      </c>
      <c r="Y33" s="91" t="n">
        <f aca="false">IF($F33="",0,IF(COUNTIF($F$2:$F33,$F33)+COUNTIF($H$2:$H33,$F33)&gt;1,1,0))+IF($H33="",0,IF(COUNTIF($F$2:$F33,$H33)+COUNTIF($H$2:$H33,$H33)&gt;1,1,0))</f>
        <v>0</v>
      </c>
      <c r="Z33" s="91" t="n">
        <f aca="false">IF($Q33=0,0,IF(COUNTIFS($A$2:$A33,$A33,$Q$2:$Q33,"&gt;0")=1,1,0))</f>
        <v>0</v>
      </c>
      <c r="AA33" s="93" t="n">
        <f aca="false">IF($Q33&gt;0,$A33,"")</f>
        <v>46246</v>
      </c>
      <c r="AB33" s="91" t="n">
        <f aca="false">IF($K33="",0,1)</f>
        <v>0</v>
      </c>
      <c r="AC33" s="91" t="n">
        <f aca="false">IF($L33="",0,1)</f>
        <v>0</v>
      </c>
      <c r="AD33" s="91" t="n">
        <f aca="false">IF($M33="",0,1)</f>
        <v>0</v>
      </c>
      <c r="AE33" s="91" t="n">
        <f aca="false">IF($Q33&gt;0,$D33,"")</f>
        <v>41</v>
      </c>
      <c r="AF33" s="1"/>
      <c r="AG33" s="1"/>
      <c r="AH33" s="1"/>
      <c r="AI33" s="1"/>
      <c r="AJ33" s="1"/>
      <c r="AK33" s="1"/>
      <c r="AL33" s="1"/>
      <c r="AM33" s="1"/>
      <c r="AN33" s="1"/>
    </row>
    <row r="34" customFormat="false" ht="18" hidden="false" customHeight="true" outlineLevel="0" collapsed="false">
      <c r="A34" s="86" t="n">
        <f aca="false">IF(ISNUMBER('Timeline Estacas'!A34),'Timeline Estacas'!A34,"")</f>
        <v>46246</v>
      </c>
      <c r="B34" s="87" t="n">
        <f aca="false">IF($A34="","",$A34)</f>
        <v>46246</v>
      </c>
      <c r="C34" s="88" t="n">
        <f aca="false">IF(ISNUMBER('Timeline Estacas'!C34),'Timeline Estacas'!C34,"")</f>
        <v>285</v>
      </c>
      <c r="D34" s="88" t="n">
        <f aca="false">IF(ISNUMBER('Timeline Estacas'!D34),'Timeline Estacas'!D34,"")</f>
        <v>41</v>
      </c>
      <c r="E34" s="88" t="str">
        <f aca="false">IF($D34="","","S-"&amp;TEXT($D34,"00"))</f>
        <v>S-41</v>
      </c>
      <c r="F34" s="88" t="n">
        <f aca="false">IF(ISNUMBER('Timeline Estacas'!F34),'Timeline Estacas'!F34,"")</f>
        <v>87</v>
      </c>
      <c r="G34" s="88" t="str">
        <f aca="false">IF($F34="","",IF('Timeline Estacas'!G34&lt;&gt;"",'Timeline Estacas'!G34,'Timeline Estacas'!I34))</f>
        <v>A</v>
      </c>
      <c r="H34" s="88" t="str">
        <f aca="false">IF(ISNUMBER('Timeline Estacas'!H34),'Timeline Estacas'!H34,"")</f>
        <v/>
      </c>
      <c r="I34" s="88" t="str">
        <f aca="false">IF($H34="","",'Timeline Estacas'!I34)</f>
        <v/>
      </c>
      <c r="J34" s="86" t="n">
        <f aca="false">IF(ISNUMBER('Timeline Estacas'!J34),'Timeline Estacas'!J34,"")</f>
        <v>46260</v>
      </c>
      <c r="K34" s="88" t="str">
        <f aca="false">IF('Timeline Estacas'!K34="","",'Timeline Estacas'!K34)</f>
        <v/>
      </c>
      <c r="L34" s="88" t="str">
        <f aca="false">IF('Timeline Estacas'!L34="","",'Timeline Estacas'!L34)</f>
        <v/>
      </c>
      <c r="M34" s="88" t="str">
        <f aca="false">IF('Timeline Estacas'!M34="","",'Timeline Estacas'!M34)</f>
        <v/>
      </c>
      <c r="N34" s="89" t="str">
        <f aca="false">IF('Timeline Estacas'!N34="","",'Timeline Estacas'!N34)</f>
        <v/>
      </c>
      <c r="O34" s="90" t="str">
        <f aca="false">IF(ISNUMBER('Timeline Estacas'!O34),'Timeline Estacas'!O34,"")</f>
        <v/>
      </c>
      <c r="P34" s="91" t="n">
        <f aca="false">IF($Q34&gt;0,1,0)</f>
        <v>1</v>
      </c>
      <c r="Q34" s="91" t="n">
        <f aca="false">IF($F34="",0,1)+IF($H34="",0,1)</f>
        <v>1</v>
      </c>
      <c r="R34" s="91" t="n">
        <f aca="false">IF($N34="",0,1)</f>
        <v>0</v>
      </c>
      <c r="S34" s="91" t="n">
        <f aca="false">IF($F34="",0,1)</f>
        <v>1</v>
      </c>
      <c r="T34" s="91" t="n">
        <f aca="false">IF($H34="",0,1)</f>
        <v>0</v>
      </c>
      <c r="U34" s="91" t="n">
        <f aca="false">IF($J34="",0,1)</f>
        <v>1</v>
      </c>
      <c r="V34" s="91" t="n">
        <f aca="true">IF($J34="",0,IF($J34&lt;=TODAY(),1,0))</f>
        <v>1</v>
      </c>
      <c r="W34" s="92" t="n">
        <f aca="false">IF($O34="",0,$O34)</f>
        <v>0</v>
      </c>
      <c r="X34" s="91" t="str">
        <f aca="false">IF($R34=1,SUM($R$2:$R34),"")</f>
        <v/>
      </c>
      <c r="Y34" s="91" t="n">
        <f aca="false">IF($F34="",0,IF(COUNTIF($F$2:$F34,$F34)+COUNTIF($H$2:$H34,$F34)&gt;1,1,0))+IF($H34="",0,IF(COUNTIF($F$2:$F34,$H34)+COUNTIF($H$2:$H34,$H34)&gt;1,1,0))</f>
        <v>0</v>
      </c>
      <c r="Z34" s="91" t="n">
        <f aca="false">IF($Q34=0,0,IF(COUNTIFS($A$2:$A34,$A34,$Q$2:$Q34,"&gt;0")=1,1,0))</f>
        <v>0</v>
      </c>
      <c r="AA34" s="93" t="n">
        <f aca="false">IF($Q34&gt;0,$A34,"")</f>
        <v>46246</v>
      </c>
      <c r="AB34" s="91" t="n">
        <f aca="false">IF($K34="",0,1)</f>
        <v>0</v>
      </c>
      <c r="AC34" s="91" t="n">
        <f aca="false">IF($L34="",0,1)</f>
        <v>0</v>
      </c>
      <c r="AD34" s="91" t="n">
        <f aca="false">IF($M34="",0,1)</f>
        <v>0</v>
      </c>
      <c r="AE34" s="91" t="n">
        <f aca="false">IF($Q34&gt;0,$D34,"")</f>
        <v>41</v>
      </c>
      <c r="AF34" s="1"/>
      <c r="AG34" s="1"/>
      <c r="AH34" s="1"/>
      <c r="AI34" s="1"/>
      <c r="AJ34" s="1"/>
      <c r="AK34" s="1"/>
      <c r="AL34" s="1"/>
      <c r="AM34" s="1"/>
      <c r="AN34" s="1"/>
    </row>
    <row r="35" customFormat="false" ht="18" hidden="false" customHeight="true" outlineLevel="0" collapsed="false">
      <c r="A35" s="86" t="n">
        <f aca="false">IF(ISNUMBER('Timeline Estacas'!A35),'Timeline Estacas'!A35,"")</f>
        <v>46247</v>
      </c>
      <c r="B35" s="87" t="n">
        <f aca="false">IF($A35="","",$A35)</f>
        <v>46247</v>
      </c>
      <c r="C35" s="88" t="n">
        <f aca="false">IF(ISNUMBER('Timeline Estacas'!C35),'Timeline Estacas'!C35,"")</f>
        <v>286</v>
      </c>
      <c r="D35" s="88" t="n">
        <f aca="false">IF(ISNUMBER('Timeline Estacas'!D35),'Timeline Estacas'!D35,"")</f>
        <v>41</v>
      </c>
      <c r="E35" s="88" t="str">
        <f aca="false">IF($D35="","","S-"&amp;TEXT($D35,"00"))</f>
        <v>S-41</v>
      </c>
      <c r="F35" s="88" t="n">
        <f aca="false">IF(ISNUMBER('Timeline Estacas'!F35),'Timeline Estacas'!F35,"")</f>
        <v>90</v>
      </c>
      <c r="G35" s="88" t="str">
        <f aca="false">IF($F35="","",IF('Timeline Estacas'!G35&lt;&gt;"",'Timeline Estacas'!G35,'Timeline Estacas'!I35))</f>
        <v>A</v>
      </c>
      <c r="H35" s="88" t="str">
        <f aca="false">IF(ISNUMBER('Timeline Estacas'!H35),'Timeline Estacas'!H35,"")</f>
        <v/>
      </c>
      <c r="I35" s="88" t="str">
        <f aca="false">IF($H35="","",'Timeline Estacas'!I35)</f>
        <v/>
      </c>
      <c r="J35" s="86" t="n">
        <f aca="false">IF(ISNUMBER('Timeline Estacas'!J35),'Timeline Estacas'!J35,"")</f>
        <v>46261</v>
      </c>
      <c r="K35" s="88" t="str">
        <f aca="false">IF('Timeline Estacas'!K35="","",'Timeline Estacas'!K35)</f>
        <v/>
      </c>
      <c r="L35" s="88" t="str">
        <f aca="false">IF('Timeline Estacas'!L35="","",'Timeline Estacas'!L35)</f>
        <v/>
      </c>
      <c r="M35" s="88" t="str">
        <f aca="false">IF('Timeline Estacas'!M35="","",'Timeline Estacas'!M35)</f>
        <v/>
      </c>
      <c r="N35" s="89" t="str">
        <f aca="false">IF('Timeline Estacas'!N35="","",'Timeline Estacas'!N35)</f>
        <v/>
      </c>
      <c r="O35" s="90" t="str">
        <f aca="false">IF(ISNUMBER('Timeline Estacas'!O35),'Timeline Estacas'!O35,"")</f>
        <v/>
      </c>
      <c r="P35" s="91" t="n">
        <f aca="false">IF($Q35&gt;0,1,0)</f>
        <v>1</v>
      </c>
      <c r="Q35" s="91" t="n">
        <f aca="false">IF($F35="",0,1)+IF($H35="",0,1)</f>
        <v>1</v>
      </c>
      <c r="R35" s="91" t="n">
        <f aca="false">IF($N35="",0,1)</f>
        <v>0</v>
      </c>
      <c r="S35" s="91" t="n">
        <f aca="false">IF($F35="",0,1)</f>
        <v>1</v>
      </c>
      <c r="T35" s="91" t="n">
        <f aca="false">IF($H35="",0,1)</f>
        <v>0</v>
      </c>
      <c r="U35" s="91" t="n">
        <f aca="false">IF($J35="",0,1)</f>
        <v>1</v>
      </c>
      <c r="V35" s="91" t="n">
        <f aca="true">IF($J35="",0,IF($J35&lt;=TODAY(),1,0))</f>
        <v>1</v>
      </c>
      <c r="W35" s="92" t="n">
        <f aca="false">IF($O35="",0,$O35)</f>
        <v>0</v>
      </c>
      <c r="X35" s="91" t="str">
        <f aca="false">IF($R35=1,SUM($R$2:$R35),"")</f>
        <v/>
      </c>
      <c r="Y35" s="91" t="n">
        <f aca="false">IF($F35="",0,IF(COUNTIF($F$2:$F35,$F35)+COUNTIF($H$2:$H35,$F35)&gt;1,1,0))+IF($H35="",0,IF(COUNTIF($F$2:$F35,$H35)+COUNTIF($H$2:$H35,$H35)&gt;1,1,0))</f>
        <v>0</v>
      </c>
      <c r="Z35" s="91" t="n">
        <f aca="false">IF($Q35=0,0,IF(COUNTIFS($A$2:$A35,$A35,$Q$2:$Q35,"&gt;0")=1,1,0))</f>
        <v>1</v>
      </c>
      <c r="AA35" s="93" t="n">
        <f aca="false">IF($Q35&gt;0,$A35,"")</f>
        <v>46247</v>
      </c>
      <c r="AB35" s="91" t="n">
        <f aca="false">IF($K35="",0,1)</f>
        <v>0</v>
      </c>
      <c r="AC35" s="91" t="n">
        <f aca="false">IF($L35="",0,1)</f>
        <v>0</v>
      </c>
      <c r="AD35" s="91" t="n">
        <f aca="false">IF($M35="",0,1)</f>
        <v>0</v>
      </c>
      <c r="AE35" s="91" t="n">
        <f aca="false">IF($Q35&gt;0,$D35,"")</f>
        <v>41</v>
      </c>
      <c r="AF35" s="1"/>
      <c r="AG35" s="1"/>
      <c r="AH35" s="1"/>
      <c r="AI35" s="1"/>
      <c r="AJ35" s="1"/>
      <c r="AK35" s="1"/>
      <c r="AL35" s="1"/>
      <c r="AM35" s="1"/>
      <c r="AN35" s="1"/>
    </row>
    <row r="36" customFormat="false" ht="18" hidden="false" customHeight="true" outlineLevel="0" collapsed="false">
      <c r="A36" s="86" t="n">
        <f aca="false">IF(ISNUMBER('Timeline Estacas'!A36),'Timeline Estacas'!A36,"")</f>
        <v>46247</v>
      </c>
      <c r="B36" s="87" t="n">
        <f aca="false">IF($A36="","",$A36)</f>
        <v>46247</v>
      </c>
      <c r="C36" s="88" t="n">
        <f aca="false">IF(ISNUMBER('Timeline Estacas'!C36),'Timeline Estacas'!C36,"")</f>
        <v>286</v>
      </c>
      <c r="D36" s="88" t="n">
        <f aca="false">IF(ISNUMBER('Timeline Estacas'!D36),'Timeline Estacas'!D36,"")</f>
        <v>41</v>
      </c>
      <c r="E36" s="88" t="str">
        <f aca="false">IF($D36="","","S-"&amp;TEXT($D36,"00"))</f>
        <v>S-41</v>
      </c>
      <c r="F36" s="88" t="n">
        <f aca="false">IF(ISNUMBER('Timeline Estacas'!F36),'Timeline Estacas'!F36,"")</f>
        <v>91</v>
      </c>
      <c r="G36" s="88" t="str">
        <f aca="false">IF($F36="","",IF('Timeline Estacas'!G36&lt;&gt;"",'Timeline Estacas'!G36,'Timeline Estacas'!I36))</f>
        <v>A</v>
      </c>
      <c r="H36" s="88" t="str">
        <f aca="false">IF(ISNUMBER('Timeline Estacas'!H36),'Timeline Estacas'!H36,"")</f>
        <v/>
      </c>
      <c r="I36" s="88" t="str">
        <f aca="false">IF($H36="","",'Timeline Estacas'!I36)</f>
        <v/>
      </c>
      <c r="J36" s="86" t="n">
        <f aca="false">IF(ISNUMBER('Timeline Estacas'!J36),'Timeline Estacas'!J36,"")</f>
        <v>46261</v>
      </c>
      <c r="K36" s="88" t="str">
        <f aca="false">IF('Timeline Estacas'!K36="","",'Timeline Estacas'!K36)</f>
        <v/>
      </c>
      <c r="L36" s="88" t="str">
        <f aca="false">IF('Timeline Estacas'!L36="","",'Timeline Estacas'!L36)</f>
        <v/>
      </c>
      <c r="M36" s="88" t="str">
        <f aca="false">IF('Timeline Estacas'!M36="","",'Timeline Estacas'!M36)</f>
        <v/>
      </c>
      <c r="N36" s="89" t="str">
        <f aca="false">IF('Timeline Estacas'!N36="","",'Timeline Estacas'!N36)</f>
        <v/>
      </c>
      <c r="O36" s="90" t="str">
        <f aca="false">IF(ISNUMBER('Timeline Estacas'!O36),'Timeline Estacas'!O36,"")</f>
        <v/>
      </c>
      <c r="P36" s="91" t="n">
        <f aca="false">IF($Q36&gt;0,1,0)</f>
        <v>1</v>
      </c>
      <c r="Q36" s="91" t="n">
        <f aca="false">IF($F36="",0,1)+IF($H36="",0,1)</f>
        <v>1</v>
      </c>
      <c r="R36" s="91" t="n">
        <f aca="false">IF($N36="",0,1)</f>
        <v>0</v>
      </c>
      <c r="S36" s="91" t="n">
        <f aca="false">IF($F36="",0,1)</f>
        <v>1</v>
      </c>
      <c r="T36" s="91" t="n">
        <f aca="false">IF($H36="",0,1)</f>
        <v>0</v>
      </c>
      <c r="U36" s="91" t="n">
        <f aca="false">IF($J36="",0,1)</f>
        <v>1</v>
      </c>
      <c r="V36" s="91" t="n">
        <f aca="true">IF($J36="",0,IF($J36&lt;=TODAY(),1,0))</f>
        <v>1</v>
      </c>
      <c r="W36" s="92" t="n">
        <f aca="false">IF($O36="",0,$O36)</f>
        <v>0</v>
      </c>
      <c r="X36" s="91" t="str">
        <f aca="false">IF($R36=1,SUM($R$2:$R36),"")</f>
        <v/>
      </c>
      <c r="Y36" s="91" t="n">
        <f aca="false">IF($F36="",0,IF(COUNTIF($F$2:$F36,$F36)+COUNTIF($H$2:$H36,$F36)&gt;1,1,0))+IF($H36="",0,IF(COUNTIF($F$2:$F36,$H36)+COUNTIF($H$2:$H36,$H36)&gt;1,1,0))</f>
        <v>0</v>
      </c>
      <c r="Z36" s="91" t="n">
        <f aca="false">IF($Q36=0,0,IF(COUNTIFS($A$2:$A36,$A36,$Q$2:$Q36,"&gt;0")=1,1,0))</f>
        <v>0</v>
      </c>
      <c r="AA36" s="93" t="n">
        <f aca="false">IF($Q36&gt;0,$A36,"")</f>
        <v>46247</v>
      </c>
      <c r="AB36" s="91" t="n">
        <f aca="false">IF($K36="",0,1)</f>
        <v>0</v>
      </c>
      <c r="AC36" s="91" t="n">
        <f aca="false">IF($L36="",0,1)</f>
        <v>0</v>
      </c>
      <c r="AD36" s="91" t="n">
        <f aca="false">IF($M36="",0,1)</f>
        <v>0</v>
      </c>
      <c r="AE36" s="91" t="n">
        <f aca="false">IF($Q36&gt;0,$D36,"")</f>
        <v>41</v>
      </c>
      <c r="AF36" s="1"/>
      <c r="AG36" s="1"/>
      <c r="AH36" s="1"/>
      <c r="AI36" s="1"/>
      <c r="AJ36" s="1"/>
      <c r="AK36" s="1"/>
      <c r="AL36" s="1"/>
      <c r="AM36" s="1"/>
      <c r="AN36" s="1"/>
    </row>
    <row r="37" customFormat="false" ht="18" hidden="false" customHeight="true" outlineLevel="0" collapsed="false">
      <c r="A37" s="86" t="n">
        <f aca="false">IF(ISNUMBER('Timeline Estacas'!A37),'Timeline Estacas'!A37,"")</f>
        <v>46247</v>
      </c>
      <c r="B37" s="87" t="n">
        <f aca="false">IF($A37="","",$A37)</f>
        <v>46247</v>
      </c>
      <c r="C37" s="88" t="n">
        <f aca="false">IF(ISNUMBER('Timeline Estacas'!C37),'Timeline Estacas'!C37,"")</f>
        <v>286</v>
      </c>
      <c r="D37" s="88" t="n">
        <f aca="false">IF(ISNUMBER('Timeline Estacas'!D37),'Timeline Estacas'!D37,"")</f>
        <v>41</v>
      </c>
      <c r="E37" s="88" t="str">
        <f aca="false">IF($D37="","","S-"&amp;TEXT($D37,"00"))</f>
        <v>S-41</v>
      </c>
      <c r="F37" s="88" t="n">
        <f aca="false">IF(ISNUMBER('Timeline Estacas'!F37),'Timeline Estacas'!F37,"")</f>
        <v>94</v>
      </c>
      <c r="G37" s="88" t="str">
        <f aca="false">IF($F37="","",IF('Timeline Estacas'!G37&lt;&gt;"",'Timeline Estacas'!G37,'Timeline Estacas'!I37))</f>
        <v>A</v>
      </c>
      <c r="H37" s="88" t="str">
        <f aca="false">IF(ISNUMBER('Timeline Estacas'!H37),'Timeline Estacas'!H37,"")</f>
        <v/>
      </c>
      <c r="I37" s="88" t="str">
        <f aca="false">IF($H37="","",'Timeline Estacas'!I37)</f>
        <v/>
      </c>
      <c r="J37" s="86" t="n">
        <f aca="false">IF(ISNUMBER('Timeline Estacas'!J37),'Timeline Estacas'!J37,"")</f>
        <v>46261</v>
      </c>
      <c r="K37" s="88" t="str">
        <f aca="false">IF('Timeline Estacas'!K37="","",'Timeline Estacas'!K37)</f>
        <v/>
      </c>
      <c r="L37" s="88" t="str">
        <f aca="false">IF('Timeline Estacas'!L37="","",'Timeline Estacas'!L37)</f>
        <v/>
      </c>
      <c r="M37" s="88" t="str">
        <f aca="false">IF('Timeline Estacas'!M37="","",'Timeline Estacas'!M37)</f>
        <v/>
      </c>
      <c r="N37" s="89" t="str">
        <f aca="false">IF('Timeline Estacas'!N37="","",'Timeline Estacas'!N37)</f>
        <v/>
      </c>
      <c r="O37" s="90" t="str">
        <f aca="false">IF(ISNUMBER('Timeline Estacas'!O37),'Timeline Estacas'!O37,"")</f>
        <v/>
      </c>
      <c r="P37" s="91" t="n">
        <f aca="false">IF($Q37&gt;0,1,0)</f>
        <v>1</v>
      </c>
      <c r="Q37" s="91" t="n">
        <f aca="false">IF($F37="",0,1)+IF($H37="",0,1)</f>
        <v>1</v>
      </c>
      <c r="R37" s="91" t="n">
        <f aca="false">IF($N37="",0,1)</f>
        <v>0</v>
      </c>
      <c r="S37" s="91" t="n">
        <f aca="false">IF($F37="",0,1)</f>
        <v>1</v>
      </c>
      <c r="T37" s="91" t="n">
        <f aca="false">IF($H37="",0,1)</f>
        <v>0</v>
      </c>
      <c r="U37" s="91" t="n">
        <f aca="false">IF($J37="",0,1)</f>
        <v>1</v>
      </c>
      <c r="V37" s="91" t="n">
        <f aca="true">IF($J37="",0,IF($J37&lt;=TODAY(),1,0))</f>
        <v>1</v>
      </c>
      <c r="W37" s="92" t="n">
        <f aca="false">IF($O37="",0,$O37)</f>
        <v>0</v>
      </c>
      <c r="X37" s="91" t="str">
        <f aca="false">IF($R37=1,SUM($R$2:$R37),"")</f>
        <v/>
      </c>
      <c r="Y37" s="91" t="n">
        <f aca="false">IF($F37="",0,IF(COUNTIF($F$2:$F37,$F37)+COUNTIF($H$2:$H37,$F37)&gt;1,1,0))+IF($H37="",0,IF(COUNTIF($F$2:$F37,$H37)+COUNTIF($H$2:$H37,$H37)&gt;1,1,0))</f>
        <v>0</v>
      </c>
      <c r="Z37" s="91" t="n">
        <f aca="false">IF($Q37=0,0,IF(COUNTIFS($A$2:$A37,$A37,$Q$2:$Q37,"&gt;0")=1,1,0))</f>
        <v>0</v>
      </c>
      <c r="AA37" s="93" t="n">
        <f aca="false">IF($Q37&gt;0,$A37,"")</f>
        <v>46247</v>
      </c>
      <c r="AB37" s="91" t="n">
        <f aca="false">IF($K37="",0,1)</f>
        <v>0</v>
      </c>
      <c r="AC37" s="91" t="n">
        <f aca="false">IF($L37="",0,1)</f>
        <v>0</v>
      </c>
      <c r="AD37" s="91" t="n">
        <f aca="false">IF($M37="",0,1)</f>
        <v>0</v>
      </c>
      <c r="AE37" s="91" t="n">
        <f aca="false">IF($Q37&gt;0,$D37,"")</f>
        <v>41</v>
      </c>
      <c r="AF37" s="1"/>
      <c r="AG37" s="1"/>
      <c r="AH37" s="1"/>
      <c r="AI37" s="1"/>
      <c r="AJ37" s="1"/>
      <c r="AK37" s="1"/>
      <c r="AL37" s="1"/>
      <c r="AM37" s="1"/>
      <c r="AN37" s="1"/>
    </row>
    <row r="38" customFormat="false" ht="18" hidden="false" customHeight="true" outlineLevel="0" collapsed="false">
      <c r="A38" s="86" t="n">
        <f aca="false">IF(ISNUMBER('Timeline Estacas'!A38),'Timeline Estacas'!A38,"")</f>
        <v>46247</v>
      </c>
      <c r="B38" s="87" t="n">
        <f aca="false">IF($A38="","",$A38)</f>
        <v>46247</v>
      </c>
      <c r="C38" s="88" t="n">
        <f aca="false">IF(ISNUMBER('Timeline Estacas'!C38),'Timeline Estacas'!C38,"")</f>
        <v>286</v>
      </c>
      <c r="D38" s="88" t="n">
        <f aca="false">IF(ISNUMBER('Timeline Estacas'!D38),'Timeline Estacas'!D38,"")</f>
        <v>41</v>
      </c>
      <c r="E38" s="88" t="str">
        <f aca="false">IF($D38="","","S-"&amp;TEXT($D38,"00"))</f>
        <v>S-41</v>
      </c>
      <c r="F38" s="88" t="n">
        <f aca="false">IF(ISNUMBER('Timeline Estacas'!F38),'Timeline Estacas'!F38,"")</f>
        <v>95</v>
      </c>
      <c r="G38" s="88" t="str">
        <f aca="false">IF($F38="","",IF('Timeline Estacas'!G38&lt;&gt;"",'Timeline Estacas'!G38,'Timeline Estacas'!I38))</f>
        <v>A</v>
      </c>
      <c r="H38" s="88" t="str">
        <f aca="false">IF(ISNUMBER('Timeline Estacas'!H38),'Timeline Estacas'!H38,"")</f>
        <v/>
      </c>
      <c r="I38" s="88" t="str">
        <f aca="false">IF($H38="","",'Timeline Estacas'!I38)</f>
        <v/>
      </c>
      <c r="J38" s="86" t="n">
        <f aca="false">IF(ISNUMBER('Timeline Estacas'!J38),'Timeline Estacas'!J38,"")</f>
        <v>46261</v>
      </c>
      <c r="K38" s="88" t="str">
        <f aca="false">IF('Timeline Estacas'!K38="","",'Timeline Estacas'!K38)</f>
        <v/>
      </c>
      <c r="L38" s="88" t="str">
        <f aca="false">IF('Timeline Estacas'!L38="","",'Timeline Estacas'!L38)</f>
        <v/>
      </c>
      <c r="M38" s="88" t="str">
        <f aca="false">IF('Timeline Estacas'!M38="","",'Timeline Estacas'!M38)</f>
        <v/>
      </c>
      <c r="N38" s="89" t="str">
        <f aca="false">IF('Timeline Estacas'!N38="","",'Timeline Estacas'!N38)</f>
        <v/>
      </c>
      <c r="O38" s="90" t="str">
        <f aca="false">IF(ISNUMBER('Timeline Estacas'!O38),'Timeline Estacas'!O38,"")</f>
        <v/>
      </c>
      <c r="P38" s="91" t="n">
        <f aca="false">IF($Q38&gt;0,1,0)</f>
        <v>1</v>
      </c>
      <c r="Q38" s="91" t="n">
        <f aca="false">IF($F38="",0,1)+IF($H38="",0,1)</f>
        <v>1</v>
      </c>
      <c r="R38" s="91" t="n">
        <f aca="false">IF($N38="",0,1)</f>
        <v>0</v>
      </c>
      <c r="S38" s="91" t="n">
        <f aca="false">IF($F38="",0,1)</f>
        <v>1</v>
      </c>
      <c r="T38" s="91" t="n">
        <f aca="false">IF($H38="",0,1)</f>
        <v>0</v>
      </c>
      <c r="U38" s="91" t="n">
        <f aca="false">IF($J38="",0,1)</f>
        <v>1</v>
      </c>
      <c r="V38" s="91" t="n">
        <f aca="true">IF($J38="",0,IF($J38&lt;=TODAY(),1,0))</f>
        <v>1</v>
      </c>
      <c r="W38" s="92" t="n">
        <f aca="false">IF($O38="",0,$O38)</f>
        <v>0</v>
      </c>
      <c r="X38" s="91" t="str">
        <f aca="false">IF($R38=1,SUM($R$2:$R38),"")</f>
        <v/>
      </c>
      <c r="Y38" s="91" t="n">
        <f aca="false">IF($F38="",0,IF(COUNTIF($F$2:$F38,$F38)+COUNTIF($H$2:$H38,$F38)&gt;1,1,0))+IF($H38="",0,IF(COUNTIF($F$2:$F38,$H38)+COUNTIF($H$2:$H38,$H38)&gt;1,1,0))</f>
        <v>0</v>
      </c>
      <c r="Z38" s="91" t="n">
        <f aca="false">IF($Q38=0,0,IF(COUNTIFS($A$2:$A38,$A38,$Q$2:$Q38,"&gt;0")=1,1,0))</f>
        <v>0</v>
      </c>
      <c r="AA38" s="93" t="n">
        <f aca="false">IF($Q38&gt;0,$A38,"")</f>
        <v>46247</v>
      </c>
      <c r="AB38" s="91" t="n">
        <f aca="false">IF($K38="",0,1)</f>
        <v>0</v>
      </c>
      <c r="AC38" s="91" t="n">
        <f aca="false">IF($L38="",0,1)</f>
        <v>0</v>
      </c>
      <c r="AD38" s="91" t="n">
        <f aca="false">IF($M38="",0,1)</f>
        <v>0</v>
      </c>
      <c r="AE38" s="91" t="n">
        <f aca="false">IF($Q38&gt;0,$D38,"")</f>
        <v>41</v>
      </c>
      <c r="AF38" s="1"/>
      <c r="AG38" s="1"/>
      <c r="AH38" s="1"/>
      <c r="AI38" s="1"/>
      <c r="AJ38" s="1"/>
      <c r="AK38" s="1"/>
      <c r="AL38" s="1"/>
      <c r="AM38" s="1"/>
      <c r="AN38" s="1"/>
    </row>
    <row r="39" customFormat="false" ht="18" hidden="false" customHeight="true" outlineLevel="0" collapsed="false">
      <c r="A39" s="86" t="n">
        <f aca="false">IF(ISNUMBER('Timeline Estacas'!A39),'Timeline Estacas'!A39,"")</f>
        <v>46247</v>
      </c>
      <c r="B39" s="87" t="n">
        <f aca="false">IF($A39="","",$A39)</f>
        <v>46247</v>
      </c>
      <c r="C39" s="88" t="n">
        <f aca="false">IF(ISNUMBER('Timeline Estacas'!C39),'Timeline Estacas'!C39,"")</f>
        <v>286</v>
      </c>
      <c r="D39" s="88" t="n">
        <f aca="false">IF(ISNUMBER('Timeline Estacas'!D39),'Timeline Estacas'!D39,"")</f>
        <v>41</v>
      </c>
      <c r="E39" s="88" t="str">
        <f aca="false">IF($D39="","","S-"&amp;TEXT($D39,"00"))</f>
        <v>S-41</v>
      </c>
      <c r="F39" s="88" t="n">
        <f aca="false">IF(ISNUMBER('Timeline Estacas'!F39),'Timeline Estacas'!F39,"")</f>
        <v>98</v>
      </c>
      <c r="G39" s="88" t="str">
        <f aca="false">IF($F39="","",IF('Timeline Estacas'!G39&lt;&gt;"",'Timeline Estacas'!G39,'Timeline Estacas'!I39))</f>
        <v>A</v>
      </c>
      <c r="H39" s="88" t="str">
        <f aca="false">IF(ISNUMBER('Timeline Estacas'!H39),'Timeline Estacas'!H39,"")</f>
        <v/>
      </c>
      <c r="I39" s="88" t="str">
        <f aca="false">IF($H39="","",'Timeline Estacas'!I39)</f>
        <v/>
      </c>
      <c r="J39" s="86" t="n">
        <f aca="false">IF(ISNUMBER('Timeline Estacas'!J39),'Timeline Estacas'!J39,"")</f>
        <v>46261</v>
      </c>
      <c r="K39" s="88" t="str">
        <f aca="false">IF('Timeline Estacas'!K39="","",'Timeline Estacas'!K39)</f>
        <v/>
      </c>
      <c r="L39" s="88" t="str">
        <f aca="false">IF('Timeline Estacas'!L39="","",'Timeline Estacas'!L39)</f>
        <v/>
      </c>
      <c r="M39" s="88" t="str">
        <f aca="false">IF('Timeline Estacas'!M39="","",'Timeline Estacas'!M39)</f>
        <v/>
      </c>
      <c r="N39" s="89" t="str">
        <f aca="false">IF('Timeline Estacas'!N39="","",'Timeline Estacas'!N39)</f>
        <v/>
      </c>
      <c r="O39" s="90" t="str">
        <f aca="false">IF(ISNUMBER('Timeline Estacas'!O39),'Timeline Estacas'!O39,"")</f>
        <v/>
      </c>
      <c r="P39" s="91" t="n">
        <f aca="false">IF($Q39&gt;0,1,0)</f>
        <v>1</v>
      </c>
      <c r="Q39" s="91" t="n">
        <f aca="false">IF($F39="",0,1)+IF($H39="",0,1)</f>
        <v>1</v>
      </c>
      <c r="R39" s="91" t="n">
        <f aca="false">IF($N39="",0,1)</f>
        <v>0</v>
      </c>
      <c r="S39" s="91" t="n">
        <f aca="false">IF($F39="",0,1)</f>
        <v>1</v>
      </c>
      <c r="T39" s="91" t="n">
        <f aca="false">IF($H39="",0,1)</f>
        <v>0</v>
      </c>
      <c r="U39" s="91" t="n">
        <f aca="false">IF($J39="",0,1)</f>
        <v>1</v>
      </c>
      <c r="V39" s="91" t="n">
        <f aca="true">IF($J39="",0,IF($J39&lt;=TODAY(),1,0))</f>
        <v>1</v>
      </c>
      <c r="W39" s="92" t="n">
        <f aca="false">IF($O39="",0,$O39)</f>
        <v>0</v>
      </c>
      <c r="X39" s="91" t="str">
        <f aca="false">IF($R39=1,SUM($R$2:$R39),"")</f>
        <v/>
      </c>
      <c r="Y39" s="91" t="n">
        <f aca="false">IF($F39="",0,IF(COUNTIF($F$2:$F39,$F39)+COUNTIF($H$2:$H39,$F39)&gt;1,1,0))+IF($H39="",0,IF(COUNTIF($F$2:$F39,$H39)+COUNTIF($H$2:$H39,$H39)&gt;1,1,0))</f>
        <v>0</v>
      </c>
      <c r="Z39" s="91" t="n">
        <f aca="false">IF($Q39=0,0,IF(COUNTIFS($A$2:$A39,$A39,$Q$2:$Q39,"&gt;0")=1,1,0))</f>
        <v>0</v>
      </c>
      <c r="AA39" s="93" t="n">
        <f aca="false">IF($Q39&gt;0,$A39,"")</f>
        <v>46247</v>
      </c>
      <c r="AB39" s="91" t="n">
        <f aca="false">IF($K39="",0,1)</f>
        <v>0</v>
      </c>
      <c r="AC39" s="91" t="n">
        <f aca="false">IF($L39="",0,1)</f>
        <v>0</v>
      </c>
      <c r="AD39" s="91" t="n">
        <f aca="false">IF($M39="",0,1)</f>
        <v>0</v>
      </c>
      <c r="AE39" s="91" t="n">
        <f aca="false">IF($Q39&gt;0,$D39,"")</f>
        <v>41</v>
      </c>
      <c r="AF39" s="1"/>
      <c r="AG39" s="1"/>
      <c r="AH39" s="1"/>
      <c r="AI39" s="1"/>
      <c r="AJ39" s="1"/>
      <c r="AK39" s="1"/>
      <c r="AL39" s="1"/>
      <c r="AM39" s="1"/>
      <c r="AN39" s="1"/>
    </row>
    <row r="40" customFormat="false" ht="18" hidden="false" customHeight="true" outlineLevel="0" collapsed="false">
      <c r="A40" s="86" t="n">
        <f aca="false">IF(ISNUMBER('Timeline Estacas'!A40),'Timeline Estacas'!A40,"")</f>
        <v>46247</v>
      </c>
      <c r="B40" s="87" t="n">
        <f aca="false">IF($A40="","",$A40)</f>
        <v>46247</v>
      </c>
      <c r="C40" s="88" t="n">
        <f aca="false">IF(ISNUMBER('Timeline Estacas'!C40),'Timeline Estacas'!C40,"")</f>
        <v>286</v>
      </c>
      <c r="D40" s="88" t="n">
        <f aca="false">IF(ISNUMBER('Timeline Estacas'!D40),'Timeline Estacas'!D40,"")</f>
        <v>41</v>
      </c>
      <c r="E40" s="88" t="str">
        <f aca="false">IF($D40="","","S-"&amp;TEXT($D40,"00"))</f>
        <v>S-41</v>
      </c>
      <c r="F40" s="88" t="n">
        <f aca="false">IF(ISNUMBER('Timeline Estacas'!F40),'Timeline Estacas'!F40,"")</f>
        <v>99</v>
      </c>
      <c r="G40" s="88" t="str">
        <f aca="false">IF($F40="","",IF('Timeline Estacas'!G40&lt;&gt;"",'Timeline Estacas'!G40,'Timeline Estacas'!I40))</f>
        <v>A</v>
      </c>
      <c r="H40" s="88" t="str">
        <f aca="false">IF(ISNUMBER('Timeline Estacas'!H40),'Timeline Estacas'!H40,"")</f>
        <v/>
      </c>
      <c r="I40" s="88" t="str">
        <f aca="false">IF($H40="","",'Timeline Estacas'!I40)</f>
        <v/>
      </c>
      <c r="J40" s="86" t="n">
        <f aca="false">IF(ISNUMBER('Timeline Estacas'!J40),'Timeline Estacas'!J40,"")</f>
        <v>46261</v>
      </c>
      <c r="K40" s="88" t="str">
        <f aca="false">IF('Timeline Estacas'!K40="","",'Timeline Estacas'!K40)</f>
        <v/>
      </c>
      <c r="L40" s="88" t="str">
        <f aca="false">IF('Timeline Estacas'!L40="","",'Timeline Estacas'!L40)</f>
        <v/>
      </c>
      <c r="M40" s="88" t="str">
        <f aca="false">IF('Timeline Estacas'!M40="","",'Timeline Estacas'!M40)</f>
        <v/>
      </c>
      <c r="N40" s="89" t="str">
        <f aca="false">IF('Timeline Estacas'!N40="","",'Timeline Estacas'!N40)</f>
        <v/>
      </c>
      <c r="O40" s="90" t="str">
        <f aca="false">IF(ISNUMBER('Timeline Estacas'!O40),'Timeline Estacas'!O40,"")</f>
        <v/>
      </c>
      <c r="P40" s="91" t="n">
        <f aca="false">IF($Q40&gt;0,1,0)</f>
        <v>1</v>
      </c>
      <c r="Q40" s="91" t="n">
        <f aca="false">IF($F40="",0,1)+IF($H40="",0,1)</f>
        <v>1</v>
      </c>
      <c r="R40" s="91" t="n">
        <f aca="false">IF($N40="",0,1)</f>
        <v>0</v>
      </c>
      <c r="S40" s="91" t="n">
        <f aca="false">IF($F40="",0,1)</f>
        <v>1</v>
      </c>
      <c r="T40" s="91" t="n">
        <f aca="false">IF($H40="",0,1)</f>
        <v>0</v>
      </c>
      <c r="U40" s="91" t="n">
        <f aca="false">IF($J40="",0,1)</f>
        <v>1</v>
      </c>
      <c r="V40" s="91" t="n">
        <f aca="true">IF($J40="",0,IF($J40&lt;=TODAY(),1,0))</f>
        <v>1</v>
      </c>
      <c r="W40" s="92" t="n">
        <f aca="false">IF($O40="",0,$O40)</f>
        <v>0</v>
      </c>
      <c r="X40" s="91" t="str">
        <f aca="false">IF($R40=1,SUM($R$2:$R40),"")</f>
        <v/>
      </c>
      <c r="Y40" s="91" t="n">
        <f aca="false">IF($F40="",0,IF(COUNTIF($F$2:$F40,$F40)+COUNTIF($H$2:$H40,$F40)&gt;1,1,0))+IF($H40="",0,IF(COUNTIF($F$2:$F40,$H40)+COUNTIF($H$2:$H40,$H40)&gt;1,1,0))</f>
        <v>0</v>
      </c>
      <c r="Z40" s="91" t="n">
        <f aca="false">IF($Q40=0,0,IF(COUNTIFS($A$2:$A40,$A40,$Q$2:$Q40,"&gt;0")=1,1,0))</f>
        <v>0</v>
      </c>
      <c r="AA40" s="93" t="n">
        <f aca="false">IF($Q40&gt;0,$A40,"")</f>
        <v>46247</v>
      </c>
      <c r="AB40" s="91" t="n">
        <f aca="false">IF($K40="",0,1)</f>
        <v>0</v>
      </c>
      <c r="AC40" s="91" t="n">
        <f aca="false">IF($L40="",0,1)</f>
        <v>0</v>
      </c>
      <c r="AD40" s="91" t="n">
        <f aca="false">IF($M40="",0,1)</f>
        <v>0</v>
      </c>
      <c r="AE40" s="91" t="n">
        <f aca="false">IF($Q40&gt;0,$D40,"")</f>
        <v>41</v>
      </c>
      <c r="AF40" s="1"/>
      <c r="AG40" s="1"/>
      <c r="AH40" s="1"/>
      <c r="AI40" s="1"/>
      <c r="AJ40" s="1"/>
      <c r="AK40" s="1"/>
      <c r="AL40" s="1"/>
      <c r="AM40" s="1"/>
      <c r="AN40" s="1"/>
    </row>
    <row r="41" customFormat="false" ht="18" hidden="false" customHeight="true" outlineLevel="0" collapsed="false">
      <c r="A41" s="86" t="n">
        <f aca="false">IF(ISNUMBER('Timeline Estacas'!A41),'Timeline Estacas'!A41,"")</f>
        <v>46247</v>
      </c>
      <c r="B41" s="87" t="n">
        <f aca="false">IF($A41="","",$A41)</f>
        <v>46247</v>
      </c>
      <c r="C41" s="88" t="n">
        <f aca="false">IF(ISNUMBER('Timeline Estacas'!C41),'Timeline Estacas'!C41,"")</f>
        <v>286</v>
      </c>
      <c r="D41" s="88" t="n">
        <f aca="false">IF(ISNUMBER('Timeline Estacas'!D41),'Timeline Estacas'!D41,"")</f>
        <v>41</v>
      </c>
      <c r="E41" s="88" t="str">
        <f aca="false">IF($D41="","","S-"&amp;TEXT($D41,"00"))</f>
        <v>S-41</v>
      </c>
      <c r="F41" s="88" t="n">
        <f aca="false">IF(ISNUMBER('Timeline Estacas'!F41),'Timeline Estacas'!F41,"")</f>
        <v>25</v>
      </c>
      <c r="G41" s="88" t="str">
        <f aca="false">IF($F41="","",IF('Timeline Estacas'!G41&lt;&gt;"",'Timeline Estacas'!G41,'Timeline Estacas'!I41))</f>
        <v>B</v>
      </c>
      <c r="H41" s="88" t="str">
        <f aca="false">IF(ISNUMBER('Timeline Estacas'!H41),'Timeline Estacas'!H41,"")</f>
        <v/>
      </c>
      <c r="I41" s="88" t="str">
        <f aca="false">IF($H41="","",'Timeline Estacas'!I41)</f>
        <v/>
      </c>
      <c r="J41" s="86" t="n">
        <f aca="false">IF(ISNUMBER('Timeline Estacas'!J41),'Timeline Estacas'!J41,"")</f>
        <v>46261</v>
      </c>
      <c r="K41" s="88" t="str">
        <f aca="false">IF('Timeline Estacas'!K41="","",'Timeline Estacas'!K41)</f>
        <v/>
      </c>
      <c r="L41" s="88" t="str">
        <f aca="false">IF('Timeline Estacas'!L41="","",'Timeline Estacas'!L41)</f>
        <v/>
      </c>
      <c r="M41" s="88" t="str">
        <f aca="false">IF('Timeline Estacas'!M41="","",'Timeline Estacas'!M41)</f>
        <v/>
      </c>
      <c r="N41" s="89" t="str">
        <f aca="false">IF('Timeline Estacas'!N41="","",'Timeline Estacas'!N41)</f>
        <v/>
      </c>
      <c r="O41" s="90" t="str">
        <f aca="false">IF(ISNUMBER('Timeline Estacas'!O41),'Timeline Estacas'!O41,"")</f>
        <v/>
      </c>
      <c r="P41" s="91" t="n">
        <f aca="false">IF($Q41&gt;0,1,0)</f>
        <v>1</v>
      </c>
      <c r="Q41" s="91" t="n">
        <f aca="false">IF($F41="",0,1)+IF($H41="",0,1)</f>
        <v>1</v>
      </c>
      <c r="R41" s="91" t="n">
        <f aca="false">IF($N41="",0,1)</f>
        <v>0</v>
      </c>
      <c r="S41" s="91" t="n">
        <f aca="false">IF($F41="",0,1)</f>
        <v>1</v>
      </c>
      <c r="T41" s="91" t="n">
        <f aca="false">IF($H41="",0,1)</f>
        <v>0</v>
      </c>
      <c r="U41" s="91" t="n">
        <f aca="false">IF($J41="",0,1)</f>
        <v>1</v>
      </c>
      <c r="V41" s="91" t="n">
        <f aca="true">IF($J41="",0,IF($J41&lt;=TODAY(),1,0))</f>
        <v>1</v>
      </c>
      <c r="W41" s="92" t="n">
        <f aca="false">IF($O41="",0,$O41)</f>
        <v>0</v>
      </c>
      <c r="X41" s="91" t="str">
        <f aca="false">IF($R41=1,SUM($R$2:$R41),"")</f>
        <v/>
      </c>
      <c r="Y41" s="91" t="n">
        <f aca="false">IF($F41="",0,IF(COUNTIF($F$2:$F41,$F41)+COUNTIF($H$2:$H41,$F41)&gt;1,1,0))+IF($H41="",0,IF(COUNTIF($F$2:$F41,$H41)+COUNTIF($H$2:$H41,$H41)&gt;1,1,0))</f>
        <v>0</v>
      </c>
      <c r="Z41" s="91" t="n">
        <f aca="false">IF($Q41=0,0,IF(COUNTIFS($A$2:$A41,$A41,$Q$2:$Q41,"&gt;0")=1,1,0))</f>
        <v>0</v>
      </c>
      <c r="AA41" s="93" t="n">
        <f aca="false">IF($Q41&gt;0,$A41,"")</f>
        <v>46247</v>
      </c>
      <c r="AB41" s="91" t="n">
        <f aca="false">IF($K41="",0,1)</f>
        <v>0</v>
      </c>
      <c r="AC41" s="91" t="n">
        <f aca="false">IF($L41="",0,1)</f>
        <v>0</v>
      </c>
      <c r="AD41" s="91" t="n">
        <f aca="false">IF($M41="",0,1)</f>
        <v>0</v>
      </c>
      <c r="AE41" s="91" t="n">
        <f aca="false">IF($Q41&gt;0,$D41,"")</f>
        <v>41</v>
      </c>
      <c r="AF41" s="1"/>
      <c r="AG41" s="1"/>
      <c r="AH41" s="1"/>
      <c r="AI41" s="1"/>
      <c r="AJ41" s="1"/>
      <c r="AK41" s="1"/>
      <c r="AL41" s="1"/>
      <c r="AM41" s="1"/>
      <c r="AN41" s="1"/>
    </row>
    <row r="42" customFormat="false" ht="18" hidden="false" customHeight="true" outlineLevel="0" collapsed="false">
      <c r="A42" s="86" t="n">
        <f aca="false">IF(ISNUMBER('Timeline Estacas'!A42),'Timeline Estacas'!A42,"")</f>
        <v>46247</v>
      </c>
      <c r="B42" s="87" t="n">
        <f aca="false">IF($A42="","",$A42)</f>
        <v>46247</v>
      </c>
      <c r="C42" s="88" t="n">
        <f aca="false">IF(ISNUMBER('Timeline Estacas'!C42),'Timeline Estacas'!C42,"")</f>
        <v>286</v>
      </c>
      <c r="D42" s="88" t="n">
        <f aca="false">IF(ISNUMBER('Timeline Estacas'!D42),'Timeline Estacas'!D42,"")</f>
        <v>41</v>
      </c>
      <c r="E42" s="88" t="str">
        <f aca="false">IF($D42="","","S-"&amp;TEXT($D42,"00"))</f>
        <v>S-41</v>
      </c>
      <c r="F42" s="88" t="n">
        <f aca="false">IF(ISNUMBER('Timeline Estacas'!F42),'Timeline Estacas'!F42,"")</f>
        <v>30</v>
      </c>
      <c r="G42" s="88" t="str">
        <f aca="false">IF($F42="","",IF('Timeline Estacas'!G42&lt;&gt;"",'Timeline Estacas'!G42,'Timeline Estacas'!I42))</f>
        <v>B</v>
      </c>
      <c r="H42" s="88" t="str">
        <f aca="false">IF(ISNUMBER('Timeline Estacas'!H42),'Timeline Estacas'!H42,"")</f>
        <v/>
      </c>
      <c r="I42" s="88" t="str">
        <f aca="false">IF($H42="","",'Timeline Estacas'!I42)</f>
        <v/>
      </c>
      <c r="J42" s="86" t="n">
        <f aca="false">IF(ISNUMBER('Timeline Estacas'!J42),'Timeline Estacas'!J42,"")</f>
        <v>46261</v>
      </c>
      <c r="K42" s="88" t="str">
        <f aca="false">IF('Timeline Estacas'!K42="","",'Timeline Estacas'!K42)</f>
        <v/>
      </c>
      <c r="L42" s="88" t="str">
        <f aca="false">IF('Timeline Estacas'!L42="","",'Timeline Estacas'!L42)</f>
        <v/>
      </c>
      <c r="M42" s="88" t="str">
        <f aca="false">IF('Timeline Estacas'!M42="","",'Timeline Estacas'!M42)</f>
        <v/>
      </c>
      <c r="N42" s="89" t="str">
        <f aca="false">IF('Timeline Estacas'!N42="","",'Timeline Estacas'!N42)</f>
        <v/>
      </c>
      <c r="O42" s="90" t="str">
        <f aca="false">IF(ISNUMBER('Timeline Estacas'!O42),'Timeline Estacas'!O42,"")</f>
        <v/>
      </c>
      <c r="P42" s="91" t="n">
        <f aca="false">IF($Q42&gt;0,1,0)</f>
        <v>1</v>
      </c>
      <c r="Q42" s="91" t="n">
        <f aca="false">IF($F42="",0,1)+IF($H42="",0,1)</f>
        <v>1</v>
      </c>
      <c r="R42" s="91" t="n">
        <f aca="false">IF($N42="",0,1)</f>
        <v>0</v>
      </c>
      <c r="S42" s="91" t="n">
        <f aca="false">IF($F42="",0,1)</f>
        <v>1</v>
      </c>
      <c r="T42" s="91" t="n">
        <f aca="false">IF($H42="",0,1)</f>
        <v>0</v>
      </c>
      <c r="U42" s="91" t="n">
        <f aca="false">IF($J42="",0,1)</f>
        <v>1</v>
      </c>
      <c r="V42" s="91" t="n">
        <f aca="true">IF($J42="",0,IF($J42&lt;=TODAY(),1,0))</f>
        <v>1</v>
      </c>
      <c r="W42" s="92" t="n">
        <f aca="false">IF($O42="",0,$O42)</f>
        <v>0</v>
      </c>
      <c r="X42" s="91" t="str">
        <f aca="false">IF($R42=1,SUM($R$2:$R42),"")</f>
        <v/>
      </c>
      <c r="Y42" s="91" t="n">
        <f aca="false">IF($F42="",0,IF(COUNTIF($F$2:$F42,$F42)+COUNTIF($H$2:$H42,$F42)&gt;1,1,0))+IF($H42="",0,IF(COUNTIF($F$2:$F42,$H42)+COUNTIF($H$2:$H42,$H42)&gt;1,1,0))</f>
        <v>0</v>
      </c>
      <c r="Z42" s="91" t="n">
        <f aca="false">IF($Q42=0,0,IF(COUNTIFS($A$2:$A42,$A42,$Q$2:$Q42,"&gt;0")=1,1,0))</f>
        <v>0</v>
      </c>
      <c r="AA42" s="93" t="n">
        <f aca="false">IF($Q42&gt;0,$A42,"")</f>
        <v>46247</v>
      </c>
      <c r="AB42" s="91" t="n">
        <f aca="false">IF($K42="",0,1)</f>
        <v>0</v>
      </c>
      <c r="AC42" s="91" t="n">
        <f aca="false">IF($L42="",0,1)</f>
        <v>0</v>
      </c>
      <c r="AD42" s="91" t="n">
        <f aca="false">IF($M42="",0,1)</f>
        <v>0</v>
      </c>
      <c r="AE42" s="91" t="n">
        <f aca="false">IF($Q42&gt;0,$D42,"")</f>
        <v>41</v>
      </c>
      <c r="AF42" s="1"/>
      <c r="AG42" s="1"/>
      <c r="AH42" s="1"/>
      <c r="AI42" s="1"/>
      <c r="AJ42" s="1"/>
      <c r="AK42" s="1"/>
      <c r="AL42" s="1"/>
      <c r="AM42" s="1"/>
      <c r="AN42" s="1"/>
    </row>
    <row r="43" customFormat="false" ht="18" hidden="false" customHeight="true" outlineLevel="0" collapsed="false">
      <c r="A43" s="86" t="n">
        <f aca="false">IF(ISNUMBER('Timeline Estacas'!A43),'Timeline Estacas'!A43,"")</f>
        <v>46247</v>
      </c>
      <c r="B43" s="87" t="n">
        <f aca="false">IF($A43="","",$A43)</f>
        <v>46247</v>
      </c>
      <c r="C43" s="88" t="n">
        <f aca="false">IF(ISNUMBER('Timeline Estacas'!C43),'Timeline Estacas'!C43,"")</f>
        <v>286</v>
      </c>
      <c r="D43" s="88" t="n">
        <f aca="false">IF(ISNUMBER('Timeline Estacas'!D43),'Timeline Estacas'!D43,"")</f>
        <v>41</v>
      </c>
      <c r="E43" s="88" t="str">
        <f aca="false">IF($D43="","","S-"&amp;TEXT($D43,"00"))</f>
        <v>S-41</v>
      </c>
      <c r="F43" s="88" t="n">
        <f aca="false">IF(ISNUMBER('Timeline Estacas'!F43),'Timeline Estacas'!F43,"")</f>
        <v>31</v>
      </c>
      <c r="G43" s="88" t="str">
        <f aca="false">IF($F43="","",IF('Timeline Estacas'!G43&lt;&gt;"",'Timeline Estacas'!G43,'Timeline Estacas'!I43))</f>
        <v>B</v>
      </c>
      <c r="H43" s="88" t="str">
        <f aca="false">IF(ISNUMBER('Timeline Estacas'!H43),'Timeline Estacas'!H43,"")</f>
        <v/>
      </c>
      <c r="I43" s="88" t="str">
        <f aca="false">IF($H43="","",'Timeline Estacas'!I43)</f>
        <v/>
      </c>
      <c r="J43" s="86" t="n">
        <f aca="false">IF(ISNUMBER('Timeline Estacas'!J43),'Timeline Estacas'!J43,"")</f>
        <v>46261</v>
      </c>
      <c r="K43" s="88" t="str">
        <f aca="false">IF('Timeline Estacas'!K43="","",'Timeline Estacas'!K43)</f>
        <v/>
      </c>
      <c r="L43" s="88" t="str">
        <f aca="false">IF('Timeline Estacas'!L43="","",'Timeline Estacas'!L43)</f>
        <v/>
      </c>
      <c r="M43" s="88" t="str">
        <f aca="false">IF('Timeline Estacas'!M43="","",'Timeline Estacas'!M43)</f>
        <v/>
      </c>
      <c r="N43" s="89" t="str">
        <f aca="false">IF('Timeline Estacas'!N43="","",'Timeline Estacas'!N43)</f>
        <v/>
      </c>
      <c r="O43" s="90" t="str">
        <f aca="false">IF(ISNUMBER('Timeline Estacas'!O43),'Timeline Estacas'!O43,"")</f>
        <v/>
      </c>
      <c r="P43" s="91" t="n">
        <f aca="false">IF($Q43&gt;0,1,0)</f>
        <v>1</v>
      </c>
      <c r="Q43" s="91" t="n">
        <f aca="false">IF($F43="",0,1)+IF($H43="",0,1)</f>
        <v>1</v>
      </c>
      <c r="R43" s="91" t="n">
        <f aca="false">IF($N43="",0,1)</f>
        <v>0</v>
      </c>
      <c r="S43" s="91" t="n">
        <f aca="false">IF($F43="",0,1)</f>
        <v>1</v>
      </c>
      <c r="T43" s="91" t="n">
        <f aca="false">IF($H43="",0,1)</f>
        <v>0</v>
      </c>
      <c r="U43" s="91" t="n">
        <f aca="false">IF($J43="",0,1)</f>
        <v>1</v>
      </c>
      <c r="V43" s="91" t="n">
        <f aca="true">IF($J43="",0,IF($J43&lt;=TODAY(),1,0))</f>
        <v>1</v>
      </c>
      <c r="W43" s="92" t="n">
        <f aca="false">IF($O43="",0,$O43)</f>
        <v>0</v>
      </c>
      <c r="X43" s="91" t="str">
        <f aca="false">IF($R43=1,SUM($R$2:$R43),"")</f>
        <v/>
      </c>
      <c r="Y43" s="91" t="n">
        <f aca="false">IF($F43="",0,IF(COUNTIF($F$2:$F43,$F43)+COUNTIF($H$2:$H43,$F43)&gt;1,1,0))+IF($H43="",0,IF(COUNTIF($F$2:$F43,$H43)+COUNTIF($H$2:$H43,$H43)&gt;1,1,0))</f>
        <v>0</v>
      </c>
      <c r="Z43" s="91" t="n">
        <f aca="false">IF($Q43=0,0,IF(COUNTIFS($A$2:$A43,$A43,$Q$2:$Q43,"&gt;0")=1,1,0))</f>
        <v>0</v>
      </c>
      <c r="AA43" s="93" t="n">
        <f aca="false">IF($Q43&gt;0,$A43,"")</f>
        <v>46247</v>
      </c>
      <c r="AB43" s="91" t="n">
        <f aca="false">IF($K43="",0,1)</f>
        <v>0</v>
      </c>
      <c r="AC43" s="91" t="n">
        <f aca="false">IF($L43="",0,1)</f>
        <v>0</v>
      </c>
      <c r="AD43" s="91" t="n">
        <f aca="false">IF($M43="",0,1)</f>
        <v>0</v>
      </c>
      <c r="AE43" s="91" t="n">
        <f aca="false">IF($Q43&gt;0,$D43,"")</f>
        <v>41</v>
      </c>
      <c r="AF43" s="1"/>
      <c r="AG43" s="1"/>
      <c r="AH43" s="1"/>
      <c r="AI43" s="1"/>
      <c r="AJ43" s="1"/>
      <c r="AK43" s="1"/>
      <c r="AL43" s="1"/>
      <c r="AM43" s="1"/>
      <c r="AN43" s="1"/>
    </row>
    <row r="44" customFormat="false" ht="18" hidden="false" customHeight="true" outlineLevel="0" collapsed="false">
      <c r="A44" s="86" t="n">
        <f aca="false">IF(ISNUMBER('Timeline Estacas'!A44),'Timeline Estacas'!A44,"")</f>
        <v>46248</v>
      </c>
      <c r="B44" s="87" t="n">
        <f aca="false">IF($A44="","",$A44)</f>
        <v>46248</v>
      </c>
      <c r="C44" s="88" t="n">
        <f aca="false">IF(ISNUMBER('Timeline Estacas'!C44),'Timeline Estacas'!C44,"")</f>
        <v>287</v>
      </c>
      <c r="D44" s="88" t="n">
        <f aca="false">IF(ISNUMBER('Timeline Estacas'!D44),'Timeline Estacas'!D44,"")</f>
        <v>42</v>
      </c>
      <c r="E44" s="88" t="str">
        <f aca="false">IF($D44="","","S-"&amp;TEXT($D44,"00"))</f>
        <v>S-42</v>
      </c>
      <c r="F44" s="88" t="n">
        <f aca="false">IF(ISNUMBER('Timeline Estacas'!F44),'Timeline Estacas'!F44,"")</f>
        <v>78</v>
      </c>
      <c r="G44" s="88" t="str">
        <f aca="false">IF($F44="","",IF('Timeline Estacas'!G44&lt;&gt;"",'Timeline Estacas'!G44,'Timeline Estacas'!I44))</f>
        <v>A</v>
      </c>
      <c r="H44" s="88" t="str">
        <f aca="false">IF(ISNUMBER('Timeline Estacas'!H44),'Timeline Estacas'!H44,"")</f>
        <v/>
      </c>
      <c r="I44" s="88" t="str">
        <f aca="false">IF($H44="","",'Timeline Estacas'!I44)</f>
        <v/>
      </c>
      <c r="J44" s="86" t="n">
        <f aca="false">IF(ISNUMBER('Timeline Estacas'!J44),'Timeline Estacas'!J44,"")</f>
        <v>46262</v>
      </c>
      <c r="K44" s="88" t="str">
        <f aca="false">IF('Timeline Estacas'!K44="","",'Timeline Estacas'!K44)</f>
        <v/>
      </c>
      <c r="L44" s="88" t="str">
        <f aca="false">IF('Timeline Estacas'!L44="","",'Timeline Estacas'!L44)</f>
        <v/>
      </c>
      <c r="M44" s="88" t="str">
        <f aca="false">IF('Timeline Estacas'!M44="","",'Timeline Estacas'!M44)</f>
        <v/>
      </c>
      <c r="N44" s="89" t="str">
        <f aca="false">IF('Timeline Estacas'!N44="","",'Timeline Estacas'!N44)</f>
        <v/>
      </c>
      <c r="O44" s="90" t="str">
        <f aca="false">IF(ISNUMBER('Timeline Estacas'!O44),'Timeline Estacas'!O44,"")</f>
        <v/>
      </c>
      <c r="P44" s="91" t="n">
        <f aca="false">IF($Q44&gt;0,1,0)</f>
        <v>1</v>
      </c>
      <c r="Q44" s="91" t="n">
        <f aca="false">IF($F44="",0,1)+IF($H44="",0,1)</f>
        <v>1</v>
      </c>
      <c r="R44" s="91" t="n">
        <f aca="false">IF($N44="",0,1)</f>
        <v>0</v>
      </c>
      <c r="S44" s="91" t="n">
        <f aca="false">IF($F44="",0,1)</f>
        <v>1</v>
      </c>
      <c r="T44" s="91" t="n">
        <f aca="false">IF($H44="",0,1)</f>
        <v>0</v>
      </c>
      <c r="U44" s="91" t="n">
        <f aca="false">IF($J44="",0,1)</f>
        <v>1</v>
      </c>
      <c r="V44" s="91" t="n">
        <f aca="true">IF($J44="",0,IF($J44&lt;=TODAY(),1,0))</f>
        <v>1</v>
      </c>
      <c r="W44" s="92" t="n">
        <f aca="false">IF($O44="",0,$O44)</f>
        <v>0</v>
      </c>
      <c r="X44" s="91" t="str">
        <f aca="false">IF($R44=1,SUM($R$2:$R44),"")</f>
        <v/>
      </c>
      <c r="Y44" s="91" t="n">
        <f aca="false">IF($F44="",0,IF(COUNTIF($F$2:$F44,$F44)+COUNTIF($H$2:$H44,$F44)&gt;1,1,0))+IF($H44="",0,IF(COUNTIF($F$2:$F44,$H44)+COUNTIF($H$2:$H44,$H44)&gt;1,1,0))</f>
        <v>0</v>
      </c>
      <c r="Z44" s="91" t="n">
        <f aca="false">IF($Q44=0,0,IF(COUNTIFS($A$2:$A44,$A44,$Q$2:$Q44,"&gt;0")=1,1,0))</f>
        <v>1</v>
      </c>
      <c r="AA44" s="93" t="n">
        <f aca="false">IF($Q44&gt;0,$A44,"")</f>
        <v>46248</v>
      </c>
      <c r="AB44" s="91" t="n">
        <f aca="false">IF($K44="",0,1)</f>
        <v>0</v>
      </c>
      <c r="AC44" s="91" t="n">
        <f aca="false">IF($L44="",0,1)</f>
        <v>0</v>
      </c>
      <c r="AD44" s="91" t="n">
        <f aca="false">IF($M44="",0,1)</f>
        <v>0</v>
      </c>
      <c r="AE44" s="91" t="n">
        <f aca="false">IF($Q44&gt;0,$D44,"")</f>
        <v>42</v>
      </c>
      <c r="AF44" s="1"/>
      <c r="AG44" s="1"/>
      <c r="AH44" s="1"/>
      <c r="AI44" s="1"/>
      <c r="AJ44" s="1"/>
      <c r="AK44" s="1"/>
      <c r="AL44" s="1"/>
      <c r="AM44" s="1"/>
      <c r="AN44" s="1"/>
    </row>
    <row r="45" customFormat="false" ht="18" hidden="false" customHeight="true" outlineLevel="0" collapsed="false">
      <c r="A45" s="86" t="n">
        <f aca="false">IF(ISNUMBER('Timeline Estacas'!A45),'Timeline Estacas'!A45,"")</f>
        <v>46248</v>
      </c>
      <c r="B45" s="87" t="n">
        <f aca="false">IF($A45="","",$A45)</f>
        <v>46248</v>
      </c>
      <c r="C45" s="88" t="n">
        <f aca="false">IF(ISNUMBER('Timeline Estacas'!C45),'Timeline Estacas'!C45,"")</f>
        <v>287</v>
      </c>
      <c r="D45" s="88" t="n">
        <f aca="false">IF(ISNUMBER('Timeline Estacas'!D45),'Timeline Estacas'!D45,"")</f>
        <v>42</v>
      </c>
      <c r="E45" s="88" t="str">
        <f aca="false">IF($D45="","","S-"&amp;TEXT($D45,"00"))</f>
        <v>S-42</v>
      </c>
      <c r="F45" s="88" t="n">
        <f aca="false">IF(ISNUMBER('Timeline Estacas'!F45),'Timeline Estacas'!F45,"")</f>
        <v>79</v>
      </c>
      <c r="G45" s="88" t="str">
        <f aca="false">IF($F45="","",IF('Timeline Estacas'!G45&lt;&gt;"",'Timeline Estacas'!G45,'Timeline Estacas'!I45))</f>
        <v>A</v>
      </c>
      <c r="H45" s="88" t="str">
        <f aca="false">IF(ISNUMBER('Timeline Estacas'!H45),'Timeline Estacas'!H45,"")</f>
        <v/>
      </c>
      <c r="I45" s="88" t="str">
        <f aca="false">IF($H45="","",'Timeline Estacas'!I45)</f>
        <v/>
      </c>
      <c r="J45" s="86" t="n">
        <f aca="false">IF(ISNUMBER('Timeline Estacas'!J45),'Timeline Estacas'!J45,"")</f>
        <v>46262</v>
      </c>
      <c r="K45" s="88" t="str">
        <f aca="false">IF('Timeline Estacas'!K45="","",'Timeline Estacas'!K45)</f>
        <v/>
      </c>
      <c r="L45" s="88" t="str">
        <f aca="false">IF('Timeline Estacas'!L45="","",'Timeline Estacas'!L45)</f>
        <v/>
      </c>
      <c r="M45" s="88" t="str">
        <f aca="false">IF('Timeline Estacas'!M45="","",'Timeline Estacas'!M45)</f>
        <v/>
      </c>
      <c r="N45" s="89" t="str">
        <f aca="false">IF('Timeline Estacas'!N45="","",'Timeline Estacas'!N45)</f>
        <v/>
      </c>
      <c r="O45" s="90" t="str">
        <f aca="false">IF(ISNUMBER('Timeline Estacas'!O45),'Timeline Estacas'!O45,"")</f>
        <v/>
      </c>
      <c r="P45" s="91" t="n">
        <f aca="false">IF($Q45&gt;0,1,0)</f>
        <v>1</v>
      </c>
      <c r="Q45" s="91" t="n">
        <f aca="false">IF($F45="",0,1)+IF($H45="",0,1)</f>
        <v>1</v>
      </c>
      <c r="R45" s="91" t="n">
        <f aca="false">IF($N45="",0,1)</f>
        <v>0</v>
      </c>
      <c r="S45" s="91" t="n">
        <f aca="false">IF($F45="",0,1)</f>
        <v>1</v>
      </c>
      <c r="T45" s="91" t="n">
        <f aca="false">IF($H45="",0,1)</f>
        <v>0</v>
      </c>
      <c r="U45" s="91" t="n">
        <f aca="false">IF($J45="",0,1)</f>
        <v>1</v>
      </c>
      <c r="V45" s="91" t="n">
        <f aca="true">IF($J45="",0,IF($J45&lt;=TODAY(),1,0))</f>
        <v>1</v>
      </c>
      <c r="W45" s="92" t="n">
        <f aca="false">IF($O45="",0,$O45)</f>
        <v>0</v>
      </c>
      <c r="X45" s="91" t="str">
        <f aca="false">IF($R45=1,SUM($R$2:$R45),"")</f>
        <v/>
      </c>
      <c r="Y45" s="91" t="n">
        <f aca="false">IF($F45="",0,IF(COUNTIF($F$2:$F45,$F45)+COUNTIF($H$2:$H45,$F45)&gt;1,1,0))+IF($H45="",0,IF(COUNTIF($F$2:$F45,$H45)+COUNTIF($H$2:$H45,$H45)&gt;1,1,0))</f>
        <v>0</v>
      </c>
      <c r="Z45" s="91" t="n">
        <f aca="false">IF($Q45=0,0,IF(COUNTIFS($A$2:$A45,$A45,$Q$2:$Q45,"&gt;0")=1,1,0))</f>
        <v>0</v>
      </c>
      <c r="AA45" s="93" t="n">
        <f aca="false">IF($Q45&gt;0,$A45,"")</f>
        <v>46248</v>
      </c>
      <c r="AB45" s="91" t="n">
        <f aca="false">IF($K45="",0,1)</f>
        <v>0</v>
      </c>
      <c r="AC45" s="91" t="n">
        <f aca="false">IF($L45="",0,1)</f>
        <v>0</v>
      </c>
      <c r="AD45" s="91" t="n">
        <f aca="false">IF($M45="",0,1)</f>
        <v>0</v>
      </c>
      <c r="AE45" s="91" t="n">
        <f aca="false">IF($Q45&gt;0,$D45,"")</f>
        <v>42</v>
      </c>
      <c r="AF45" s="1"/>
      <c r="AG45" s="1"/>
      <c r="AH45" s="1"/>
      <c r="AI45" s="1"/>
      <c r="AJ45" s="1"/>
      <c r="AK45" s="1"/>
      <c r="AL45" s="1"/>
      <c r="AM45" s="1"/>
      <c r="AN45" s="1"/>
    </row>
    <row r="46" customFormat="false" ht="18" hidden="false" customHeight="true" outlineLevel="0" collapsed="false">
      <c r="A46" s="86" t="n">
        <f aca="false">IF(ISNUMBER('Timeline Estacas'!A46),'Timeline Estacas'!A46,"")</f>
        <v>46248</v>
      </c>
      <c r="B46" s="87" t="n">
        <f aca="false">IF($A46="","",$A46)</f>
        <v>46248</v>
      </c>
      <c r="C46" s="88" t="n">
        <f aca="false">IF(ISNUMBER('Timeline Estacas'!C46),'Timeline Estacas'!C46,"")</f>
        <v>287</v>
      </c>
      <c r="D46" s="88" t="n">
        <f aca="false">IF(ISNUMBER('Timeline Estacas'!D46),'Timeline Estacas'!D46,"")</f>
        <v>42</v>
      </c>
      <c r="E46" s="88" t="str">
        <f aca="false">IF($D46="","","S-"&amp;TEXT($D46,"00"))</f>
        <v>S-42</v>
      </c>
      <c r="F46" s="88" t="n">
        <f aca="false">IF(ISNUMBER('Timeline Estacas'!F46),'Timeline Estacas'!F46,"")</f>
        <v>82</v>
      </c>
      <c r="G46" s="88" t="str">
        <f aca="false">IF($F46="","",IF('Timeline Estacas'!G46&lt;&gt;"",'Timeline Estacas'!G46,'Timeline Estacas'!I46))</f>
        <v>A</v>
      </c>
      <c r="H46" s="88" t="str">
        <f aca="false">IF(ISNUMBER('Timeline Estacas'!H46),'Timeline Estacas'!H46,"")</f>
        <v/>
      </c>
      <c r="I46" s="88" t="str">
        <f aca="false">IF($H46="","",'Timeline Estacas'!I46)</f>
        <v/>
      </c>
      <c r="J46" s="86" t="n">
        <f aca="false">IF(ISNUMBER('Timeline Estacas'!J46),'Timeline Estacas'!J46,"")</f>
        <v>46262</v>
      </c>
      <c r="K46" s="88" t="str">
        <f aca="false">IF('Timeline Estacas'!K46="","",'Timeline Estacas'!K46)</f>
        <v/>
      </c>
      <c r="L46" s="88" t="str">
        <f aca="false">IF('Timeline Estacas'!L46="","",'Timeline Estacas'!L46)</f>
        <v/>
      </c>
      <c r="M46" s="88" t="str">
        <f aca="false">IF('Timeline Estacas'!M46="","",'Timeline Estacas'!M46)</f>
        <v/>
      </c>
      <c r="N46" s="89" t="str">
        <f aca="false">IF('Timeline Estacas'!N46="","",'Timeline Estacas'!N46)</f>
        <v/>
      </c>
      <c r="O46" s="90" t="str">
        <f aca="false">IF(ISNUMBER('Timeline Estacas'!O46),'Timeline Estacas'!O46,"")</f>
        <v/>
      </c>
      <c r="P46" s="91" t="n">
        <f aca="false">IF($Q46&gt;0,1,0)</f>
        <v>1</v>
      </c>
      <c r="Q46" s="91" t="n">
        <f aca="false">IF($F46="",0,1)+IF($H46="",0,1)</f>
        <v>1</v>
      </c>
      <c r="R46" s="91" t="n">
        <f aca="false">IF($N46="",0,1)</f>
        <v>0</v>
      </c>
      <c r="S46" s="91" t="n">
        <f aca="false">IF($F46="",0,1)</f>
        <v>1</v>
      </c>
      <c r="T46" s="91" t="n">
        <f aca="false">IF($H46="",0,1)</f>
        <v>0</v>
      </c>
      <c r="U46" s="91" t="n">
        <f aca="false">IF($J46="",0,1)</f>
        <v>1</v>
      </c>
      <c r="V46" s="91" t="n">
        <f aca="true">IF($J46="",0,IF($J46&lt;=TODAY(),1,0))</f>
        <v>1</v>
      </c>
      <c r="W46" s="92" t="n">
        <f aca="false">IF($O46="",0,$O46)</f>
        <v>0</v>
      </c>
      <c r="X46" s="91" t="str">
        <f aca="false">IF($R46=1,SUM($R$2:$R46),"")</f>
        <v/>
      </c>
      <c r="Y46" s="91" t="n">
        <f aca="false">IF($F46="",0,IF(COUNTIF($F$2:$F46,$F46)+COUNTIF($H$2:$H46,$F46)&gt;1,1,0))+IF($H46="",0,IF(COUNTIF($F$2:$F46,$H46)+COUNTIF($H$2:$H46,$H46)&gt;1,1,0))</f>
        <v>0</v>
      </c>
      <c r="Z46" s="91" t="n">
        <f aca="false">IF($Q46=0,0,IF(COUNTIFS($A$2:$A46,$A46,$Q$2:$Q46,"&gt;0")=1,1,0))</f>
        <v>0</v>
      </c>
      <c r="AA46" s="93" t="n">
        <f aca="false">IF($Q46&gt;0,$A46,"")</f>
        <v>46248</v>
      </c>
      <c r="AB46" s="91" t="n">
        <f aca="false">IF($K46="",0,1)</f>
        <v>0</v>
      </c>
      <c r="AC46" s="91" t="n">
        <f aca="false">IF($L46="",0,1)</f>
        <v>0</v>
      </c>
      <c r="AD46" s="91" t="n">
        <f aca="false">IF($M46="",0,1)</f>
        <v>0</v>
      </c>
      <c r="AE46" s="91" t="n">
        <f aca="false">IF($Q46&gt;0,$D46,"")</f>
        <v>42</v>
      </c>
      <c r="AF46" s="1"/>
      <c r="AG46" s="1"/>
      <c r="AH46" s="1"/>
      <c r="AI46" s="1"/>
      <c r="AJ46" s="1"/>
      <c r="AK46" s="1"/>
      <c r="AL46" s="1"/>
      <c r="AM46" s="1"/>
      <c r="AN46" s="1"/>
    </row>
    <row r="47" customFormat="false" ht="18" hidden="false" customHeight="true" outlineLevel="0" collapsed="false">
      <c r="A47" s="86" t="n">
        <f aca="false">IF(ISNUMBER('Timeline Estacas'!A47),'Timeline Estacas'!A47,"")</f>
        <v>46248</v>
      </c>
      <c r="B47" s="87" t="n">
        <f aca="false">IF($A47="","",$A47)</f>
        <v>46248</v>
      </c>
      <c r="C47" s="88" t="n">
        <f aca="false">IF(ISNUMBER('Timeline Estacas'!C47),'Timeline Estacas'!C47,"")</f>
        <v>287</v>
      </c>
      <c r="D47" s="88" t="n">
        <f aca="false">IF(ISNUMBER('Timeline Estacas'!D47),'Timeline Estacas'!D47,"")</f>
        <v>42</v>
      </c>
      <c r="E47" s="88" t="str">
        <f aca="false">IF($D47="","","S-"&amp;TEXT($D47,"00"))</f>
        <v>S-42</v>
      </c>
      <c r="F47" s="88" t="n">
        <f aca="false">IF(ISNUMBER('Timeline Estacas'!F47),'Timeline Estacas'!F47,"")</f>
        <v>83</v>
      </c>
      <c r="G47" s="88" t="str">
        <f aca="false">IF($F47="","",IF('Timeline Estacas'!G47&lt;&gt;"",'Timeline Estacas'!G47,'Timeline Estacas'!I47))</f>
        <v>A</v>
      </c>
      <c r="H47" s="88" t="str">
        <f aca="false">IF(ISNUMBER('Timeline Estacas'!H47),'Timeline Estacas'!H47,"")</f>
        <v/>
      </c>
      <c r="I47" s="88" t="str">
        <f aca="false">IF($H47="","",'Timeline Estacas'!I47)</f>
        <v/>
      </c>
      <c r="J47" s="86" t="n">
        <f aca="false">IF(ISNUMBER('Timeline Estacas'!J47),'Timeline Estacas'!J47,"")</f>
        <v>46262</v>
      </c>
      <c r="K47" s="88" t="str">
        <f aca="false">IF('Timeline Estacas'!K47="","",'Timeline Estacas'!K47)</f>
        <v/>
      </c>
      <c r="L47" s="88" t="str">
        <f aca="false">IF('Timeline Estacas'!L47="","",'Timeline Estacas'!L47)</f>
        <v/>
      </c>
      <c r="M47" s="88" t="str">
        <f aca="false">IF('Timeline Estacas'!M47="","",'Timeline Estacas'!M47)</f>
        <v/>
      </c>
      <c r="N47" s="89" t="str">
        <f aca="false">IF('Timeline Estacas'!N47="","",'Timeline Estacas'!N47)</f>
        <v/>
      </c>
      <c r="O47" s="90" t="str">
        <f aca="false">IF(ISNUMBER('Timeline Estacas'!O47),'Timeline Estacas'!O47,"")</f>
        <v/>
      </c>
      <c r="P47" s="91" t="n">
        <f aca="false">IF($Q47&gt;0,1,0)</f>
        <v>1</v>
      </c>
      <c r="Q47" s="91" t="n">
        <f aca="false">IF($F47="",0,1)+IF($H47="",0,1)</f>
        <v>1</v>
      </c>
      <c r="R47" s="91" t="n">
        <f aca="false">IF($N47="",0,1)</f>
        <v>0</v>
      </c>
      <c r="S47" s="91" t="n">
        <f aca="false">IF($F47="",0,1)</f>
        <v>1</v>
      </c>
      <c r="T47" s="91" t="n">
        <f aca="false">IF($H47="",0,1)</f>
        <v>0</v>
      </c>
      <c r="U47" s="91" t="n">
        <f aca="false">IF($J47="",0,1)</f>
        <v>1</v>
      </c>
      <c r="V47" s="91" t="n">
        <f aca="true">IF($J47="",0,IF($J47&lt;=TODAY(),1,0))</f>
        <v>1</v>
      </c>
      <c r="W47" s="92" t="n">
        <f aca="false">IF($O47="",0,$O47)</f>
        <v>0</v>
      </c>
      <c r="X47" s="91" t="str">
        <f aca="false">IF($R47=1,SUM($R$2:$R47),"")</f>
        <v/>
      </c>
      <c r="Y47" s="91" t="n">
        <f aca="false">IF($F47="",0,IF(COUNTIF($F$2:$F47,$F47)+COUNTIF($H$2:$H47,$F47)&gt;1,1,0))+IF($H47="",0,IF(COUNTIF($F$2:$F47,$H47)+COUNTIF($H$2:$H47,$H47)&gt;1,1,0))</f>
        <v>0</v>
      </c>
      <c r="Z47" s="91" t="n">
        <f aca="false">IF($Q47=0,0,IF(COUNTIFS($A$2:$A47,$A47,$Q$2:$Q47,"&gt;0")=1,1,0))</f>
        <v>0</v>
      </c>
      <c r="AA47" s="93" t="n">
        <f aca="false">IF($Q47&gt;0,$A47,"")</f>
        <v>46248</v>
      </c>
      <c r="AB47" s="91" t="n">
        <f aca="false">IF($K47="",0,1)</f>
        <v>0</v>
      </c>
      <c r="AC47" s="91" t="n">
        <f aca="false">IF($L47="",0,1)</f>
        <v>0</v>
      </c>
      <c r="AD47" s="91" t="n">
        <f aca="false">IF($M47="",0,1)</f>
        <v>0</v>
      </c>
      <c r="AE47" s="91" t="n">
        <f aca="false">IF($Q47&gt;0,$D47,"")</f>
        <v>42</v>
      </c>
      <c r="AF47" s="1"/>
      <c r="AG47" s="1"/>
      <c r="AH47" s="1"/>
      <c r="AI47" s="1"/>
      <c r="AJ47" s="1"/>
      <c r="AK47" s="1"/>
      <c r="AL47" s="1"/>
      <c r="AM47" s="1"/>
      <c r="AN47" s="1"/>
    </row>
    <row r="48" customFormat="false" ht="18" hidden="false" customHeight="true" outlineLevel="0" collapsed="false">
      <c r="A48" s="86" t="n">
        <f aca="false">IF(ISNUMBER('Timeline Estacas'!A48),'Timeline Estacas'!A48,"")</f>
        <v>46248</v>
      </c>
      <c r="B48" s="87" t="n">
        <f aca="false">IF($A48="","",$A48)</f>
        <v>46248</v>
      </c>
      <c r="C48" s="88" t="n">
        <f aca="false">IF(ISNUMBER('Timeline Estacas'!C48),'Timeline Estacas'!C48,"")</f>
        <v>287</v>
      </c>
      <c r="D48" s="88" t="n">
        <f aca="false">IF(ISNUMBER('Timeline Estacas'!D48),'Timeline Estacas'!D48,"")</f>
        <v>42</v>
      </c>
      <c r="E48" s="88" t="str">
        <f aca="false">IF($D48="","","S-"&amp;TEXT($D48,"00"))</f>
        <v>S-42</v>
      </c>
      <c r="F48" s="88" t="n">
        <f aca="false">IF(ISNUMBER('Timeline Estacas'!F48),'Timeline Estacas'!F48,"")</f>
        <v>88</v>
      </c>
      <c r="G48" s="88" t="str">
        <f aca="false">IF($F48="","",IF('Timeline Estacas'!G48&lt;&gt;"",'Timeline Estacas'!G48,'Timeline Estacas'!I48))</f>
        <v>A</v>
      </c>
      <c r="H48" s="88" t="str">
        <f aca="false">IF(ISNUMBER('Timeline Estacas'!H48),'Timeline Estacas'!H48,"")</f>
        <v/>
      </c>
      <c r="I48" s="88" t="str">
        <f aca="false">IF($H48="","",'Timeline Estacas'!I48)</f>
        <v/>
      </c>
      <c r="J48" s="86" t="n">
        <f aca="false">IF(ISNUMBER('Timeline Estacas'!J48),'Timeline Estacas'!J48,"")</f>
        <v>46262</v>
      </c>
      <c r="K48" s="88" t="str">
        <f aca="false">IF('Timeline Estacas'!K48="","",'Timeline Estacas'!K48)</f>
        <v/>
      </c>
      <c r="L48" s="88" t="str">
        <f aca="false">IF('Timeline Estacas'!L48="","",'Timeline Estacas'!L48)</f>
        <v/>
      </c>
      <c r="M48" s="88" t="str">
        <f aca="false">IF('Timeline Estacas'!M48="","",'Timeline Estacas'!M48)</f>
        <v/>
      </c>
      <c r="N48" s="89" t="str">
        <f aca="false">IF('Timeline Estacas'!N48="","",'Timeline Estacas'!N48)</f>
        <v/>
      </c>
      <c r="O48" s="90" t="str">
        <f aca="false">IF(ISNUMBER('Timeline Estacas'!O48),'Timeline Estacas'!O48,"")</f>
        <v/>
      </c>
      <c r="P48" s="91" t="n">
        <f aca="false">IF($Q48&gt;0,1,0)</f>
        <v>1</v>
      </c>
      <c r="Q48" s="91" t="n">
        <f aca="false">IF($F48="",0,1)+IF($H48="",0,1)</f>
        <v>1</v>
      </c>
      <c r="R48" s="91" t="n">
        <f aca="false">IF($N48="",0,1)</f>
        <v>0</v>
      </c>
      <c r="S48" s="91" t="n">
        <f aca="false">IF($F48="",0,1)</f>
        <v>1</v>
      </c>
      <c r="T48" s="91" t="n">
        <f aca="false">IF($H48="",0,1)</f>
        <v>0</v>
      </c>
      <c r="U48" s="91" t="n">
        <f aca="false">IF($J48="",0,1)</f>
        <v>1</v>
      </c>
      <c r="V48" s="91" t="n">
        <f aca="true">IF($J48="",0,IF($J48&lt;=TODAY(),1,0))</f>
        <v>1</v>
      </c>
      <c r="W48" s="92" t="n">
        <f aca="false">IF($O48="",0,$O48)</f>
        <v>0</v>
      </c>
      <c r="X48" s="91" t="str">
        <f aca="false">IF($R48=1,SUM($R$2:$R48),"")</f>
        <v/>
      </c>
      <c r="Y48" s="91" t="n">
        <f aca="false">IF($F48="",0,IF(COUNTIF($F$2:$F48,$F48)+COUNTIF($H$2:$H48,$F48)&gt;1,1,0))+IF($H48="",0,IF(COUNTIF($F$2:$F48,$H48)+COUNTIF($H$2:$H48,$H48)&gt;1,1,0))</f>
        <v>0</v>
      </c>
      <c r="Z48" s="91" t="n">
        <f aca="false">IF($Q48=0,0,IF(COUNTIFS($A$2:$A48,$A48,$Q$2:$Q48,"&gt;0")=1,1,0))</f>
        <v>0</v>
      </c>
      <c r="AA48" s="93" t="n">
        <f aca="false">IF($Q48&gt;0,$A48,"")</f>
        <v>46248</v>
      </c>
      <c r="AB48" s="91" t="n">
        <f aca="false">IF($K48="",0,1)</f>
        <v>0</v>
      </c>
      <c r="AC48" s="91" t="n">
        <f aca="false">IF($L48="",0,1)</f>
        <v>0</v>
      </c>
      <c r="AD48" s="91" t="n">
        <f aca="false">IF($M48="",0,1)</f>
        <v>0</v>
      </c>
      <c r="AE48" s="91" t="n">
        <f aca="false">IF($Q48&gt;0,$D48,"")</f>
        <v>42</v>
      </c>
      <c r="AF48" s="1"/>
      <c r="AG48" s="1"/>
      <c r="AH48" s="1"/>
      <c r="AI48" s="1"/>
      <c r="AJ48" s="1"/>
      <c r="AK48" s="1"/>
      <c r="AL48" s="1"/>
      <c r="AM48" s="1"/>
      <c r="AN48" s="1"/>
    </row>
    <row r="49" customFormat="false" ht="18" hidden="false" customHeight="true" outlineLevel="0" collapsed="false">
      <c r="A49" s="86" t="n">
        <f aca="false">IF(ISNUMBER('Timeline Estacas'!A49),'Timeline Estacas'!A49,"")</f>
        <v>46248</v>
      </c>
      <c r="B49" s="87" t="n">
        <f aca="false">IF($A49="","",$A49)</f>
        <v>46248</v>
      </c>
      <c r="C49" s="88" t="n">
        <f aca="false">IF(ISNUMBER('Timeline Estacas'!C49),'Timeline Estacas'!C49,"")</f>
        <v>287</v>
      </c>
      <c r="D49" s="88" t="n">
        <f aca="false">IF(ISNUMBER('Timeline Estacas'!D49),'Timeline Estacas'!D49,"")</f>
        <v>42</v>
      </c>
      <c r="E49" s="88" t="str">
        <f aca="false">IF($D49="","","S-"&amp;TEXT($D49,"00"))</f>
        <v>S-42</v>
      </c>
      <c r="F49" s="88" t="n">
        <f aca="false">IF(ISNUMBER('Timeline Estacas'!F49),'Timeline Estacas'!F49,"")</f>
        <v>92</v>
      </c>
      <c r="G49" s="88" t="str">
        <f aca="false">IF($F49="","",IF('Timeline Estacas'!G49&lt;&gt;"",'Timeline Estacas'!G49,'Timeline Estacas'!I49))</f>
        <v>A</v>
      </c>
      <c r="H49" s="88" t="str">
        <f aca="false">IF(ISNUMBER('Timeline Estacas'!H49),'Timeline Estacas'!H49,"")</f>
        <v/>
      </c>
      <c r="I49" s="88" t="str">
        <f aca="false">IF($H49="","",'Timeline Estacas'!I49)</f>
        <v/>
      </c>
      <c r="J49" s="86" t="n">
        <f aca="false">IF(ISNUMBER('Timeline Estacas'!J49),'Timeline Estacas'!J49,"")</f>
        <v>46262</v>
      </c>
      <c r="K49" s="88" t="str">
        <f aca="false">IF('Timeline Estacas'!K49="","",'Timeline Estacas'!K49)</f>
        <v/>
      </c>
      <c r="L49" s="88" t="str">
        <f aca="false">IF('Timeline Estacas'!L49="","",'Timeline Estacas'!L49)</f>
        <v/>
      </c>
      <c r="M49" s="88" t="str">
        <f aca="false">IF('Timeline Estacas'!M49="","",'Timeline Estacas'!M49)</f>
        <v/>
      </c>
      <c r="N49" s="89" t="str">
        <f aca="false">IF('Timeline Estacas'!N49="","",'Timeline Estacas'!N49)</f>
        <v/>
      </c>
      <c r="O49" s="90" t="str">
        <f aca="false">IF(ISNUMBER('Timeline Estacas'!O49),'Timeline Estacas'!O49,"")</f>
        <v/>
      </c>
      <c r="P49" s="91" t="n">
        <f aca="false">IF($Q49&gt;0,1,0)</f>
        <v>1</v>
      </c>
      <c r="Q49" s="91" t="n">
        <f aca="false">IF($F49="",0,1)+IF($H49="",0,1)</f>
        <v>1</v>
      </c>
      <c r="R49" s="91" t="n">
        <f aca="false">IF($N49="",0,1)</f>
        <v>0</v>
      </c>
      <c r="S49" s="91" t="n">
        <f aca="false">IF($F49="",0,1)</f>
        <v>1</v>
      </c>
      <c r="T49" s="91" t="n">
        <f aca="false">IF($H49="",0,1)</f>
        <v>0</v>
      </c>
      <c r="U49" s="91" t="n">
        <f aca="false">IF($J49="",0,1)</f>
        <v>1</v>
      </c>
      <c r="V49" s="91" t="n">
        <f aca="true">IF($J49="",0,IF($J49&lt;=TODAY(),1,0))</f>
        <v>1</v>
      </c>
      <c r="W49" s="92" t="n">
        <f aca="false">IF($O49="",0,$O49)</f>
        <v>0</v>
      </c>
      <c r="X49" s="91" t="str">
        <f aca="false">IF($R49=1,SUM($R$2:$R49),"")</f>
        <v/>
      </c>
      <c r="Y49" s="91" t="n">
        <f aca="false">IF($F49="",0,IF(COUNTIF($F$2:$F49,$F49)+COUNTIF($H$2:$H49,$F49)&gt;1,1,0))+IF($H49="",0,IF(COUNTIF($F$2:$F49,$H49)+COUNTIF($H$2:$H49,$H49)&gt;1,1,0))</f>
        <v>0</v>
      </c>
      <c r="Z49" s="91" t="n">
        <f aca="false">IF($Q49=0,0,IF(COUNTIFS($A$2:$A49,$A49,$Q$2:$Q49,"&gt;0")=1,1,0))</f>
        <v>0</v>
      </c>
      <c r="AA49" s="93" t="n">
        <f aca="false">IF($Q49&gt;0,$A49,"")</f>
        <v>46248</v>
      </c>
      <c r="AB49" s="91" t="n">
        <f aca="false">IF($K49="",0,1)</f>
        <v>0</v>
      </c>
      <c r="AC49" s="91" t="n">
        <f aca="false">IF($L49="",0,1)</f>
        <v>0</v>
      </c>
      <c r="AD49" s="91" t="n">
        <f aca="false">IF($M49="",0,1)</f>
        <v>0</v>
      </c>
      <c r="AE49" s="91" t="n">
        <f aca="false">IF($Q49&gt;0,$D49,"")</f>
        <v>42</v>
      </c>
      <c r="AF49" s="1"/>
      <c r="AG49" s="1"/>
      <c r="AH49" s="1"/>
      <c r="AI49" s="1"/>
      <c r="AJ49" s="1"/>
      <c r="AK49" s="1"/>
      <c r="AL49" s="1"/>
      <c r="AM49" s="1"/>
      <c r="AN49" s="1"/>
    </row>
    <row r="50" customFormat="false" ht="18" hidden="false" customHeight="true" outlineLevel="0" collapsed="false">
      <c r="A50" s="86" t="n">
        <f aca="false">IF(ISNUMBER('Timeline Estacas'!A50),'Timeline Estacas'!A50,"")</f>
        <v>46248</v>
      </c>
      <c r="B50" s="87" t="n">
        <f aca="false">IF($A50="","",$A50)</f>
        <v>46248</v>
      </c>
      <c r="C50" s="88" t="n">
        <f aca="false">IF(ISNUMBER('Timeline Estacas'!C50),'Timeline Estacas'!C50,"")</f>
        <v>287</v>
      </c>
      <c r="D50" s="88" t="n">
        <f aca="false">IF(ISNUMBER('Timeline Estacas'!D50),'Timeline Estacas'!D50,"")</f>
        <v>42</v>
      </c>
      <c r="E50" s="88" t="str">
        <f aca="false">IF($D50="","","S-"&amp;TEXT($D50,"00"))</f>
        <v>S-42</v>
      </c>
      <c r="F50" s="88" t="n">
        <f aca="false">IF(ISNUMBER('Timeline Estacas'!F50),'Timeline Estacas'!F50,"")</f>
        <v>96</v>
      </c>
      <c r="G50" s="88" t="str">
        <f aca="false">IF($F50="","",IF('Timeline Estacas'!G50&lt;&gt;"",'Timeline Estacas'!G50,'Timeline Estacas'!I50))</f>
        <v>A</v>
      </c>
      <c r="H50" s="88" t="str">
        <f aca="false">IF(ISNUMBER('Timeline Estacas'!H50),'Timeline Estacas'!H50,"")</f>
        <v/>
      </c>
      <c r="I50" s="88" t="str">
        <f aca="false">IF($H50="","",'Timeline Estacas'!I50)</f>
        <v/>
      </c>
      <c r="J50" s="86" t="n">
        <f aca="false">IF(ISNUMBER('Timeline Estacas'!J50),'Timeline Estacas'!J50,"")</f>
        <v>46262</v>
      </c>
      <c r="K50" s="88" t="str">
        <f aca="false">IF('Timeline Estacas'!K50="","",'Timeline Estacas'!K50)</f>
        <v/>
      </c>
      <c r="L50" s="88" t="str">
        <f aca="false">IF('Timeline Estacas'!L50="","",'Timeline Estacas'!L50)</f>
        <v/>
      </c>
      <c r="M50" s="88" t="str">
        <f aca="false">IF('Timeline Estacas'!M50="","",'Timeline Estacas'!M50)</f>
        <v/>
      </c>
      <c r="N50" s="89" t="str">
        <f aca="false">IF('Timeline Estacas'!N50="","",'Timeline Estacas'!N50)</f>
        <v/>
      </c>
      <c r="O50" s="90" t="str">
        <f aca="false">IF(ISNUMBER('Timeline Estacas'!O50),'Timeline Estacas'!O50,"")</f>
        <v/>
      </c>
      <c r="P50" s="91" t="n">
        <f aca="false">IF($Q50&gt;0,1,0)</f>
        <v>1</v>
      </c>
      <c r="Q50" s="91" t="n">
        <f aca="false">IF($F50="",0,1)+IF($H50="",0,1)</f>
        <v>1</v>
      </c>
      <c r="R50" s="91" t="n">
        <f aca="false">IF($N50="",0,1)</f>
        <v>0</v>
      </c>
      <c r="S50" s="91" t="n">
        <f aca="false">IF($F50="",0,1)</f>
        <v>1</v>
      </c>
      <c r="T50" s="91" t="n">
        <f aca="false">IF($H50="",0,1)</f>
        <v>0</v>
      </c>
      <c r="U50" s="91" t="n">
        <f aca="false">IF($J50="",0,1)</f>
        <v>1</v>
      </c>
      <c r="V50" s="91" t="n">
        <f aca="true">IF($J50="",0,IF($J50&lt;=TODAY(),1,0))</f>
        <v>1</v>
      </c>
      <c r="W50" s="92" t="n">
        <f aca="false">IF($O50="",0,$O50)</f>
        <v>0</v>
      </c>
      <c r="X50" s="91" t="str">
        <f aca="false">IF($R50=1,SUM($R$2:$R50),"")</f>
        <v/>
      </c>
      <c r="Y50" s="91" t="n">
        <f aca="false">IF($F50="",0,IF(COUNTIF($F$2:$F50,$F50)+COUNTIF($H$2:$H50,$F50)&gt;1,1,0))+IF($H50="",0,IF(COUNTIF($F$2:$F50,$H50)+COUNTIF($H$2:$H50,$H50)&gt;1,1,0))</f>
        <v>0</v>
      </c>
      <c r="Z50" s="91" t="n">
        <f aca="false">IF($Q50=0,0,IF(COUNTIFS($A$2:$A50,$A50,$Q$2:$Q50,"&gt;0")=1,1,0))</f>
        <v>0</v>
      </c>
      <c r="AA50" s="93" t="n">
        <f aca="false">IF($Q50&gt;0,$A50,"")</f>
        <v>46248</v>
      </c>
      <c r="AB50" s="91" t="n">
        <f aca="false">IF($K50="",0,1)</f>
        <v>0</v>
      </c>
      <c r="AC50" s="91" t="n">
        <f aca="false">IF($L50="",0,1)</f>
        <v>0</v>
      </c>
      <c r="AD50" s="91" t="n">
        <f aca="false">IF($M50="",0,1)</f>
        <v>0</v>
      </c>
      <c r="AE50" s="91" t="n">
        <f aca="false">IF($Q50&gt;0,$D50,"")</f>
        <v>42</v>
      </c>
      <c r="AF50" s="1"/>
      <c r="AG50" s="1"/>
      <c r="AH50" s="1"/>
      <c r="AI50" s="1"/>
      <c r="AJ50" s="1"/>
      <c r="AK50" s="1"/>
      <c r="AL50" s="1"/>
      <c r="AM50" s="1"/>
      <c r="AN50" s="1"/>
    </row>
    <row r="51" customFormat="false" ht="18" hidden="false" customHeight="true" outlineLevel="0" collapsed="false">
      <c r="A51" s="86" t="n">
        <f aca="false">IF(ISNUMBER('Timeline Estacas'!A51),'Timeline Estacas'!A51,"")</f>
        <v>46248</v>
      </c>
      <c r="B51" s="87" t="n">
        <f aca="false">IF($A51="","",$A51)</f>
        <v>46248</v>
      </c>
      <c r="C51" s="88" t="n">
        <f aca="false">IF(ISNUMBER('Timeline Estacas'!C51),'Timeline Estacas'!C51,"")</f>
        <v>287</v>
      </c>
      <c r="D51" s="88" t="n">
        <f aca="false">IF(ISNUMBER('Timeline Estacas'!D51),'Timeline Estacas'!D51,"")</f>
        <v>42</v>
      </c>
      <c r="E51" s="88" t="str">
        <f aca="false">IF($D51="","","S-"&amp;TEXT($D51,"00"))</f>
        <v>S-42</v>
      </c>
      <c r="F51" s="88" t="n">
        <f aca="false">IF(ISNUMBER('Timeline Estacas'!F51),'Timeline Estacas'!F51,"")</f>
        <v>104</v>
      </c>
      <c r="G51" s="88" t="str">
        <f aca="false">IF($F51="","",IF('Timeline Estacas'!G51&lt;&gt;"",'Timeline Estacas'!G51,'Timeline Estacas'!I51))</f>
        <v>A</v>
      </c>
      <c r="H51" s="88" t="str">
        <f aca="false">IF(ISNUMBER('Timeline Estacas'!H51),'Timeline Estacas'!H51,"")</f>
        <v/>
      </c>
      <c r="I51" s="88" t="str">
        <f aca="false">IF($H51="","",'Timeline Estacas'!I51)</f>
        <v/>
      </c>
      <c r="J51" s="86" t="n">
        <f aca="false">IF(ISNUMBER('Timeline Estacas'!J51),'Timeline Estacas'!J51,"")</f>
        <v>46262</v>
      </c>
      <c r="K51" s="88" t="str">
        <f aca="false">IF('Timeline Estacas'!K51="","",'Timeline Estacas'!K51)</f>
        <v/>
      </c>
      <c r="L51" s="88" t="str">
        <f aca="false">IF('Timeline Estacas'!L51="","",'Timeline Estacas'!L51)</f>
        <v/>
      </c>
      <c r="M51" s="88" t="str">
        <f aca="false">IF('Timeline Estacas'!M51="","",'Timeline Estacas'!M51)</f>
        <v/>
      </c>
      <c r="N51" s="89" t="str">
        <f aca="false">IF('Timeline Estacas'!N51="","",'Timeline Estacas'!N51)</f>
        <v/>
      </c>
      <c r="O51" s="90" t="str">
        <f aca="false">IF(ISNUMBER('Timeline Estacas'!O51),'Timeline Estacas'!O51,"")</f>
        <v/>
      </c>
      <c r="P51" s="91" t="n">
        <f aca="false">IF($Q51&gt;0,1,0)</f>
        <v>1</v>
      </c>
      <c r="Q51" s="91" t="n">
        <f aca="false">IF($F51="",0,1)+IF($H51="",0,1)</f>
        <v>1</v>
      </c>
      <c r="R51" s="91" t="n">
        <f aca="false">IF($N51="",0,1)</f>
        <v>0</v>
      </c>
      <c r="S51" s="91" t="n">
        <f aca="false">IF($F51="",0,1)</f>
        <v>1</v>
      </c>
      <c r="T51" s="91" t="n">
        <f aca="false">IF($H51="",0,1)</f>
        <v>0</v>
      </c>
      <c r="U51" s="91" t="n">
        <f aca="false">IF($J51="",0,1)</f>
        <v>1</v>
      </c>
      <c r="V51" s="91" t="n">
        <f aca="true">IF($J51="",0,IF($J51&lt;=TODAY(),1,0))</f>
        <v>1</v>
      </c>
      <c r="W51" s="92" t="n">
        <f aca="false">IF($O51="",0,$O51)</f>
        <v>0</v>
      </c>
      <c r="X51" s="91" t="str">
        <f aca="false">IF($R51=1,SUM($R$2:$R51),"")</f>
        <v/>
      </c>
      <c r="Y51" s="91" t="n">
        <f aca="false">IF($F51="",0,IF(COUNTIF($F$2:$F51,$F51)+COUNTIF($H$2:$H51,$F51)&gt;1,1,0))+IF($H51="",0,IF(COUNTIF($F$2:$F51,$H51)+COUNTIF($H$2:$H51,$H51)&gt;1,1,0))</f>
        <v>0</v>
      </c>
      <c r="Z51" s="91" t="n">
        <f aca="false">IF($Q51=0,0,IF(COUNTIFS($A$2:$A51,$A51,$Q$2:$Q51,"&gt;0")=1,1,0))</f>
        <v>0</v>
      </c>
      <c r="AA51" s="93" t="n">
        <f aca="false">IF($Q51&gt;0,$A51,"")</f>
        <v>46248</v>
      </c>
      <c r="AB51" s="91" t="n">
        <f aca="false">IF($K51="",0,1)</f>
        <v>0</v>
      </c>
      <c r="AC51" s="91" t="n">
        <f aca="false">IF($L51="",0,1)</f>
        <v>0</v>
      </c>
      <c r="AD51" s="91" t="n">
        <f aca="false">IF($M51="",0,1)</f>
        <v>0</v>
      </c>
      <c r="AE51" s="91" t="n">
        <f aca="false">IF($Q51&gt;0,$D51,"")</f>
        <v>42</v>
      </c>
      <c r="AF51" s="1"/>
      <c r="AG51" s="1"/>
      <c r="AH51" s="1"/>
      <c r="AI51" s="1"/>
      <c r="AJ51" s="1"/>
      <c r="AK51" s="1"/>
      <c r="AL51" s="1"/>
      <c r="AM51" s="1"/>
      <c r="AN51" s="1"/>
    </row>
    <row r="52" customFormat="false" ht="18" hidden="false" customHeight="true" outlineLevel="0" collapsed="false">
      <c r="A52" s="86" t="n">
        <f aca="false">IF(ISNUMBER('Timeline Estacas'!A52),'Timeline Estacas'!A52,"")</f>
        <v>46249</v>
      </c>
      <c r="B52" s="87" t="n">
        <f aca="false">IF($A52="","",$A52)</f>
        <v>46249</v>
      </c>
      <c r="C52" s="88" t="n">
        <f aca="false">IF(ISNUMBER('Timeline Estacas'!C52),'Timeline Estacas'!C52,"")</f>
        <v>288</v>
      </c>
      <c r="D52" s="88" t="n">
        <f aca="false">IF(ISNUMBER('Timeline Estacas'!D52),'Timeline Estacas'!D52,"")</f>
        <v>42</v>
      </c>
      <c r="E52" s="88" t="str">
        <f aca="false">IF($D52="","","S-"&amp;TEXT($D52,"00"))</f>
        <v>S-42</v>
      </c>
      <c r="F52" s="88" t="str">
        <f aca="false">IF(ISNUMBER('Timeline Estacas'!F52),'Timeline Estacas'!F52,"")</f>
        <v/>
      </c>
      <c r="G52" s="88" t="str">
        <f aca="false">IF($F52="","",IF('Timeline Estacas'!G52&lt;&gt;"",'Timeline Estacas'!G52,'Timeline Estacas'!I52))</f>
        <v/>
      </c>
      <c r="H52" s="88" t="str">
        <f aca="false">IF(ISNUMBER('Timeline Estacas'!H52),'Timeline Estacas'!H52,"")</f>
        <v/>
      </c>
      <c r="I52" s="88" t="str">
        <f aca="false">IF($H52="","",'Timeline Estacas'!I52)</f>
        <v/>
      </c>
      <c r="J52" s="86" t="str">
        <f aca="false">IF(ISNUMBER('Timeline Estacas'!J52),'Timeline Estacas'!J52,"")</f>
        <v/>
      </c>
      <c r="K52" s="88" t="str">
        <f aca="false">IF('Timeline Estacas'!K52="","",'Timeline Estacas'!K52)</f>
        <v/>
      </c>
      <c r="L52" s="88" t="str">
        <f aca="false">IF('Timeline Estacas'!L52="","",'Timeline Estacas'!L52)</f>
        <v/>
      </c>
      <c r="M52" s="88" t="str">
        <f aca="false">IF('Timeline Estacas'!M52="","",'Timeline Estacas'!M52)</f>
        <v/>
      </c>
      <c r="N52" s="89" t="str">
        <f aca="false">IF('Timeline Estacas'!N52="","",'Timeline Estacas'!N52)</f>
        <v/>
      </c>
      <c r="O52" s="90" t="str">
        <f aca="false">IF(ISNUMBER('Timeline Estacas'!O52),'Timeline Estacas'!O52,"")</f>
        <v/>
      </c>
      <c r="P52" s="91" t="n">
        <f aca="false">IF($Q52&gt;0,1,0)</f>
        <v>0</v>
      </c>
      <c r="Q52" s="91" t="n">
        <f aca="false">IF($F52="",0,1)+IF($H52="",0,1)</f>
        <v>0</v>
      </c>
      <c r="R52" s="91" t="n">
        <f aca="false">IF($N52="",0,1)</f>
        <v>0</v>
      </c>
      <c r="S52" s="91" t="n">
        <f aca="false">IF($F52="",0,1)</f>
        <v>0</v>
      </c>
      <c r="T52" s="91" t="n">
        <f aca="false">IF($H52="",0,1)</f>
        <v>0</v>
      </c>
      <c r="U52" s="91" t="n">
        <f aca="false">IF($J52="",0,1)</f>
        <v>0</v>
      </c>
      <c r="V52" s="91" t="n">
        <f aca="true">IF($J52="",0,IF($J52&lt;=TODAY(),1,0))</f>
        <v>0</v>
      </c>
      <c r="W52" s="92" t="n">
        <f aca="false">IF($O52="",0,$O52)</f>
        <v>0</v>
      </c>
      <c r="X52" s="91" t="str">
        <f aca="false">IF($R52=1,SUM($R$2:$R52),"")</f>
        <v/>
      </c>
      <c r="Y52" s="91" t="n">
        <f aca="false">IF($F52="",0,IF(COUNTIF($F$2:$F52,$F52)+COUNTIF($H$2:$H52,$F52)&gt;1,1,0))+IF($H52="",0,IF(COUNTIF($F$2:$F52,$H52)+COUNTIF($H$2:$H52,$H52)&gt;1,1,0))</f>
        <v>0</v>
      </c>
      <c r="Z52" s="91" t="n">
        <f aca="false">IF($Q52=0,0,IF(COUNTIFS($A$2:$A52,$A52,$Q$2:$Q52,"&gt;0")=1,1,0))</f>
        <v>0</v>
      </c>
      <c r="AA52" s="93" t="str">
        <f aca="false">IF($Q52&gt;0,$A52,"")</f>
        <v/>
      </c>
      <c r="AB52" s="91" t="n">
        <f aca="false">IF($K52="",0,1)</f>
        <v>0</v>
      </c>
      <c r="AC52" s="91" t="n">
        <f aca="false">IF($L52="",0,1)</f>
        <v>0</v>
      </c>
      <c r="AD52" s="91" t="n">
        <f aca="false">IF($M52="",0,1)</f>
        <v>0</v>
      </c>
      <c r="AE52" s="91" t="str">
        <f aca="false">IF($Q52&gt;0,$D52,"")</f>
        <v/>
      </c>
      <c r="AF52" s="1"/>
      <c r="AG52" s="1"/>
      <c r="AH52" s="1"/>
      <c r="AI52" s="1"/>
      <c r="AJ52" s="1"/>
      <c r="AK52" s="1"/>
      <c r="AL52" s="1"/>
      <c r="AM52" s="1"/>
      <c r="AN52" s="1"/>
    </row>
    <row r="53" customFormat="false" ht="18" hidden="false" customHeight="true" outlineLevel="0" collapsed="false">
      <c r="A53" s="86" t="n">
        <f aca="false">IF(ISNUMBER('Timeline Estacas'!A53),'Timeline Estacas'!A53,"")</f>
        <v>46250</v>
      </c>
      <c r="B53" s="87" t="n">
        <f aca="false">IF($A53="","",$A53)</f>
        <v>46250</v>
      </c>
      <c r="C53" s="88" t="n">
        <f aca="false">IF(ISNUMBER('Timeline Estacas'!C53),'Timeline Estacas'!C53,"")</f>
        <v>289</v>
      </c>
      <c r="D53" s="88" t="n">
        <f aca="false">IF(ISNUMBER('Timeline Estacas'!D53),'Timeline Estacas'!D53,"")</f>
        <v>42</v>
      </c>
      <c r="E53" s="88" t="str">
        <f aca="false">IF($D53="","","S-"&amp;TEXT($D53,"00"))</f>
        <v>S-42</v>
      </c>
      <c r="F53" s="88" t="str">
        <f aca="false">IF(ISNUMBER('Timeline Estacas'!F53),'Timeline Estacas'!F53,"")</f>
        <v/>
      </c>
      <c r="G53" s="88" t="str">
        <f aca="false">IF($F53="","",IF('Timeline Estacas'!G53&lt;&gt;"",'Timeline Estacas'!G53,'Timeline Estacas'!I53))</f>
        <v/>
      </c>
      <c r="H53" s="88" t="str">
        <f aca="false">IF(ISNUMBER('Timeline Estacas'!H53),'Timeline Estacas'!H53,"")</f>
        <v/>
      </c>
      <c r="I53" s="88" t="str">
        <f aca="false">IF($H53="","",'Timeline Estacas'!I53)</f>
        <v/>
      </c>
      <c r="J53" s="86" t="str">
        <f aca="false">IF(ISNUMBER('Timeline Estacas'!J53),'Timeline Estacas'!J53,"")</f>
        <v/>
      </c>
      <c r="K53" s="88" t="str">
        <f aca="false">IF('Timeline Estacas'!K53="","",'Timeline Estacas'!K53)</f>
        <v/>
      </c>
      <c r="L53" s="88" t="str">
        <f aca="false">IF('Timeline Estacas'!L53="","",'Timeline Estacas'!L53)</f>
        <v/>
      </c>
      <c r="M53" s="88" t="str">
        <f aca="false">IF('Timeline Estacas'!M53="","",'Timeline Estacas'!M53)</f>
        <v/>
      </c>
      <c r="N53" s="89" t="str">
        <f aca="false">IF('Timeline Estacas'!N53="","",'Timeline Estacas'!N53)</f>
        <v/>
      </c>
      <c r="O53" s="90" t="str">
        <f aca="false">IF(ISNUMBER('Timeline Estacas'!O53),'Timeline Estacas'!O53,"")</f>
        <v/>
      </c>
      <c r="P53" s="91" t="n">
        <f aca="false">IF($Q53&gt;0,1,0)</f>
        <v>0</v>
      </c>
      <c r="Q53" s="91" t="n">
        <f aca="false">IF($F53="",0,1)+IF($H53="",0,1)</f>
        <v>0</v>
      </c>
      <c r="R53" s="91" t="n">
        <f aca="false">IF($N53="",0,1)</f>
        <v>0</v>
      </c>
      <c r="S53" s="91" t="n">
        <f aca="false">IF($F53="",0,1)</f>
        <v>0</v>
      </c>
      <c r="T53" s="91" t="n">
        <f aca="false">IF($H53="",0,1)</f>
        <v>0</v>
      </c>
      <c r="U53" s="91" t="n">
        <f aca="false">IF($J53="",0,1)</f>
        <v>0</v>
      </c>
      <c r="V53" s="91" t="n">
        <f aca="true">IF($J53="",0,IF($J53&lt;=TODAY(),1,0))</f>
        <v>0</v>
      </c>
      <c r="W53" s="92" t="n">
        <f aca="false">IF($O53="",0,$O53)</f>
        <v>0</v>
      </c>
      <c r="X53" s="91" t="str">
        <f aca="false">IF($R53=1,SUM($R$2:$R53),"")</f>
        <v/>
      </c>
      <c r="Y53" s="91" t="n">
        <f aca="false">IF($F53="",0,IF(COUNTIF($F$2:$F53,$F53)+COUNTIF($H$2:$H53,$F53)&gt;1,1,0))+IF($H53="",0,IF(COUNTIF($F$2:$F53,$H53)+COUNTIF($H$2:$H53,$H53)&gt;1,1,0))</f>
        <v>0</v>
      </c>
      <c r="Z53" s="91" t="n">
        <f aca="false">IF($Q53=0,0,IF(COUNTIFS($A$2:$A53,$A53,$Q$2:$Q53,"&gt;0")=1,1,0))</f>
        <v>0</v>
      </c>
      <c r="AA53" s="93" t="str">
        <f aca="false">IF($Q53&gt;0,$A53,"")</f>
        <v/>
      </c>
      <c r="AB53" s="91" t="n">
        <f aca="false">IF($K53="",0,1)</f>
        <v>0</v>
      </c>
      <c r="AC53" s="91" t="n">
        <f aca="false">IF($L53="",0,1)</f>
        <v>0</v>
      </c>
      <c r="AD53" s="91" t="n">
        <f aca="false">IF($M53="",0,1)</f>
        <v>0</v>
      </c>
      <c r="AE53" s="91" t="str">
        <f aca="false">IF($Q53&gt;0,$D53,"")</f>
        <v/>
      </c>
      <c r="AF53" s="1"/>
      <c r="AG53" s="1"/>
      <c r="AH53" s="1"/>
      <c r="AI53" s="1"/>
      <c r="AJ53" s="1"/>
      <c r="AK53" s="1"/>
      <c r="AL53" s="1"/>
      <c r="AM53" s="1"/>
      <c r="AN53" s="1"/>
    </row>
    <row r="54" customFormat="false" ht="18" hidden="false" customHeight="true" outlineLevel="0" collapsed="false">
      <c r="A54" s="86" t="n">
        <f aca="false">IF(ISNUMBER('Timeline Estacas'!A54),'Timeline Estacas'!A54,"")</f>
        <v>46251</v>
      </c>
      <c r="B54" s="87" t="n">
        <f aca="false">IF($A54="","",$A54)</f>
        <v>46251</v>
      </c>
      <c r="C54" s="88" t="n">
        <f aca="false">IF(ISNUMBER('Timeline Estacas'!C54),'Timeline Estacas'!C54,"")</f>
        <v>290</v>
      </c>
      <c r="D54" s="88" t="n">
        <f aca="false">IF(ISNUMBER('Timeline Estacas'!D54),'Timeline Estacas'!D54,"")</f>
        <v>42</v>
      </c>
      <c r="E54" s="88" t="str">
        <f aca="false">IF($D54="","","S-"&amp;TEXT($D54,"00"))</f>
        <v>S-42</v>
      </c>
      <c r="F54" s="88" t="n">
        <f aca="false">IF(ISNUMBER('Timeline Estacas'!F54),'Timeline Estacas'!F54,"")</f>
        <v>28</v>
      </c>
      <c r="G54" s="88" t="str">
        <f aca="false">IF($F54="","",IF('Timeline Estacas'!G54&lt;&gt;"",'Timeline Estacas'!G54,'Timeline Estacas'!I54))</f>
        <v>B</v>
      </c>
      <c r="H54" s="88" t="str">
        <f aca="false">IF(ISNUMBER('Timeline Estacas'!H54),'Timeline Estacas'!H54,"")</f>
        <v/>
      </c>
      <c r="I54" s="88" t="str">
        <f aca="false">IF($H54="","",'Timeline Estacas'!I54)</f>
        <v/>
      </c>
      <c r="J54" s="86" t="n">
        <f aca="false">IF(ISNUMBER('Timeline Estacas'!J54),'Timeline Estacas'!J54,"")</f>
        <v>46265</v>
      </c>
      <c r="K54" s="88" t="str">
        <f aca="false">IF('Timeline Estacas'!K54="","",'Timeline Estacas'!K54)</f>
        <v/>
      </c>
      <c r="L54" s="88" t="str">
        <f aca="false">IF('Timeline Estacas'!L54="","",'Timeline Estacas'!L54)</f>
        <v/>
      </c>
      <c r="M54" s="88" t="str">
        <f aca="false">IF('Timeline Estacas'!M54="","",'Timeline Estacas'!M54)</f>
        <v/>
      </c>
      <c r="N54" s="89" t="str">
        <f aca="false">IF('Timeline Estacas'!N54="","",'Timeline Estacas'!N54)</f>
        <v/>
      </c>
      <c r="O54" s="90" t="str">
        <f aca="false">IF(ISNUMBER('Timeline Estacas'!O54),'Timeline Estacas'!O54,"")</f>
        <v/>
      </c>
      <c r="P54" s="91" t="n">
        <f aca="false">IF($Q54&gt;0,1,0)</f>
        <v>1</v>
      </c>
      <c r="Q54" s="91" t="n">
        <f aca="false">IF($F54="",0,1)+IF($H54="",0,1)</f>
        <v>1</v>
      </c>
      <c r="R54" s="91" t="n">
        <f aca="false">IF($N54="",0,1)</f>
        <v>0</v>
      </c>
      <c r="S54" s="91" t="n">
        <f aca="false">IF($F54="",0,1)</f>
        <v>1</v>
      </c>
      <c r="T54" s="91" t="n">
        <f aca="false">IF($H54="",0,1)</f>
        <v>0</v>
      </c>
      <c r="U54" s="91" t="n">
        <f aca="false">IF($J54="",0,1)</f>
        <v>1</v>
      </c>
      <c r="V54" s="91" t="n">
        <f aca="true">IF($J54="",0,IF($J54&lt;=TODAY(),1,0))</f>
        <v>1</v>
      </c>
      <c r="W54" s="92" t="n">
        <f aca="false">IF($O54="",0,$O54)</f>
        <v>0</v>
      </c>
      <c r="X54" s="91" t="str">
        <f aca="false">IF($R54=1,SUM($R$2:$R54),"")</f>
        <v/>
      </c>
      <c r="Y54" s="91" t="n">
        <f aca="false">IF($F54="",0,IF(COUNTIF($F$2:$F54,$F54)+COUNTIF($H$2:$H54,$F54)&gt;1,1,0))+IF($H54="",0,IF(COUNTIF($F$2:$F54,$H54)+COUNTIF($H$2:$H54,$H54)&gt;1,1,0))</f>
        <v>0</v>
      </c>
      <c r="Z54" s="91" t="n">
        <f aca="false">IF($Q54=0,0,IF(COUNTIFS($A$2:$A54,$A54,$Q$2:$Q54,"&gt;0")=1,1,0))</f>
        <v>1</v>
      </c>
      <c r="AA54" s="93" t="n">
        <f aca="false">IF($Q54&gt;0,$A54,"")</f>
        <v>46251</v>
      </c>
      <c r="AB54" s="91" t="n">
        <f aca="false">IF($K54="",0,1)</f>
        <v>0</v>
      </c>
      <c r="AC54" s="91" t="n">
        <f aca="false">IF($L54="",0,1)</f>
        <v>0</v>
      </c>
      <c r="AD54" s="91" t="n">
        <f aca="false">IF($M54="",0,1)</f>
        <v>0</v>
      </c>
      <c r="AE54" s="91" t="n">
        <f aca="false">IF($Q54&gt;0,$D54,"")</f>
        <v>42</v>
      </c>
      <c r="AF54" s="1"/>
      <c r="AG54" s="1"/>
      <c r="AH54" s="1"/>
      <c r="AI54" s="1"/>
      <c r="AJ54" s="1"/>
      <c r="AK54" s="1"/>
      <c r="AL54" s="1"/>
      <c r="AM54" s="1"/>
      <c r="AN54" s="1"/>
    </row>
    <row r="55" customFormat="false" ht="18" hidden="false" customHeight="true" outlineLevel="0" collapsed="false">
      <c r="A55" s="86" t="n">
        <f aca="false">IF(ISNUMBER('Timeline Estacas'!A55),'Timeline Estacas'!A55,"")</f>
        <v>46251</v>
      </c>
      <c r="B55" s="87" t="n">
        <f aca="false">IF($A55="","",$A55)</f>
        <v>46251</v>
      </c>
      <c r="C55" s="88" t="n">
        <f aca="false">IF(ISNUMBER('Timeline Estacas'!C55),'Timeline Estacas'!C55,"")</f>
        <v>290</v>
      </c>
      <c r="D55" s="88" t="n">
        <f aca="false">IF(ISNUMBER('Timeline Estacas'!D55),'Timeline Estacas'!D55,"")</f>
        <v>42</v>
      </c>
      <c r="E55" s="88" t="str">
        <f aca="false">IF($D55="","","S-"&amp;TEXT($D55,"00"))</f>
        <v>S-42</v>
      </c>
      <c r="F55" s="88" t="n">
        <f aca="false">IF(ISNUMBER('Timeline Estacas'!F55),'Timeline Estacas'!F55,"")</f>
        <v>32</v>
      </c>
      <c r="G55" s="88" t="str">
        <f aca="false">IF($F55="","",IF('Timeline Estacas'!G55&lt;&gt;"",'Timeline Estacas'!G55,'Timeline Estacas'!I55))</f>
        <v>B</v>
      </c>
      <c r="H55" s="88" t="str">
        <f aca="false">IF(ISNUMBER('Timeline Estacas'!H55),'Timeline Estacas'!H55,"")</f>
        <v/>
      </c>
      <c r="I55" s="88" t="str">
        <f aca="false">IF($H55="","",'Timeline Estacas'!I55)</f>
        <v/>
      </c>
      <c r="J55" s="86" t="n">
        <f aca="false">IF(ISNUMBER('Timeline Estacas'!J55),'Timeline Estacas'!J55,"")</f>
        <v>46265</v>
      </c>
      <c r="K55" s="88" t="str">
        <f aca="false">IF('Timeline Estacas'!K55="","",'Timeline Estacas'!K55)</f>
        <v/>
      </c>
      <c r="L55" s="88" t="str">
        <f aca="false">IF('Timeline Estacas'!L55="","",'Timeline Estacas'!L55)</f>
        <v/>
      </c>
      <c r="M55" s="88" t="str">
        <f aca="false">IF('Timeline Estacas'!M55="","",'Timeline Estacas'!M55)</f>
        <v/>
      </c>
      <c r="N55" s="89" t="str">
        <f aca="false">IF('Timeline Estacas'!N55="","",'Timeline Estacas'!N55)</f>
        <v/>
      </c>
      <c r="O55" s="90" t="str">
        <f aca="false">IF(ISNUMBER('Timeline Estacas'!O55),'Timeline Estacas'!O55,"")</f>
        <v/>
      </c>
      <c r="P55" s="91" t="n">
        <f aca="false">IF($Q55&gt;0,1,0)</f>
        <v>1</v>
      </c>
      <c r="Q55" s="91" t="n">
        <f aca="false">IF($F55="",0,1)+IF($H55="",0,1)</f>
        <v>1</v>
      </c>
      <c r="R55" s="91" t="n">
        <f aca="false">IF($N55="",0,1)</f>
        <v>0</v>
      </c>
      <c r="S55" s="91" t="n">
        <f aca="false">IF($F55="",0,1)</f>
        <v>1</v>
      </c>
      <c r="T55" s="91" t="n">
        <f aca="false">IF($H55="",0,1)</f>
        <v>0</v>
      </c>
      <c r="U55" s="91" t="n">
        <f aca="false">IF($J55="",0,1)</f>
        <v>1</v>
      </c>
      <c r="V55" s="91" t="n">
        <f aca="true">IF($J55="",0,IF($J55&lt;=TODAY(),1,0))</f>
        <v>1</v>
      </c>
      <c r="W55" s="92" t="n">
        <f aca="false">IF($O55="",0,$O55)</f>
        <v>0</v>
      </c>
      <c r="X55" s="91" t="str">
        <f aca="false">IF($R55=1,SUM($R$2:$R55),"")</f>
        <v/>
      </c>
      <c r="Y55" s="91" t="n">
        <f aca="false">IF($F55="",0,IF(COUNTIF($F$2:$F55,$F55)+COUNTIF($H$2:$H55,$F55)&gt;1,1,0))+IF($H55="",0,IF(COUNTIF($F$2:$F55,$H55)+COUNTIF($H$2:$H55,$H55)&gt;1,1,0))</f>
        <v>0</v>
      </c>
      <c r="Z55" s="91" t="n">
        <f aca="false">IF($Q55=0,0,IF(COUNTIFS($A$2:$A55,$A55,$Q$2:$Q55,"&gt;0")=1,1,0))</f>
        <v>0</v>
      </c>
      <c r="AA55" s="93" t="n">
        <f aca="false">IF($Q55&gt;0,$A55,"")</f>
        <v>46251</v>
      </c>
      <c r="AB55" s="91" t="n">
        <f aca="false">IF($K55="",0,1)</f>
        <v>0</v>
      </c>
      <c r="AC55" s="91" t="n">
        <f aca="false">IF($L55="",0,1)</f>
        <v>0</v>
      </c>
      <c r="AD55" s="91" t="n">
        <f aca="false">IF($M55="",0,1)</f>
        <v>0</v>
      </c>
      <c r="AE55" s="91" t="n">
        <f aca="false">IF($Q55&gt;0,$D55,"")</f>
        <v>42</v>
      </c>
      <c r="AF55" s="1"/>
      <c r="AG55" s="1"/>
      <c r="AH55" s="1"/>
      <c r="AI55" s="1"/>
      <c r="AJ55" s="1"/>
      <c r="AK55" s="1"/>
      <c r="AL55" s="1"/>
      <c r="AM55" s="1"/>
      <c r="AN55" s="1"/>
    </row>
    <row r="56" customFormat="false" ht="18" hidden="false" customHeight="true" outlineLevel="0" collapsed="false">
      <c r="A56" s="86" t="n">
        <f aca="false">IF(ISNUMBER('Timeline Estacas'!A56),'Timeline Estacas'!A56,"")</f>
        <v>46251</v>
      </c>
      <c r="B56" s="87" t="n">
        <f aca="false">IF($A56="","",$A56)</f>
        <v>46251</v>
      </c>
      <c r="C56" s="88" t="n">
        <f aca="false">IF(ISNUMBER('Timeline Estacas'!C56),'Timeline Estacas'!C56,"")</f>
        <v>290</v>
      </c>
      <c r="D56" s="88" t="n">
        <f aca="false">IF(ISNUMBER('Timeline Estacas'!D56),'Timeline Estacas'!D56,"")</f>
        <v>42</v>
      </c>
      <c r="E56" s="88" t="str">
        <f aca="false">IF($D56="","","S-"&amp;TEXT($D56,"00"))</f>
        <v>S-42</v>
      </c>
      <c r="F56" s="88" t="n">
        <f aca="false">IF(ISNUMBER('Timeline Estacas'!F56),'Timeline Estacas'!F56,"")</f>
        <v>34</v>
      </c>
      <c r="G56" s="88" t="str">
        <f aca="false">IF($F56="","",IF('Timeline Estacas'!G56&lt;&gt;"",'Timeline Estacas'!G56,'Timeline Estacas'!I56))</f>
        <v>B</v>
      </c>
      <c r="H56" s="88" t="str">
        <f aca="false">IF(ISNUMBER('Timeline Estacas'!H56),'Timeline Estacas'!H56,"")</f>
        <v/>
      </c>
      <c r="I56" s="88" t="str">
        <f aca="false">IF($H56="","",'Timeline Estacas'!I56)</f>
        <v/>
      </c>
      <c r="J56" s="86" t="n">
        <f aca="false">IF(ISNUMBER('Timeline Estacas'!J56),'Timeline Estacas'!J56,"")</f>
        <v>46265</v>
      </c>
      <c r="K56" s="88" t="str">
        <f aca="false">IF('Timeline Estacas'!K56="","",'Timeline Estacas'!K56)</f>
        <v/>
      </c>
      <c r="L56" s="88" t="str">
        <f aca="false">IF('Timeline Estacas'!L56="","",'Timeline Estacas'!L56)</f>
        <v/>
      </c>
      <c r="M56" s="88" t="str">
        <f aca="false">IF('Timeline Estacas'!M56="","",'Timeline Estacas'!M56)</f>
        <v/>
      </c>
      <c r="N56" s="89" t="str">
        <f aca="false">IF('Timeline Estacas'!N56="","",'Timeline Estacas'!N56)</f>
        <v/>
      </c>
      <c r="O56" s="90" t="str">
        <f aca="false">IF(ISNUMBER('Timeline Estacas'!O56),'Timeline Estacas'!O56,"")</f>
        <v/>
      </c>
      <c r="P56" s="91" t="n">
        <f aca="false">IF($Q56&gt;0,1,0)</f>
        <v>1</v>
      </c>
      <c r="Q56" s="91" t="n">
        <f aca="false">IF($F56="",0,1)+IF($H56="",0,1)</f>
        <v>1</v>
      </c>
      <c r="R56" s="91" t="n">
        <f aca="false">IF($N56="",0,1)</f>
        <v>0</v>
      </c>
      <c r="S56" s="91" t="n">
        <f aca="false">IF($F56="",0,1)</f>
        <v>1</v>
      </c>
      <c r="T56" s="91" t="n">
        <f aca="false">IF($H56="",0,1)</f>
        <v>0</v>
      </c>
      <c r="U56" s="91" t="n">
        <f aca="false">IF($J56="",0,1)</f>
        <v>1</v>
      </c>
      <c r="V56" s="91" t="n">
        <f aca="true">IF($J56="",0,IF($J56&lt;=TODAY(),1,0))</f>
        <v>1</v>
      </c>
      <c r="W56" s="92" t="n">
        <f aca="false">IF($O56="",0,$O56)</f>
        <v>0</v>
      </c>
      <c r="X56" s="91" t="str">
        <f aca="false">IF($R56=1,SUM($R$2:$R56),"")</f>
        <v/>
      </c>
      <c r="Y56" s="91" t="n">
        <f aca="false">IF($F56="",0,IF(COUNTIF($F$2:$F56,$F56)+COUNTIF($H$2:$H56,$F56)&gt;1,1,0))+IF($H56="",0,IF(COUNTIF($F$2:$F56,$H56)+COUNTIF($H$2:$H56,$H56)&gt;1,1,0))</f>
        <v>0</v>
      </c>
      <c r="Z56" s="91" t="n">
        <f aca="false">IF($Q56=0,0,IF(COUNTIFS($A$2:$A56,$A56,$Q$2:$Q56,"&gt;0")=1,1,0))</f>
        <v>0</v>
      </c>
      <c r="AA56" s="93" t="n">
        <f aca="false">IF($Q56&gt;0,$A56,"")</f>
        <v>46251</v>
      </c>
      <c r="AB56" s="91" t="n">
        <f aca="false">IF($K56="",0,1)</f>
        <v>0</v>
      </c>
      <c r="AC56" s="91" t="n">
        <f aca="false">IF($L56="",0,1)</f>
        <v>0</v>
      </c>
      <c r="AD56" s="91" t="n">
        <f aca="false">IF($M56="",0,1)</f>
        <v>0</v>
      </c>
      <c r="AE56" s="91" t="n">
        <f aca="false">IF($Q56&gt;0,$D56,"")</f>
        <v>42</v>
      </c>
      <c r="AF56" s="1"/>
      <c r="AG56" s="1"/>
      <c r="AH56" s="1"/>
      <c r="AI56" s="1"/>
      <c r="AJ56" s="1"/>
      <c r="AK56" s="1"/>
      <c r="AL56" s="1"/>
      <c r="AM56" s="1"/>
      <c r="AN56" s="1"/>
    </row>
    <row r="57" customFormat="false" ht="18" hidden="false" customHeight="true" outlineLevel="0" collapsed="false">
      <c r="A57" s="86" t="n">
        <f aca="false">IF(ISNUMBER('Timeline Estacas'!A57),'Timeline Estacas'!A57,"")</f>
        <v>46251</v>
      </c>
      <c r="B57" s="87" t="n">
        <f aca="false">IF($A57="","",$A57)</f>
        <v>46251</v>
      </c>
      <c r="C57" s="88" t="n">
        <f aca="false">IF(ISNUMBER('Timeline Estacas'!C57),'Timeline Estacas'!C57,"")</f>
        <v>290</v>
      </c>
      <c r="D57" s="88" t="n">
        <f aca="false">IF(ISNUMBER('Timeline Estacas'!D57),'Timeline Estacas'!D57,"")</f>
        <v>42</v>
      </c>
      <c r="E57" s="88" t="str">
        <f aca="false">IF($D57="","","S-"&amp;TEXT($D57,"00"))</f>
        <v>S-42</v>
      </c>
      <c r="F57" s="88" t="n">
        <f aca="false">IF(ISNUMBER('Timeline Estacas'!F57),'Timeline Estacas'!F57,"")</f>
        <v>35</v>
      </c>
      <c r="G57" s="88" t="str">
        <f aca="false">IF($F57="","",IF('Timeline Estacas'!G57&lt;&gt;"",'Timeline Estacas'!G57,'Timeline Estacas'!I57))</f>
        <v>B</v>
      </c>
      <c r="H57" s="88" t="str">
        <f aca="false">IF(ISNUMBER('Timeline Estacas'!H57),'Timeline Estacas'!H57,"")</f>
        <v/>
      </c>
      <c r="I57" s="88" t="str">
        <f aca="false">IF($H57="","",'Timeline Estacas'!I57)</f>
        <v/>
      </c>
      <c r="J57" s="86" t="n">
        <f aca="false">IF(ISNUMBER('Timeline Estacas'!J57),'Timeline Estacas'!J57,"")</f>
        <v>46265</v>
      </c>
      <c r="K57" s="88" t="str">
        <f aca="false">IF('Timeline Estacas'!K57="","",'Timeline Estacas'!K57)</f>
        <v/>
      </c>
      <c r="L57" s="88" t="str">
        <f aca="false">IF('Timeline Estacas'!L57="","",'Timeline Estacas'!L57)</f>
        <v/>
      </c>
      <c r="M57" s="88" t="str">
        <f aca="false">IF('Timeline Estacas'!M57="","",'Timeline Estacas'!M57)</f>
        <v/>
      </c>
      <c r="N57" s="89" t="str">
        <f aca="false">IF('Timeline Estacas'!N57="","",'Timeline Estacas'!N57)</f>
        <v/>
      </c>
      <c r="O57" s="90" t="str">
        <f aca="false">IF(ISNUMBER('Timeline Estacas'!O57),'Timeline Estacas'!O57,"")</f>
        <v/>
      </c>
      <c r="P57" s="91" t="n">
        <f aca="false">IF($Q57&gt;0,1,0)</f>
        <v>1</v>
      </c>
      <c r="Q57" s="91" t="n">
        <f aca="false">IF($F57="",0,1)+IF($H57="",0,1)</f>
        <v>1</v>
      </c>
      <c r="R57" s="91" t="n">
        <f aca="false">IF($N57="",0,1)</f>
        <v>0</v>
      </c>
      <c r="S57" s="91" t="n">
        <f aca="false">IF($F57="",0,1)</f>
        <v>1</v>
      </c>
      <c r="T57" s="91" t="n">
        <f aca="false">IF($H57="",0,1)</f>
        <v>0</v>
      </c>
      <c r="U57" s="91" t="n">
        <f aca="false">IF($J57="",0,1)</f>
        <v>1</v>
      </c>
      <c r="V57" s="91" t="n">
        <f aca="true">IF($J57="",0,IF($J57&lt;=TODAY(),1,0))</f>
        <v>1</v>
      </c>
      <c r="W57" s="92" t="n">
        <f aca="false">IF($O57="",0,$O57)</f>
        <v>0</v>
      </c>
      <c r="X57" s="91" t="str">
        <f aca="false">IF($R57=1,SUM($R$2:$R57),"")</f>
        <v/>
      </c>
      <c r="Y57" s="91" t="n">
        <f aca="false">IF($F57="",0,IF(COUNTIF($F$2:$F57,$F57)+COUNTIF($H$2:$H57,$F57)&gt;1,1,0))+IF($H57="",0,IF(COUNTIF($F$2:$F57,$H57)+COUNTIF($H$2:$H57,$H57)&gt;1,1,0))</f>
        <v>0</v>
      </c>
      <c r="Z57" s="91" t="n">
        <f aca="false">IF($Q57=0,0,IF(COUNTIFS($A$2:$A57,$A57,$Q$2:$Q57,"&gt;0")=1,1,0))</f>
        <v>0</v>
      </c>
      <c r="AA57" s="93" t="n">
        <f aca="false">IF($Q57&gt;0,$A57,"")</f>
        <v>46251</v>
      </c>
      <c r="AB57" s="91" t="n">
        <f aca="false">IF($K57="",0,1)</f>
        <v>0</v>
      </c>
      <c r="AC57" s="91" t="n">
        <f aca="false">IF($L57="",0,1)</f>
        <v>0</v>
      </c>
      <c r="AD57" s="91" t="n">
        <f aca="false">IF($M57="",0,1)</f>
        <v>0</v>
      </c>
      <c r="AE57" s="91" t="n">
        <f aca="false">IF($Q57&gt;0,$D57,"")</f>
        <v>42</v>
      </c>
      <c r="AF57" s="1"/>
      <c r="AG57" s="1"/>
      <c r="AH57" s="1"/>
      <c r="AI57" s="1"/>
      <c r="AJ57" s="1"/>
      <c r="AK57" s="1"/>
      <c r="AL57" s="1"/>
      <c r="AM57" s="1"/>
      <c r="AN57" s="1"/>
    </row>
    <row r="58" customFormat="false" ht="18" hidden="false" customHeight="true" outlineLevel="0" collapsed="false">
      <c r="A58" s="86" t="n">
        <f aca="false">IF(ISNUMBER('Timeline Estacas'!A58),'Timeline Estacas'!A58,"")</f>
        <v>46251</v>
      </c>
      <c r="B58" s="87" t="n">
        <f aca="false">IF($A58="","",$A58)</f>
        <v>46251</v>
      </c>
      <c r="C58" s="88" t="n">
        <f aca="false">IF(ISNUMBER('Timeline Estacas'!C58),'Timeline Estacas'!C58,"")</f>
        <v>290</v>
      </c>
      <c r="D58" s="88" t="n">
        <f aca="false">IF(ISNUMBER('Timeline Estacas'!D58),'Timeline Estacas'!D58,"")</f>
        <v>42</v>
      </c>
      <c r="E58" s="88" t="str">
        <f aca="false">IF($D58="","","S-"&amp;TEXT($D58,"00"))</f>
        <v>S-42</v>
      </c>
      <c r="F58" s="88" t="n">
        <f aca="false">IF(ISNUMBER('Timeline Estacas'!F58),'Timeline Estacas'!F58,"")</f>
        <v>38</v>
      </c>
      <c r="G58" s="88" t="str">
        <f aca="false">IF($F58="","",IF('Timeline Estacas'!G58&lt;&gt;"",'Timeline Estacas'!G58,'Timeline Estacas'!I58))</f>
        <v>B</v>
      </c>
      <c r="H58" s="88" t="str">
        <f aca="false">IF(ISNUMBER('Timeline Estacas'!H58),'Timeline Estacas'!H58,"")</f>
        <v/>
      </c>
      <c r="I58" s="88" t="str">
        <f aca="false">IF($H58="","",'Timeline Estacas'!I58)</f>
        <v/>
      </c>
      <c r="J58" s="86" t="n">
        <f aca="false">IF(ISNUMBER('Timeline Estacas'!J58),'Timeline Estacas'!J58,"")</f>
        <v>46265</v>
      </c>
      <c r="K58" s="88" t="str">
        <f aca="false">IF('Timeline Estacas'!K58="","",'Timeline Estacas'!K58)</f>
        <v/>
      </c>
      <c r="L58" s="88" t="str">
        <f aca="false">IF('Timeline Estacas'!L58="","",'Timeline Estacas'!L58)</f>
        <v/>
      </c>
      <c r="M58" s="88" t="str">
        <f aca="false">IF('Timeline Estacas'!M58="","",'Timeline Estacas'!M58)</f>
        <v/>
      </c>
      <c r="N58" s="89" t="str">
        <f aca="false">IF('Timeline Estacas'!N58="","",'Timeline Estacas'!N58)</f>
        <v/>
      </c>
      <c r="O58" s="90" t="str">
        <f aca="false">IF(ISNUMBER('Timeline Estacas'!O58),'Timeline Estacas'!O58,"")</f>
        <v/>
      </c>
      <c r="P58" s="91" t="n">
        <f aca="false">IF($Q58&gt;0,1,0)</f>
        <v>1</v>
      </c>
      <c r="Q58" s="91" t="n">
        <f aca="false">IF($F58="",0,1)+IF($H58="",0,1)</f>
        <v>1</v>
      </c>
      <c r="R58" s="91" t="n">
        <f aca="false">IF($N58="",0,1)</f>
        <v>0</v>
      </c>
      <c r="S58" s="91" t="n">
        <f aca="false">IF($F58="",0,1)</f>
        <v>1</v>
      </c>
      <c r="T58" s="91" t="n">
        <f aca="false">IF($H58="",0,1)</f>
        <v>0</v>
      </c>
      <c r="U58" s="91" t="n">
        <f aca="false">IF($J58="",0,1)</f>
        <v>1</v>
      </c>
      <c r="V58" s="91" t="n">
        <f aca="true">IF($J58="",0,IF($J58&lt;=TODAY(),1,0))</f>
        <v>1</v>
      </c>
      <c r="W58" s="92" t="n">
        <f aca="false">IF($O58="",0,$O58)</f>
        <v>0</v>
      </c>
      <c r="X58" s="91" t="str">
        <f aca="false">IF($R58=1,SUM($R$2:$R58),"")</f>
        <v/>
      </c>
      <c r="Y58" s="91" t="n">
        <f aca="false">IF($F58="",0,IF(COUNTIF($F$2:$F58,$F58)+COUNTIF($H$2:$H58,$F58)&gt;1,1,0))+IF($H58="",0,IF(COUNTIF($F$2:$F58,$H58)+COUNTIF($H$2:$H58,$H58)&gt;1,1,0))</f>
        <v>0</v>
      </c>
      <c r="Z58" s="91" t="n">
        <f aca="false">IF($Q58=0,0,IF(COUNTIFS($A$2:$A58,$A58,$Q$2:$Q58,"&gt;0")=1,1,0))</f>
        <v>0</v>
      </c>
      <c r="AA58" s="93" t="n">
        <f aca="false">IF($Q58&gt;0,$A58,"")</f>
        <v>46251</v>
      </c>
      <c r="AB58" s="91" t="n">
        <f aca="false">IF($K58="",0,1)</f>
        <v>0</v>
      </c>
      <c r="AC58" s="91" t="n">
        <f aca="false">IF($L58="",0,1)</f>
        <v>0</v>
      </c>
      <c r="AD58" s="91" t="n">
        <f aca="false">IF($M58="",0,1)</f>
        <v>0</v>
      </c>
      <c r="AE58" s="91" t="n">
        <f aca="false">IF($Q58&gt;0,$D58,"")</f>
        <v>42</v>
      </c>
      <c r="AF58" s="1"/>
      <c r="AG58" s="1"/>
      <c r="AH58" s="1"/>
      <c r="AI58" s="1"/>
      <c r="AJ58" s="1"/>
      <c r="AK58" s="1"/>
      <c r="AL58" s="1"/>
      <c r="AM58" s="1"/>
      <c r="AN58" s="1"/>
    </row>
    <row r="59" customFormat="false" ht="18" hidden="false" customHeight="true" outlineLevel="0" collapsed="false">
      <c r="A59" s="86" t="n">
        <f aca="false">IF(ISNUMBER('Timeline Estacas'!A59),'Timeline Estacas'!A59,"")</f>
        <v>46251</v>
      </c>
      <c r="B59" s="87" t="n">
        <f aca="false">IF($A59="","",$A59)</f>
        <v>46251</v>
      </c>
      <c r="C59" s="88" t="n">
        <f aca="false">IF(ISNUMBER('Timeline Estacas'!C59),'Timeline Estacas'!C59,"")</f>
        <v>290</v>
      </c>
      <c r="D59" s="88" t="n">
        <f aca="false">IF(ISNUMBER('Timeline Estacas'!D59),'Timeline Estacas'!D59,"")</f>
        <v>42</v>
      </c>
      <c r="E59" s="88" t="str">
        <f aca="false">IF($D59="","","S-"&amp;TEXT($D59,"00"))</f>
        <v>S-42</v>
      </c>
      <c r="F59" s="88" t="n">
        <f aca="false">IF(ISNUMBER('Timeline Estacas'!F59),'Timeline Estacas'!F59,"")</f>
        <v>39</v>
      </c>
      <c r="G59" s="88" t="str">
        <f aca="false">IF($F59="","",IF('Timeline Estacas'!G59&lt;&gt;"",'Timeline Estacas'!G59,'Timeline Estacas'!I59))</f>
        <v>B</v>
      </c>
      <c r="H59" s="88" t="str">
        <f aca="false">IF(ISNUMBER('Timeline Estacas'!H59),'Timeline Estacas'!H59,"")</f>
        <v/>
      </c>
      <c r="I59" s="88" t="str">
        <f aca="false">IF($H59="","",'Timeline Estacas'!I59)</f>
        <v/>
      </c>
      <c r="J59" s="86" t="n">
        <f aca="false">IF(ISNUMBER('Timeline Estacas'!J59),'Timeline Estacas'!J59,"")</f>
        <v>46265</v>
      </c>
      <c r="K59" s="88" t="str">
        <f aca="false">IF('Timeline Estacas'!K59="","",'Timeline Estacas'!K59)</f>
        <v/>
      </c>
      <c r="L59" s="88" t="str">
        <f aca="false">IF('Timeline Estacas'!L59="","",'Timeline Estacas'!L59)</f>
        <v/>
      </c>
      <c r="M59" s="88" t="str">
        <f aca="false">IF('Timeline Estacas'!M59="","",'Timeline Estacas'!M59)</f>
        <v/>
      </c>
      <c r="N59" s="89" t="str">
        <f aca="false">IF('Timeline Estacas'!N59="","",'Timeline Estacas'!N59)</f>
        <v/>
      </c>
      <c r="O59" s="90" t="str">
        <f aca="false">IF(ISNUMBER('Timeline Estacas'!O59),'Timeline Estacas'!O59,"")</f>
        <v/>
      </c>
      <c r="P59" s="91" t="n">
        <f aca="false">IF($Q59&gt;0,1,0)</f>
        <v>1</v>
      </c>
      <c r="Q59" s="91" t="n">
        <f aca="false">IF($F59="",0,1)+IF($H59="",0,1)</f>
        <v>1</v>
      </c>
      <c r="R59" s="91" t="n">
        <f aca="false">IF($N59="",0,1)</f>
        <v>0</v>
      </c>
      <c r="S59" s="91" t="n">
        <f aca="false">IF($F59="",0,1)</f>
        <v>1</v>
      </c>
      <c r="T59" s="91" t="n">
        <f aca="false">IF($H59="",0,1)</f>
        <v>0</v>
      </c>
      <c r="U59" s="91" t="n">
        <f aca="false">IF($J59="",0,1)</f>
        <v>1</v>
      </c>
      <c r="V59" s="91" t="n">
        <f aca="true">IF($J59="",0,IF($J59&lt;=TODAY(),1,0))</f>
        <v>1</v>
      </c>
      <c r="W59" s="92" t="n">
        <f aca="false">IF($O59="",0,$O59)</f>
        <v>0</v>
      </c>
      <c r="X59" s="91" t="str">
        <f aca="false">IF($R59=1,SUM($R$2:$R59),"")</f>
        <v/>
      </c>
      <c r="Y59" s="91" t="n">
        <f aca="false">IF($F59="",0,IF(COUNTIF($F$2:$F59,$F59)+COUNTIF($H$2:$H59,$F59)&gt;1,1,0))+IF($H59="",0,IF(COUNTIF($F$2:$F59,$H59)+COUNTIF($H$2:$H59,$H59)&gt;1,1,0))</f>
        <v>0</v>
      </c>
      <c r="Z59" s="91" t="n">
        <f aca="false">IF($Q59=0,0,IF(COUNTIFS($A$2:$A59,$A59,$Q$2:$Q59,"&gt;0")=1,1,0))</f>
        <v>0</v>
      </c>
      <c r="AA59" s="93" t="n">
        <f aca="false">IF($Q59&gt;0,$A59,"")</f>
        <v>46251</v>
      </c>
      <c r="AB59" s="91" t="n">
        <f aca="false">IF($K59="",0,1)</f>
        <v>0</v>
      </c>
      <c r="AC59" s="91" t="n">
        <f aca="false">IF($L59="",0,1)</f>
        <v>0</v>
      </c>
      <c r="AD59" s="91" t="n">
        <f aca="false">IF($M59="",0,1)</f>
        <v>0</v>
      </c>
      <c r="AE59" s="91" t="n">
        <f aca="false">IF($Q59&gt;0,$D59,"")</f>
        <v>42</v>
      </c>
      <c r="AF59" s="1"/>
      <c r="AG59" s="1"/>
      <c r="AH59" s="1"/>
      <c r="AI59" s="1"/>
      <c r="AJ59" s="1"/>
      <c r="AK59" s="1"/>
      <c r="AL59" s="1"/>
      <c r="AM59" s="1"/>
      <c r="AN59" s="1"/>
    </row>
    <row r="60" customFormat="false" ht="18" hidden="false" customHeight="true" outlineLevel="0" collapsed="false">
      <c r="A60" s="86" t="n">
        <f aca="false">IF(ISNUMBER('Timeline Estacas'!A60),'Timeline Estacas'!A60,"")</f>
        <v>46251</v>
      </c>
      <c r="B60" s="87" t="n">
        <f aca="false">IF($A60="","",$A60)</f>
        <v>46251</v>
      </c>
      <c r="C60" s="88" t="n">
        <f aca="false">IF(ISNUMBER('Timeline Estacas'!C60),'Timeline Estacas'!C60,"")</f>
        <v>290</v>
      </c>
      <c r="D60" s="88" t="n">
        <f aca="false">IF(ISNUMBER('Timeline Estacas'!D60),'Timeline Estacas'!D60,"")</f>
        <v>42</v>
      </c>
      <c r="E60" s="88" t="str">
        <f aca="false">IF($D60="","","S-"&amp;TEXT($D60,"00"))</f>
        <v>S-42</v>
      </c>
      <c r="F60" s="88" t="n">
        <f aca="false">IF(ISNUMBER('Timeline Estacas'!F60),'Timeline Estacas'!F60,"")</f>
        <v>42</v>
      </c>
      <c r="G60" s="88" t="str">
        <f aca="false">IF($F60="","",IF('Timeline Estacas'!G60&lt;&gt;"",'Timeline Estacas'!G60,'Timeline Estacas'!I60))</f>
        <v>B</v>
      </c>
      <c r="H60" s="88" t="str">
        <f aca="false">IF(ISNUMBER('Timeline Estacas'!H60),'Timeline Estacas'!H60,"")</f>
        <v/>
      </c>
      <c r="I60" s="88" t="str">
        <f aca="false">IF($H60="","",'Timeline Estacas'!I60)</f>
        <v/>
      </c>
      <c r="J60" s="86" t="n">
        <f aca="false">IF(ISNUMBER('Timeline Estacas'!J60),'Timeline Estacas'!J60,"")</f>
        <v>46265</v>
      </c>
      <c r="K60" s="88" t="str">
        <f aca="false">IF('Timeline Estacas'!K60="","",'Timeline Estacas'!K60)</f>
        <v/>
      </c>
      <c r="L60" s="88" t="str">
        <f aca="false">IF('Timeline Estacas'!L60="","",'Timeline Estacas'!L60)</f>
        <v/>
      </c>
      <c r="M60" s="88" t="str">
        <f aca="false">IF('Timeline Estacas'!M60="","",'Timeline Estacas'!M60)</f>
        <v/>
      </c>
      <c r="N60" s="89" t="str">
        <f aca="false">IF('Timeline Estacas'!N60="","",'Timeline Estacas'!N60)</f>
        <v/>
      </c>
      <c r="O60" s="90" t="str">
        <f aca="false">IF(ISNUMBER('Timeline Estacas'!O60),'Timeline Estacas'!O60,"")</f>
        <v/>
      </c>
      <c r="P60" s="91" t="n">
        <f aca="false">IF($Q60&gt;0,1,0)</f>
        <v>1</v>
      </c>
      <c r="Q60" s="91" t="n">
        <f aca="false">IF($F60="",0,1)+IF($H60="",0,1)</f>
        <v>1</v>
      </c>
      <c r="R60" s="91" t="n">
        <f aca="false">IF($N60="",0,1)</f>
        <v>0</v>
      </c>
      <c r="S60" s="91" t="n">
        <f aca="false">IF($F60="",0,1)</f>
        <v>1</v>
      </c>
      <c r="T60" s="91" t="n">
        <f aca="false">IF($H60="",0,1)</f>
        <v>0</v>
      </c>
      <c r="U60" s="91" t="n">
        <f aca="false">IF($J60="",0,1)</f>
        <v>1</v>
      </c>
      <c r="V60" s="91" t="n">
        <f aca="true">IF($J60="",0,IF($J60&lt;=TODAY(),1,0))</f>
        <v>1</v>
      </c>
      <c r="W60" s="92" t="n">
        <f aca="false">IF($O60="",0,$O60)</f>
        <v>0</v>
      </c>
      <c r="X60" s="91" t="str">
        <f aca="false">IF($R60=1,SUM($R$2:$R60),"")</f>
        <v/>
      </c>
      <c r="Y60" s="91" t="n">
        <f aca="false">IF($F60="",0,IF(COUNTIF($F$2:$F60,$F60)+COUNTIF($H$2:$H60,$F60)&gt;1,1,0))+IF($H60="",0,IF(COUNTIF($F$2:$F60,$H60)+COUNTIF($H$2:$H60,$H60)&gt;1,1,0))</f>
        <v>0</v>
      </c>
      <c r="Z60" s="91" t="n">
        <f aca="false">IF($Q60=0,0,IF(COUNTIFS($A$2:$A60,$A60,$Q$2:$Q60,"&gt;0")=1,1,0))</f>
        <v>0</v>
      </c>
      <c r="AA60" s="93" t="n">
        <f aca="false">IF($Q60&gt;0,$A60,"")</f>
        <v>46251</v>
      </c>
      <c r="AB60" s="91" t="n">
        <f aca="false">IF($K60="",0,1)</f>
        <v>0</v>
      </c>
      <c r="AC60" s="91" t="n">
        <f aca="false">IF($L60="",0,1)</f>
        <v>0</v>
      </c>
      <c r="AD60" s="91" t="n">
        <f aca="false">IF($M60="",0,1)</f>
        <v>0</v>
      </c>
      <c r="AE60" s="91" t="n">
        <f aca="false">IF($Q60&gt;0,$D60,"")</f>
        <v>42</v>
      </c>
      <c r="AF60" s="1"/>
      <c r="AG60" s="1"/>
      <c r="AH60" s="1"/>
      <c r="AI60" s="1"/>
      <c r="AJ60" s="1"/>
      <c r="AK60" s="1"/>
      <c r="AL60" s="1"/>
      <c r="AM60" s="1"/>
      <c r="AN60" s="1"/>
    </row>
    <row r="61" customFormat="false" ht="18" hidden="false" customHeight="true" outlineLevel="0" collapsed="false">
      <c r="A61" s="86" t="n">
        <f aca="false">IF(ISNUMBER('Timeline Estacas'!A61),'Timeline Estacas'!A61,"")</f>
        <v>46251</v>
      </c>
      <c r="B61" s="87" t="n">
        <f aca="false">IF($A61="","",$A61)</f>
        <v>46251</v>
      </c>
      <c r="C61" s="88" t="n">
        <f aca="false">IF(ISNUMBER('Timeline Estacas'!C61),'Timeline Estacas'!C61,"")</f>
        <v>290</v>
      </c>
      <c r="D61" s="88" t="n">
        <f aca="false">IF(ISNUMBER('Timeline Estacas'!D61),'Timeline Estacas'!D61,"")</f>
        <v>42</v>
      </c>
      <c r="E61" s="88" t="str">
        <f aca="false">IF($D61="","","S-"&amp;TEXT($D61,"00"))</f>
        <v>S-42</v>
      </c>
      <c r="F61" s="88" t="n">
        <f aca="false">IF(ISNUMBER('Timeline Estacas'!F61),'Timeline Estacas'!F61,"")</f>
        <v>43</v>
      </c>
      <c r="G61" s="88" t="str">
        <f aca="false">IF($F61="","",IF('Timeline Estacas'!G61&lt;&gt;"",'Timeline Estacas'!G61,'Timeline Estacas'!I61))</f>
        <v>B</v>
      </c>
      <c r="H61" s="88" t="str">
        <f aca="false">IF(ISNUMBER('Timeline Estacas'!H61),'Timeline Estacas'!H61,"")</f>
        <v/>
      </c>
      <c r="I61" s="88" t="str">
        <f aca="false">IF($H61="","",'Timeline Estacas'!I61)</f>
        <v/>
      </c>
      <c r="J61" s="86" t="n">
        <f aca="false">IF(ISNUMBER('Timeline Estacas'!J61),'Timeline Estacas'!J61,"")</f>
        <v>46265</v>
      </c>
      <c r="K61" s="88" t="str">
        <f aca="false">IF('Timeline Estacas'!K61="","",'Timeline Estacas'!K61)</f>
        <v/>
      </c>
      <c r="L61" s="88" t="str">
        <f aca="false">IF('Timeline Estacas'!L61="","",'Timeline Estacas'!L61)</f>
        <v/>
      </c>
      <c r="M61" s="88" t="str">
        <f aca="false">IF('Timeline Estacas'!M61="","",'Timeline Estacas'!M61)</f>
        <v/>
      </c>
      <c r="N61" s="89" t="str">
        <f aca="false">IF('Timeline Estacas'!N61="","",'Timeline Estacas'!N61)</f>
        <v/>
      </c>
      <c r="O61" s="90" t="str">
        <f aca="false">IF(ISNUMBER('Timeline Estacas'!O61),'Timeline Estacas'!O61,"")</f>
        <v/>
      </c>
      <c r="P61" s="91" t="n">
        <f aca="false">IF($Q61&gt;0,1,0)</f>
        <v>1</v>
      </c>
      <c r="Q61" s="91" t="n">
        <f aca="false">IF($F61="",0,1)+IF($H61="",0,1)</f>
        <v>1</v>
      </c>
      <c r="R61" s="91" t="n">
        <f aca="false">IF($N61="",0,1)</f>
        <v>0</v>
      </c>
      <c r="S61" s="91" t="n">
        <f aca="false">IF($F61="",0,1)</f>
        <v>1</v>
      </c>
      <c r="T61" s="91" t="n">
        <f aca="false">IF($H61="",0,1)</f>
        <v>0</v>
      </c>
      <c r="U61" s="91" t="n">
        <f aca="false">IF($J61="",0,1)</f>
        <v>1</v>
      </c>
      <c r="V61" s="91" t="n">
        <f aca="true">IF($J61="",0,IF($J61&lt;=TODAY(),1,0))</f>
        <v>1</v>
      </c>
      <c r="W61" s="92" t="n">
        <f aca="false">IF($O61="",0,$O61)</f>
        <v>0</v>
      </c>
      <c r="X61" s="91" t="str">
        <f aca="false">IF($R61=1,SUM($R$2:$R61),"")</f>
        <v/>
      </c>
      <c r="Y61" s="91" t="n">
        <f aca="false">IF($F61="",0,IF(COUNTIF($F$2:$F61,$F61)+COUNTIF($H$2:$H61,$F61)&gt;1,1,0))+IF($H61="",0,IF(COUNTIF($F$2:$F61,$H61)+COUNTIF($H$2:$H61,$H61)&gt;1,1,0))</f>
        <v>0</v>
      </c>
      <c r="Z61" s="91" t="n">
        <f aca="false">IF($Q61=0,0,IF(COUNTIFS($A$2:$A61,$A61,$Q$2:$Q61,"&gt;0")=1,1,0))</f>
        <v>0</v>
      </c>
      <c r="AA61" s="93" t="n">
        <f aca="false">IF($Q61&gt;0,$A61,"")</f>
        <v>46251</v>
      </c>
      <c r="AB61" s="91" t="n">
        <f aca="false">IF($K61="",0,1)</f>
        <v>0</v>
      </c>
      <c r="AC61" s="91" t="n">
        <f aca="false">IF($L61="",0,1)</f>
        <v>0</v>
      </c>
      <c r="AD61" s="91" t="n">
        <f aca="false">IF($M61="",0,1)</f>
        <v>0</v>
      </c>
      <c r="AE61" s="91" t="n">
        <f aca="false">IF($Q61&gt;0,$D61,"")</f>
        <v>42</v>
      </c>
      <c r="AF61" s="1"/>
      <c r="AG61" s="1"/>
      <c r="AH61" s="1"/>
      <c r="AI61" s="1"/>
      <c r="AJ61" s="1"/>
      <c r="AK61" s="1"/>
      <c r="AL61" s="1"/>
      <c r="AM61" s="1"/>
      <c r="AN61" s="1"/>
    </row>
    <row r="62" customFormat="false" ht="18" hidden="false" customHeight="true" outlineLevel="0" collapsed="false">
      <c r="A62" s="86" t="n">
        <f aca="false">IF(ISNUMBER('Timeline Estacas'!A62),'Timeline Estacas'!A62,"")</f>
        <v>46251</v>
      </c>
      <c r="B62" s="87" t="n">
        <f aca="false">IF($A62="","",$A62)</f>
        <v>46251</v>
      </c>
      <c r="C62" s="88" t="n">
        <f aca="false">IF(ISNUMBER('Timeline Estacas'!C62),'Timeline Estacas'!C62,"")</f>
        <v>290</v>
      </c>
      <c r="D62" s="88" t="n">
        <f aca="false">IF(ISNUMBER('Timeline Estacas'!D62),'Timeline Estacas'!D62,"")</f>
        <v>42</v>
      </c>
      <c r="E62" s="88" t="str">
        <f aca="false">IF($D62="","","S-"&amp;TEXT($D62,"00"))</f>
        <v>S-42</v>
      </c>
      <c r="F62" s="88" t="n">
        <f aca="false">IF(ISNUMBER('Timeline Estacas'!F62),'Timeline Estacas'!F62,"")</f>
        <v>46</v>
      </c>
      <c r="G62" s="88" t="str">
        <f aca="false">IF($F62="","",IF('Timeline Estacas'!G62&lt;&gt;"",'Timeline Estacas'!G62,'Timeline Estacas'!I62))</f>
        <v>B</v>
      </c>
      <c r="H62" s="88" t="str">
        <f aca="false">IF(ISNUMBER('Timeline Estacas'!H62),'Timeline Estacas'!H62,"")</f>
        <v/>
      </c>
      <c r="I62" s="88" t="str">
        <f aca="false">IF($H62="","",'Timeline Estacas'!I62)</f>
        <v/>
      </c>
      <c r="J62" s="86" t="n">
        <f aca="false">IF(ISNUMBER('Timeline Estacas'!J62),'Timeline Estacas'!J62,"")</f>
        <v>46265</v>
      </c>
      <c r="K62" s="88" t="str">
        <f aca="false">IF('Timeline Estacas'!K62="","",'Timeline Estacas'!K62)</f>
        <v/>
      </c>
      <c r="L62" s="88" t="str">
        <f aca="false">IF('Timeline Estacas'!L62="","",'Timeline Estacas'!L62)</f>
        <v/>
      </c>
      <c r="M62" s="88" t="str">
        <f aca="false">IF('Timeline Estacas'!M62="","",'Timeline Estacas'!M62)</f>
        <v/>
      </c>
      <c r="N62" s="89" t="str">
        <f aca="false">IF('Timeline Estacas'!N62="","",'Timeline Estacas'!N62)</f>
        <v/>
      </c>
      <c r="O62" s="90" t="str">
        <f aca="false">IF(ISNUMBER('Timeline Estacas'!O62),'Timeline Estacas'!O62,"")</f>
        <v/>
      </c>
      <c r="P62" s="91" t="n">
        <f aca="false">IF($Q62&gt;0,1,0)</f>
        <v>1</v>
      </c>
      <c r="Q62" s="91" t="n">
        <f aca="false">IF($F62="",0,1)+IF($H62="",0,1)</f>
        <v>1</v>
      </c>
      <c r="R62" s="91" t="n">
        <f aca="false">IF($N62="",0,1)</f>
        <v>0</v>
      </c>
      <c r="S62" s="91" t="n">
        <f aca="false">IF($F62="",0,1)</f>
        <v>1</v>
      </c>
      <c r="T62" s="91" t="n">
        <f aca="false">IF($H62="",0,1)</f>
        <v>0</v>
      </c>
      <c r="U62" s="91" t="n">
        <f aca="false">IF($J62="",0,1)</f>
        <v>1</v>
      </c>
      <c r="V62" s="91" t="n">
        <f aca="true">IF($J62="",0,IF($J62&lt;=TODAY(),1,0))</f>
        <v>1</v>
      </c>
      <c r="W62" s="92" t="n">
        <f aca="false">IF($O62="",0,$O62)</f>
        <v>0</v>
      </c>
      <c r="X62" s="91" t="str">
        <f aca="false">IF($R62=1,SUM($R$2:$R62),"")</f>
        <v/>
      </c>
      <c r="Y62" s="91" t="n">
        <f aca="false">IF($F62="",0,IF(COUNTIF($F$2:$F62,$F62)+COUNTIF($H$2:$H62,$F62)&gt;1,1,0))+IF($H62="",0,IF(COUNTIF($F$2:$F62,$H62)+COUNTIF($H$2:$H62,$H62)&gt;1,1,0))</f>
        <v>0</v>
      </c>
      <c r="Z62" s="91" t="n">
        <f aca="false">IF($Q62=0,0,IF(COUNTIFS($A$2:$A62,$A62,$Q$2:$Q62,"&gt;0")=1,1,0))</f>
        <v>0</v>
      </c>
      <c r="AA62" s="93" t="n">
        <f aca="false">IF($Q62&gt;0,$A62,"")</f>
        <v>46251</v>
      </c>
      <c r="AB62" s="91" t="n">
        <f aca="false">IF($K62="",0,1)</f>
        <v>0</v>
      </c>
      <c r="AC62" s="91" t="n">
        <f aca="false">IF($L62="",0,1)</f>
        <v>0</v>
      </c>
      <c r="AD62" s="91" t="n">
        <f aca="false">IF($M62="",0,1)</f>
        <v>0</v>
      </c>
      <c r="AE62" s="91" t="n">
        <f aca="false">IF($Q62&gt;0,$D62,"")</f>
        <v>42</v>
      </c>
      <c r="AF62" s="1"/>
      <c r="AG62" s="1"/>
      <c r="AH62" s="1"/>
      <c r="AI62" s="1"/>
      <c r="AJ62" s="1"/>
      <c r="AK62" s="1"/>
      <c r="AL62" s="1"/>
      <c r="AM62" s="1"/>
      <c r="AN62" s="1"/>
    </row>
    <row r="63" customFormat="false" ht="18" hidden="false" customHeight="true" outlineLevel="0" collapsed="false">
      <c r="A63" s="86" t="n">
        <f aca="false">IF(ISNUMBER('Timeline Estacas'!A63),'Timeline Estacas'!A63,"")</f>
        <v>46251</v>
      </c>
      <c r="B63" s="87" t="n">
        <f aca="false">IF($A63="","",$A63)</f>
        <v>46251</v>
      </c>
      <c r="C63" s="88" t="n">
        <f aca="false">IF(ISNUMBER('Timeline Estacas'!C63),'Timeline Estacas'!C63,"")</f>
        <v>290</v>
      </c>
      <c r="D63" s="88" t="n">
        <f aca="false">IF(ISNUMBER('Timeline Estacas'!D63),'Timeline Estacas'!D63,"")</f>
        <v>42</v>
      </c>
      <c r="E63" s="88" t="str">
        <f aca="false">IF($D63="","","S-"&amp;TEXT($D63,"00"))</f>
        <v>S-42</v>
      </c>
      <c r="F63" s="88" t="n">
        <f aca="false">IF(ISNUMBER('Timeline Estacas'!F63),'Timeline Estacas'!F63,"")</f>
        <v>47</v>
      </c>
      <c r="G63" s="88" t="str">
        <f aca="false">IF($F63="","",IF('Timeline Estacas'!G63&lt;&gt;"",'Timeline Estacas'!G63,'Timeline Estacas'!I63))</f>
        <v>B</v>
      </c>
      <c r="H63" s="88" t="str">
        <f aca="false">IF(ISNUMBER('Timeline Estacas'!H63),'Timeline Estacas'!H63,"")</f>
        <v/>
      </c>
      <c r="I63" s="88" t="str">
        <f aca="false">IF($H63="","",'Timeline Estacas'!I63)</f>
        <v/>
      </c>
      <c r="J63" s="86" t="n">
        <f aca="false">IF(ISNUMBER('Timeline Estacas'!J63),'Timeline Estacas'!J63,"")</f>
        <v>46265</v>
      </c>
      <c r="K63" s="88" t="str">
        <f aca="false">IF('Timeline Estacas'!K63="","",'Timeline Estacas'!K63)</f>
        <v/>
      </c>
      <c r="L63" s="88" t="str">
        <f aca="false">IF('Timeline Estacas'!L63="","",'Timeline Estacas'!L63)</f>
        <v/>
      </c>
      <c r="M63" s="88" t="str">
        <f aca="false">IF('Timeline Estacas'!M63="","",'Timeline Estacas'!M63)</f>
        <v/>
      </c>
      <c r="N63" s="89" t="str">
        <f aca="false">IF('Timeline Estacas'!N63="","",'Timeline Estacas'!N63)</f>
        <v/>
      </c>
      <c r="O63" s="90" t="str">
        <f aca="false">IF(ISNUMBER('Timeline Estacas'!O63),'Timeline Estacas'!O63,"")</f>
        <v/>
      </c>
      <c r="P63" s="91" t="n">
        <f aca="false">IF($Q63&gt;0,1,0)</f>
        <v>1</v>
      </c>
      <c r="Q63" s="91" t="n">
        <f aca="false">IF($F63="",0,1)+IF($H63="",0,1)</f>
        <v>1</v>
      </c>
      <c r="R63" s="91" t="n">
        <f aca="false">IF($N63="",0,1)</f>
        <v>0</v>
      </c>
      <c r="S63" s="91" t="n">
        <f aca="false">IF($F63="",0,1)</f>
        <v>1</v>
      </c>
      <c r="T63" s="91" t="n">
        <f aca="false">IF($H63="",0,1)</f>
        <v>0</v>
      </c>
      <c r="U63" s="91" t="n">
        <f aca="false">IF($J63="",0,1)</f>
        <v>1</v>
      </c>
      <c r="V63" s="91" t="n">
        <f aca="true">IF($J63="",0,IF($J63&lt;=TODAY(),1,0))</f>
        <v>1</v>
      </c>
      <c r="W63" s="92" t="n">
        <f aca="false">IF($O63="",0,$O63)</f>
        <v>0</v>
      </c>
      <c r="X63" s="91" t="str">
        <f aca="false">IF($R63=1,SUM($R$2:$R63),"")</f>
        <v/>
      </c>
      <c r="Y63" s="91" t="n">
        <f aca="false">IF($F63="",0,IF(COUNTIF($F$2:$F63,$F63)+COUNTIF($H$2:$H63,$F63)&gt;1,1,0))+IF($H63="",0,IF(COUNTIF($F$2:$F63,$H63)+COUNTIF($H$2:$H63,$H63)&gt;1,1,0))</f>
        <v>0</v>
      </c>
      <c r="Z63" s="91" t="n">
        <f aca="false">IF($Q63=0,0,IF(COUNTIFS($A$2:$A63,$A63,$Q$2:$Q63,"&gt;0")=1,1,0))</f>
        <v>0</v>
      </c>
      <c r="AA63" s="93" t="n">
        <f aca="false">IF($Q63&gt;0,$A63,"")</f>
        <v>46251</v>
      </c>
      <c r="AB63" s="91" t="n">
        <f aca="false">IF($K63="",0,1)</f>
        <v>0</v>
      </c>
      <c r="AC63" s="91" t="n">
        <f aca="false">IF($L63="",0,1)</f>
        <v>0</v>
      </c>
      <c r="AD63" s="91" t="n">
        <f aca="false">IF($M63="",0,1)</f>
        <v>0</v>
      </c>
      <c r="AE63" s="91" t="n">
        <f aca="false">IF($Q63&gt;0,$D63,"")</f>
        <v>42</v>
      </c>
      <c r="AF63" s="1"/>
      <c r="AG63" s="1"/>
      <c r="AH63" s="1"/>
      <c r="AI63" s="1"/>
      <c r="AJ63" s="1"/>
      <c r="AK63" s="1"/>
      <c r="AL63" s="1"/>
      <c r="AM63" s="1"/>
      <c r="AN63" s="1"/>
    </row>
    <row r="64" customFormat="false" ht="18" hidden="false" customHeight="true" outlineLevel="0" collapsed="false">
      <c r="A64" s="86" t="n">
        <f aca="false">IF(ISNUMBER('Timeline Estacas'!A64),'Timeline Estacas'!A64,"")</f>
        <v>46251</v>
      </c>
      <c r="B64" s="87" t="n">
        <f aca="false">IF($A64="","",$A64)</f>
        <v>46251</v>
      </c>
      <c r="C64" s="88" t="n">
        <f aca="false">IF(ISNUMBER('Timeline Estacas'!C64),'Timeline Estacas'!C64,"")</f>
        <v>290</v>
      </c>
      <c r="D64" s="88" t="n">
        <f aca="false">IF(ISNUMBER('Timeline Estacas'!D64),'Timeline Estacas'!D64,"")</f>
        <v>42</v>
      </c>
      <c r="E64" s="88" t="str">
        <f aca="false">IF($D64="","","S-"&amp;TEXT($D64,"00"))</f>
        <v>S-42</v>
      </c>
      <c r="F64" s="88" t="n">
        <f aca="false">IF(ISNUMBER('Timeline Estacas'!F64),'Timeline Estacas'!F64,"")</f>
        <v>106</v>
      </c>
      <c r="G64" s="88" t="str">
        <f aca="false">IF($F64="","",IF('Timeline Estacas'!G64&lt;&gt;"",'Timeline Estacas'!G64,'Timeline Estacas'!I64))</f>
        <v>A</v>
      </c>
      <c r="H64" s="88" t="str">
        <f aca="false">IF(ISNUMBER('Timeline Estacas'!H64),'Timeline Estacas'!H64,"")</f>
        <v/>
      </c>
      <c r="I64" s="88" t="str">
        <f aca="false">IF($H64="","",'Timeline Estacas'!I64)</f>
        <v/>
      </c>
      <c r="J64" s="86" t="n">
        <f aca="false">IF(ISNUMBER('Timeline Estacas'!J64),'Timeline Estacas'!J64,"")</f>
        <v>46265</v>
      </c>
      <c r="K64" s="88" t="str">
        <f aca="false">IF('Timeline Estacas'!K64="","",'Timeline Estacas'!K64)</f>
        <v/>
      </c>
      <c r="L64" s="88" t="str">
        <f aca="false">IF('Timeline Estacas'!L64="","",'Timeline Estacas'!L64)</f>
        <v/>
      </c>
      <c r="M64" s="88" t="str">
        <f aca="false">IF('Timeline Estacas'!M64="","",'Timeline Estacas'!M64)</f>
        <v/>
      </c>
      <c r="N64" s="89" t="str">
        <f aca="false">IF('Timeline Estacas'!N64="","",'Timeline Estacas'!N64)</f>
        <v/>
      </c>
      <c r="O64" s="90" t="str">
        <f aca="false">IF(ISNUMBER('Timeline Estacas'!O64),'Timeline Estacas'!O64,"")</f>
        <v/>
      </c>
      <c r="P64" s="91" t="n">
        <f aca="false">IF($Q64&gt;0,1,0)</f>
        <v>1</v>
      </c>
      <c r="Q64" s="91" t="n">
        <f aca="false">IF($F64="",0,1)+IF($H64="",0,1)</f>
        <v>1</v>
      </c>
      <c r="R64" s="91" t="n">
        <f aca="false">IF($N64="",0,1)</f>
        <v>0</v>
      </c>
      <c r="S64" s="91" t="n">
        <f aca="false">IF($F64="",0,1)</f>
        <v>1</v>
      </c>
      <c r="T64" s="91" t="n">
        <f aca="false">IF($H64="",0,1)</f>
        <v>0</v>
      </c>
      <c r="U64" s="91" t="n">
        <f aca="false">IF($J64="",0,1)</f>
        <v>1</v>
      </c>
      <c r="V64" s="91" t="n">
        <f aca="true">IF($J64="",0,IF($J64&lt;=TODAY(),1,0))</f>
        <v>1</v>
      </c>
      <c r="W64" s="92" t="n">
        <f aca="false">IF($O64="",0,$O64)</f>
        <v>0</v>
      </c>
      <c r="X64" s="91" t="str">
        <f aca="false">IF($R64=1,SUM($R$2:$R64),"")</f>
        <v/>
      </c>
      <c r="Y64" s="91" t="n">
        <f aca="false">IF($F64="",0,IF(COUNTIF($F$2:$F64,$F64)+COUNTIF($H$2:$H64,$F64)&gt;1,1,0))+IF($H64="",0,IF(COUNTIF($F$2:$F64,$H64)+COUNTIF($H$2:$H64,$H64)&gt;1,1,0))</f>
        <v>0</v>
      </c>
      <c r="Z64" s="91" t="n">
        <f aca="false">IF($Q64=0,0,IF(COUNTIFS($A$2:$A64,$A64,$Q$2:$Q64,"&gt;0")=1,1,0))</f>
        <v>0</v>
      </c>
      <c r="AA64" s="93" t="n">
        <f aca="false">IF($Q64&gt;0,$A64,"")</f>
        <v>46251</v>
      </c>
      <c r="AB64" s="91" t="n">
        <f aca="false">IF($K64="",0,1)</f>
        <v>0</v>
      </c>
      <c r="AC64" s="91" t="n">
        <f aca="false">IF($L64="",0,1)</f>
        <v>0</v>
      </c>
      <c r="AD64" s="91" t="n">
        <f aca="false">IF($M64="",0,1)</f>
        <v>0</v>
      </c>
      <c r="AE64" s="91" t="n">
        <f aca="false">IF($Q64&gt;0,$D64,"")</f>
        <v>42</v>
      </c>
      <c r="AF64" s="1"/>
      <c r="AG64" s="1"/>
      <c r="AH64" s="1"/>
      <c r="AI64" s="1"/>
      <c r="AJ64" s="1"/>
      <c r="AK64" s="1"/>
      <c r="AL64" s="1"/>
      <c r="AM64" s="1"/>
      <c r="AN64" s="1"/>
    </row>
    <row r="65" customFormat="false" ht="18" hidden="false" customHeight="true" outlineLevel="0" collapsed="false">
      <c r="A65" s="86" t="n">
        <f aca="false">IF(ISNUMBER('Timeline Estacas'!A65),'Timeline Estacas'!A65,"")</f>
        <v>46251</v>
      </c>
      <c r="B65" s="87" t="n">
        <f aca="false">IF($A65="","",$A65)</f>
        <v>46251</v>
      </c>
      <c r="C65" s="88" t="n">
        <f aca="false">IF(ISNUMBER('Timeline Estacas'!C65),'Timeline Estacas'!C65,"")</f>
        <v>290</v>
      </c>
      <c r="D65" s="88" t="n">
        <f aca="false">IF(ISNUMBER('Timeline Estacas'!D65),'Timeline Estacas'!D65,"")</f>
        <v>42</v>
      </c>
      <c r="E65" s="88" t="str">
        <f aca="false">IF($D65="","","S-"&amp;TEXT($D65,"00"))</f>
        <v>S-42</v>
      </c>
      <c r="F65" s="88" t="n">
        <f aca="false">IF(ISNUMBER('Timeline Estacas'!F65),'Timeline Estacas'!F65,"")</f>
        <v>107</v>
      </c>
      <c r="G65" s="88" t="str">
        <f aca="false">IF($F65="","",IF('Timeline Estacas'!G65&lt;&gt;"",'Timeline Estacas'!G65,'Timeline Estacas'!I65))</f>
        <v>A</v>
      </c>
      <c r="H65" s="88" t="str">
        <f aca="false">IF(ISNUMBER('Timeline Estacas'!H65),'Timeline Estacas'!H65,"")</f>
        <v/>
      </c>
      <c r="I65" s="88" t="str">
        <f aca="false">IF($H65="","",'Timeline Estacas'!I65)</f>
        <v/>
      </c>
      <c r="J65" s="86" t="n">
        <f aca="false">IF(ISNUMBER('Timeline Estacas'!J65),'Timeline Estacas'!J65,"")</f>
        <v>46265</v>
      </c>
      <c r="K65" s="88" t="str">
        <f aca="false">IF('Timeline Estacas'!K65="","",'Timeline Estacas'!K65)</f>
        <v/>
      </c>
      <c r="L65" s="88" t="str">
        <f aca="false">IF('Timeline Estacas'!L65="","",'Timeline Estacas'!L65)</f>
        <v/>
      </c>
      <c r="M65" s="88" t="str">
        <f aca="false">IF('Timeline Estacas'!M65="","",'Timeline Estacas'!M65)</f>
        <v/>
      </c>
      <c r="N65" s="89" t="str">
        <f aca="false">IF('Timeline Estacas'!N65="","",'Timeline Estacas'!N65)</f>
        <v/>
      </c>
      <c r="O65" s="90" t="str">
        <f aca="false">IF(ISNUMBER('Timeline Estacas'!O65),'Timeline Estacas'!O65,"")</f>
        <v/>
      </c>
      <c r="P65" s="91" t="n">
        <f aca="false">IF($Q65&gt;0,1,0)</f>
        <v>1</v>
      </c>
      <c r="Q65" s="91" t="n">
        <f aca="false">IF($F65="",0,1)+IF($H65="",0,1)</f>
        <v>1</v>
      </c>
      <c r="R65" s="91" t="n">
        <f aca="false">IF($N65="",0,1)</f>
        <v>0</v>
      </c>
      <c r="S65" s="91" t="n">
        <f aca="false">IF($F65="",0,1)</f>
        <v>1</v>
      </c>
      <c r="T65" s="91" t="n">
        <f aca="false">IF($H65="",0,1)</f>
        <v>0</v>
      </c>
      <c r="U65" s="91" t="n">
        <f aca="false">IF($J65="",0,1)</f>
        <v>1</v>
      </c>
      <c r="V65" s="91" t="n">
        <f aca="true">IF($J65="",0,IF($J65&lt;=TODAY(),1,0))</f>
        <v>1</v>
      </c>
      <c r="W65" s="92" t="n">
        <f aca="false">IF($O65="",0,$O65)</f>
        <v>0</v>
      </c>
      <c r="X65" s="91" t="str">
        <f aca="false">IF($R65=1,SUM($R$2:$R65),"")</f>
        <v/>
      </c>
      <c r="Y65" s="91" t="n">
        <f aca="false">IF($F65="",0,IF(COUNTIF($F$2:$F65,$F65)+COUNTIF($H$2:$H65,$F65)&gt;1,1,0))+IF($H65="",0,IF(COUNTIF($F$2:$F65,$H65)+COUNTIF($H$2:$H65,$H65)&gt;1,1,0))</f>
        <v>0</v>
      </c>
      <c r="Z65" s="91" t="n">
        <f aca="false">IF($Q65=0,0,IF(COUNTIFS($A$2:$A65,$A65,$Q$2:$Q65,"&gt;0")=1,1,0))</f>
        <v>0</v>
      </c>
      <c r="AA65" s="93" t="n">
        <f aca="false">IF($Q65&gt;0,$A65,"")</f>
        <v>46251</v>
      </c>
      <c r="AB65" s="91" t="n">
        <f aca="false">IF($K65="",0,1)</f>
        <v>0</v>
      </c>
      <c r="AC65" s="91" t="n">
        <f aca="false">IF($L65="",0,1)</f>
        <v>0</v>
      </c>
      <c r="AD65" s="91" t="n">
        <f aca="false">IF($M65="",0,1)</f>
        <v>0</v>
      </c>
      <c r="AE65" s="91" t="n">
        <f aca="false">IF($Q65&gt;0,$D65,"")</f>
        <v>42</v>
      </c>
      <c r="AF65" s="1"/>
      <c r="AG65" s="1"/>
      <c r="AH65" s="1"/>
      <c r="AI65" s="1"/>
      <c r="AJ65" s="1"/>
      <c r="AK65" s="1"/>
      <c r="AL65" s="1"/>
      <c r="AM65" s="1"/>
      <c r="AN65" s="1"/>
    </row>
    <row r="66" customFormat="false" ht="18" hidden="false" customHeight="true" outlineLevel="0" collapsed="false">
      <c r="A66" s="86" t="n">
        <f aca="false">IF(ISNUMBER('Timeline Estacas'!A66),'Timeline Estacas'!A66,"")</f>
        <v>46252</v>
      </c>
      <c r="B66" s="87" t="n">
        <f aca="false">IF($A66="","",$A66)</f>
        <v>46252</v>
      </c>
      <c r="C66" s="88" t="n">
        <f aca="false">IF(ISNUMBER('Timeline Estacas'!C66),'Timeline Estacas'!C66,"")</f>
        <v>291</v>
      </c>
      <c r="D66" s="88" t="n">
        <f aca="false">IF(ISNUMBER('Timeline Estacas'!D66),'Timeline Estacas'!D66,"")</f>
        <v>42</v>
      </c>
      <c r="E66" s="88" t="str">
        <f aca="false">IF($D66="","","S-"&amp;TEXT($D66,"00"))</f>
        <v>S-42</v>
      </c>
      <c r="F66" s="88" t="str">
        <f aca="false">IF(ISNUMBER('Timeline Estacas'!F66),'Timeline Estacas'!F66,"")</f>
        <v/>
      </c>
      <c r="G66" s="88" t="str">
        <f aca="false">IF($F66="","",IF('Timeline Estacas'!G66&lt;&gt;"",'Timeline Estacas'!G66,'Timeline Estacas'!I66))</f>
        <v/>
      </c>
      <c r="H66" s="88" t="str">
        <f aca="false">IF(ISNUMBER('Timeline Estacas'!H66),'Timeline Estacas'!H66,"")</f>
        <v/>
      </c>
      <c r="I66" s="88" t="str">
        <f aca="false">IF($H66="","",'Timeline Estacas'!I66)</f>
        <v/>
      </c>
      <c r="J66" s="86" t="str">
        <f aca="false">IF(ISNUMBER('Timeline Estacas'!J66),'Timeline Estacas'!J66,"")</f>
        <v/>
      </c>
      <c r="K66" s="88" t="str">
        <f aca="false">IF('Timeline Estacas'!K66="","",'Timeline Estacas'!K66)</f>
        <v/>
      </c>
      <c r="L66" s="88" t="str">
        <f aca="false">IF('Timeline Estacas'!L66="","",'Timeline Estacas'!L66)</f>
        <v/>
      </c>
      <c r="M66" s="88" t="str">
        <f aca="false">IF('Timeline Estacas'!M66="","",'Timeline Estacas'!M66)</f>
        <v/>
      </c>
      <c r="N66" s="89" t="str">
        <f aca="false">IF('Timeline Estacas'!N66="","",'Timeline Estacas'!N66)</f>
        <v>Equipamento em manutenção (mangote)</v>
      </c>
      <c r="O66" s="90" t="str">
        <f aca="false">IF(ISNUMBER('Timeline Estacas'!O66),'Timeline Estacas'!O66,"")</f>
        <v/>
      </c>
      <c r="P66" s="91" t="n">
        <f aca="false">IF($Q66&gt;0,1,0)</f>
        <v>0</v>
      </c>
      <c r="Q66" s="91" t="n">
        <f aca="false">IF($F66="",0,1)+IF($H66="",0,1)</f>
        <v>0</v>
      </c>
      <c r="R66" s="91" t="n">
        <f aca="false">IF($N66="",0,1)</f>
        <v>1</v>
      </c>
      <c r="S66" s="91" t="n">
        <f aca="false">IF($F66="",0,1)</f>
        <v>0</v>
      </c>
      <c r="T66" s="91" t="n">
        <f aca="false">IF($H66="",0,1)</f>
        <v>0</v>
      </c>
      <c r="U66" s="91" t="n">
        <f aca="false">IF($J66="",0,1)</f>
        <v>0</v>
      </c>
      <c r="V66" s="91" t="n">
        <f aca="true">IF($J66="",0,IF($J66&lt;=TODAY(),1,0))</f>
        <v>0</v>
      </c>
      <c r="W66" s="92" t="n">
        <f aca="false">IF($O66="",0,$O66)</f>
        <v>0</v>
      </c>
      <c r="X66" s="91" t="n">
        <f aca="false">IF($R66=1,SUM($R$2:$R66),"")</f>
        <v>8</v>
      </c>
      <c r="Y66" s="91" t="n">
        <f aca="false">IF($F66="",0,IF(COUNTIF($F$2:$F66,$F66)+COUNTIF($H$2:$H66,$F66)&gt;1,1,0))+IF($H66="",0,IF(COUNTIF($F$2:$F66,$H66)+COUNTIF($H$2:$H66,$H66)&gt;1,1,0))</f>
        <v>0</v>
      </c>
      <c r="Z66" s="91" t="n">
        <f aca="false">IF($Q66=0,0,IF(COUNTIFS($A$2:$A66,$A66,$Q$2:$Q66,"&gt;0")=1,1,0))</f>
        <v>0</v>
      </c>
      <c r="AA66" s="93" t="str">
        <f aca="false">IF($Q66&gt;0,$A66,"")</f>
        <v/>
      </c>
      <c r="AB66" s="91" t="n">
        <f aca="false">IF($K66="",0,1)</f>
        <v>0</v>
      </c>
      <c r="AC66" s="91" t="n">
        <f aca="false">IF($L66="",0,1)</f>
        <v>0</v>
      </c>
      <c r="AD66" s="91" t="n">
        <f aca="false">IF($M66="",0,1)</f>
        <v>0</v>
      </c>
      <c r="AE66" s="91" t="str">
        <f aca="false">IF($Q66&gt;0,$D66,"")</f>
        <v/>
      </c>
      <c r="AF66" s="1"/>
      <c r="AG66" s="1"/>
      <c r="AH66" s="1"/>
      <c r="AI66" s="1"/>
      <c r="AJ66" s="1"/>
      <c r="AK66" s="1"/>
      <c r="AL66" s="1"/>
      <c r="AM66" s="1"/>
      <c r="AN66" s="1"/>
    </row>
    <row r="67" customFormat="false" ht="18" hidden="false" customHeight="true" outlineLevel="0" collapsed="false">
      <c r="A67" s="86" t="n">
        <f aca="false">IF(ISNUMBER('Timeline Estacas'!A67),'Timeline Estacas'!A67,"")</f>
        <v>46253</v>
      </c>
      <c r="B67" s="87" t="n">
        <f aca="false">IF($A67="","",$A67)</f>
        <v>46253</v>
      </c>
      <c r="C67" s="88" t="n">
        <f aca="false">IF(ISNUMBER('Timeline Estacas'!C67),'Timeline Estacas'!C67,"")</f>
        <v>292</v>
      </c>
      <c r="D67" s="88" t="n">
        <f aca="false">IF(ISNUMBER('Timeline Estacas'!D67),'Timeline Estacas'!D67,"")</f>
        <v>42</v>
      </c>
      <c r="E67" s="88" t="str">
        <f aca="false">IF($D67="","","S-"&amp;TEXT($D67,"00"))</f>
        <v>S-42</v>
      </c>
      <c r="F67" s="88" t="str">
        <f aca="false">IF(ISNUMBER('Timeline Estacas'!F67),'Timeline Estacas'!F67,"")</f>
        <v/>
      </c>
      <c r="G67" s="88" t="str">
        <f aca="false">IF($F67="","",IF('Timeline Estacas'!G67&lt;&gt;"",'Timeline Estacas'!G67,'Timeline Estacas'!I67))</f>
        <v/>
      </c>
      <c r="H67" s="88" t="str">
        <f aca="false">IF(ISNUMBER('Timeline Estacas'!H67),'Timeline Estacas'!H67,"")</f>
        <v/>
      </c>
      <c r="I67" s="88" t="str">
        <f aca="false">IF($H67="","",'Timeline Estacas'!I67)</f>
        <v/>
      </c>
      <c r="J67" s="86" t="str">
        <f aca="false">IF(ISNUMBER('Timeline Estacas'!J67),'Timeline Estacas'!J67,"")</f>
        <v/>
      </c>
      <c r="K67" s="88" t="str">
        <f aca="false">IF('Timeline Estacas'!K67="","",'Timeline Estacas'!K67)</f>
        <v/>
      </c>
      <c r="L67" s="88" t="str">
        <f aca="false">IF('Timeline Estacas'!L67="","",'Timeline Estacas'!L67)</f>
        <v/>
      </c>
      <c r="M67" s="88" t="str">
        <f aca="false">IF('Timeline Estacas'!M67="","",'Timeline Estacas'!M67)</f>
        <v/>
      </c>
      <c r="N67" s="89" t="str">
        <f aca="false">IF('Timeline Estacas'!N67="","",'Timeline Estacas'!N67)</f>
        <v>Equipamento em manutenção | Liberado 16h</v>
      </c>
      <c r="O67" s="90" t="str">
        <f aca="false">IF(ISNUMBER('Timeline Estacas'!O67),'Timeline Estacas'!O67,"")</f>
        <v/>
      </c>
      <c r="P67" s="91" t="n">
        <f aca="false">IF($Q67&gt;0,1,0)</f>
        <v>0</v>
      </c>
      <c r="Q67" s="91" t="n">
        <f aca="false">IF($F67="",0,1)+IF($H67="",0,1)</f>
        <v>0</v>
      </c>
      <c r="R67" s="91" t="n">
        <f aca="false">IF($N67="",0,1)</f>
        <v>1</v>
      </c>
      <c r="S67" s="91" t="n">
        <f aca="false">IF($F67="",0,1)</f>
        <v>0</v>
      </c>
      <c r="T67" s="91" t="n">
        <f aca="false">IF($H67="",0,1)</f>
        <v>0</v>
      </c>
      <c r="U67" s="91" t="n">
        <f aca="false">IF($J67="",0,1)</f>
        <v>0</v>
      </c>
      <c r="V67" s="91" t="n">
        <f aca="true">IF($J67="",0,IF($J67&lt;=TODAY(),1,0))</f>
        <v>0</v>
      </c>
      <c r="W67" s="92" t="n">
        <f aca="false">IF($O67="",0,$O67)</f>
        <v>0</v>
      </c>
      <c r="X67" s="91" t="n">
        <f aca="false">IF($R67=1,SUM($R$2:$R67),"")</f>
        <v>9</v>
      </c>
      <c r="Y67" s="91" t="n">
        <f aca="false">IF($F67="",0,IF(COUNTIF($F$2:$F67,$F67)+COUNTIF($H$2:$H67,$F67)&gt;1,1,0))+IF($H67="",0,IF(COUNTIF($F$2:$F67,$H67)+COUNTIF($H$2:$H67,$H67)&gt;1,1,0))</f>
        <v>0</v>
      </c>
      <c r="Z67" s="91" t="n">
        <f aca="false">IF($Q67=0,0,IF(COUNTIFS($A$2:$A67,$A67,$Q$2:$Q67,"&gt;0")=1,1,0))</f>
        <v>0</v>
      </c>
      <c r="AA67" s="93" t="str">
        <f aca="false">IF($Q67&gt;0,$A67,"")</f>
        <v/>
      </c>
      <c r="AB67" s="91" t="n">
        <f aca="false">IF($K67="",0,1)</f>
        <v>0</v>
      </c>
      <c r="AC67" s="91" t="n">
        <f aca="false">IF($L67="",0,1)</f>
        <v>0</v>
      </c>
      <c r="AD67" s="91" t="n">
        <f aca="false">IF($M67="",0,1)</f>
        <v>0</v>
      </c>
      <c r="AE67" s="91" t="str">
        <f aca="false">IF($Q67&gt;0,$D67,"")</f>
        <v/>
      </c>
      <c r="AF67" s="1"/>
      <c r="AG67" s="1"/>
      <c r="AH67" s="1"/>
      <c r="AI67" s="1"/>
      <c r="AJ67" s="1"/>
      <c r="AK67" s="1"/>
      <c r="AL67" s="1"/>
      <c r="AM67" s="1"/>
      <c r="AN67" s="1"/>
    </row>
    <row r="68" customFormat="false" ht="18" hidden="false" customHeight="true" outlineLevel="0" collapsed="false">
      <c r="A68" s="86" t="n">
        <f aca="false">IF(ISNUMBER('Timeline Estacas'!A68),'Timeline Estacas'!A68,"")</f>
        <v>46254</v>
      </c>
      <c r="B68" s="87" t="n">
        <f aca="false">IF($A68="","",$A68)</f>
        <v>46254</v>
      </c>
      <c r="C68" s="88" t="n">
        <f aca="false">IF(ISNUMBER('Timeline Estacas'!C68),'Timeline Estacas'!C68,"")</f>
        <v>293</v>
      </c>
      <c r="D68" s="88" t="n">
        <f aca="false">IF(ISNUMBER('Timeline Estacas'!D68),'Timeline Estacas'!D68,"")</f>
        <v>42</v>
      </c>
      <c r="E68" s="88" t="str">
        <f aca="false">IF($D68="","","S-"&amp;TEXT($D68,"00"))</f>
        <v>S-42</v>
      </c>
      <c r="F68" s="88" t="n">
        <f aca="false">IF(ISNUMBER('Timeline Estacas'!F68),'Timeline Estacas'!F68,"")</f>
        <v>97</v>
      </c>
      <c r="G68" s="88" t="str">
        <f aca="false">IF($F68="","",IF('Timeline Estacas'!G68&lt;&gt;"",'Timeline Estacas'!G68,'Timeline Estacas'!I68))</f>
        <v>A</v>
      </c>
      <c r="H68" s="88" t="str">
        <f aca="false">IF(ISNUMBER('Timeline Estacas'!H68),'Timeline Estacas'!H68,"")</f>
        <v/>
      </c>
      <c r="I68" s="88" t="str">
        <f aca="false">IF($H68="","",'Timeline Estacas'!I68)</f>
        <v/>
      </c>
      <c r="J68" s="86" t="n">
        <f aca="false">IF(ISNUMBER('Timeline Estacas'!J68),'Timeline Estacas'!J68,"")</f>
        <v>46268</v>
      </c>
      <c r="K68" s="88" t="str">
        <f aca="false">IF('Timeline Estacas'!K68="","",'Timeline Estacas'!K68)</f>
        <v/>
      </c>
      <c r="L68" s="88" t="str">
        <f aca="false">IF('Timeline Estacas'!L68="","",'Timeline Estacas'!L68)</f>
        <v/>
      </c>
      <c r="M68" s="88" t="str">
        <f aca="false">IF('Timeline Estacas'!M68="","",'Timeline Estacas'!M68)</f>
        <v/>
      </c>
      <c r="N68" s="89" t="str">
        <f aca="false">IF('Timeline Estacas'!N68="","",'Timeline Estacas'!N68)</f>
        <v/>
      </c>
      <c r="O68" s="90" t="str">
        <f aca="false">IF(ISNUMBER('Timeline Estacas'!O68),'Timeline Estacas'!O68,"")</f>
        <v/>
      </c>
      <c r="P68" s="91" t="n">
        <f aca="false">IF($Q68&gt;0,1,0)</f>
        <v>1</v>
      </c>
      <c r="Q68" s="91" t="n">
        <f aca="false">IF($F68="",0,1)+IF($H68="",0,1)</f>
        <v>1</v>
      </c>
      <c r="R68" s="91" t="n">
        <f aca="false">IF($N68="",0,1)</f>
        <v>0</v>
      </c>
      <c r="S68" s="91" t="n">
        <f aca="false">IF($F68="",0,1)</f>
        <v>1</v>
      </c>
      <c r="T68" s="91" t="n">
        <f aca="false">IF($H68="",0,1)</f>
        <v>0</v>
      </c>
      <c r="U68" s="91" t="n">
        <f aca="false">IF($J68="",0,1)</f>
        <v>1</v>
      </c>
      <c r="V68" s="91" t="n">
        <f aca="true">IF($J68="",0,IF($J68&lt;=TODAY(),1,0))</f>
        <v>0</v>
      </c>
      <c r="W68" s="92" t="n">
        <f aca="false">IF($O68="",0,$O68)</f>
        <v>0</v>
      </c>
      <c r="X68" s="91" t="str">
        <f aca="false">IF($R68=1,SUM($R$2:$R68),"")</f>
        <v/>
      </c>
      <c r="Y68" s="91" t="n">
        <f aca="false">IF($F68="",0,IF(COUNTIF($F$2:$F68,$F68)+COUNTIF($H$2:$H68,$F68)&gt;1,1,0))+IF($H68="",0,IF(COUNTIF($F$2:$F68,$H68)+COUNTIF($H$2:$H68,$H68)&gt;1,1,0))</f>
        <v>0</v>
      </c>
      <c r="Z68" s="91" t="n">
        <f aca="false">IF($Q68=0,0,IF(COUNTIFS($A$2:$A68,$A68,$Q$2:$Q68,"&gt;0")=1,1,0))</f>
        <v>1</v>
      </c>
      <c r="AA68" s="93" t="n">
        <f aca="false">IF($Q68&gt;0,$A68,"")</f>
        <v>46254</v>
      </c>
      <c r="AB68" s="91" t="n">
        <f aca="false">IF($K68="",0,1)</f>
        <v>0</v>
      </c>
      <c r="AC68" s="91" t="n">
        <f aca="false">IF($L68="",0,1)</f>
        <v>0</v>
      </c>
      <c r="AD68" s="91" t="n">
        <f aca="false">IF($M68="",0,1)</f>
        <v>0</v>
      </c>
      <c r="AE68" s="91" t="n">
        <f aca="false">IF($Q68&gt;0,$D68,"")</f>
        <v>42</v>
      </c>
      <c r="AF68" s="1"/>
      <c r="AG68" s="1"/>
      <c r="AH68" s="1"/>
      <c r="AI68" s="1"/>
      <c r="AJ68" s="1"/>
      <c r="AK68" s="1"/>
      <c r="AL68" s="1"/>
      <c r="AM68" s="1"/>
      <c r="AN68" s="1"/>
    </row>
    <row r="69" customFormat="false" ht="18" hidden="false" customHeight="true" outlineLevel="0" collapsed="false">
      <c r="A69" s="86" t="n">
        <f aca="false">IF(ISNUMBER('Timeline Estacas'!A69),'Timeline Estacas'!A69,"")</f>
        <v>46254</v>
      </c>
      <c r="B69" s="87" t="n">
        <f aca="false">IF($A69="","",$A69)</f>
        <v>46254</v>
      </c>
      <c r="C69" s="88" t="n">
        <f aca="false">IF(ISNUMBER('Timeline Estacas'!C69),'Timeline Estacas'!C69,"")</f>
        <v>293</v>
      </c>
      <c r="D69" s="88" t="n">
        <f aca="false">IF(ISNUMBER('Timeline Estacas'!D69),'Timeline Estacas'!D69,"")</f>
        <v>42</v>
      </c>
      <c r="E69" s="88" t="str">
        <f aca="false">IF($D69="","","S-"&amp;TEXT($D69,"00"))</f>
        <v>S-42</v>
      </c>
      <c r="F69" s="88" t="n">
        <f aca="false">IF(ISNUMBER('Timeline Estacas'!F69),'Timeline Estacas'!F69,"")</f>
        <v>102</v>
      </c>
      <c r="G69" s="88" t="str">
        <f aca="false">IF($F69="","",IF('Timeline Estacas'!G69&lt;&gt;"",'Timeline Estacas'!G69,'Timeline Estacas'!I69))</f>
        <v>A</v>
      </c>
      <c r="H69" s="88" t="str">
        <f aca="false">IF(ISNUMBER('Timeline Estacas'!H69),'Timeline Estacas'!H69,"")</f>
        <v/>
      </c>
      <c r="I69" s="88" t="str">
        <f aca="false">IF($H69="","",'Timeline Estacas'!I69)</f>
        <v/>
      </c>
      <c r="J69" s="86" t="n">
        <f aca="false">IF(ISNUMBER('Timeline Estacas'!J69),'Timeline Estacas'!J69,"")</f>
        <v>46268</v>
      </c>
      <c r="K69" s="88" t="str">
        <f aca="false">IF('Timeline Estacas'!K69="","",'Timeline Estacas'!K69)</f>
        <v/>
      </c>
      <c r="L69" s="88" t="str">
        <f aca="false">IF('Timeline Estacas'!L69="","",'Timeline Estacas'!L69)</f>
        <v/>
      </c>
      <c r="M69" s="88" t="str">
        <f aca="false">IF('Timeline Estacas'!M69="","",'Timeline Estacas'!M69)</f>
        <v/>
      </c>
      <c r="N69" s="89" t="str">
        <f aca="false">IF('Timeline Estacas'!N69="","",'Timeline Estacas'!N69)</f>
        <v/>
      </c>
      <c r="O69" s="90" t="str">
        <f aca="false">IF(ISNUMBER('Timeline Estacas'!O69),'Timeline Estacas'!O69,"")</f>
        <v/>
      </c>
      <c r="P69" s="91" t="n">
        <f aca="false">IF($Q69&gt;0,1,0)</f>
        <v>1</v>
      </c>
      <c r="Q69" s="91" t="n">
        <f aca="false">IF($F69="",0,1)+IF($H69="",0,1)</f>
        <v>1</v>
      </c>
      <c r="R69" s="91" t="n">
        <f aca="false">IF($N69="",0,1)</f>
        <v>0</v>
      </c>
      <c r="S69" s="91" t="n">
        <f aca="false">IF($F69="",0,1)</f>
        <v>1</v>
      </c>
      <c r="T69" s="91" t="n">
        <f aca="false">IF($H69="",0,1)</f>
        <v>0</v>
      </c>
      <c r="U69" s="91" t="n">
        <f aca="false">IF($J69="",0,1)</f>
        <v>1</v>
      </c>
      <c r="V69" s="91" t="n">
        <f aca="true">IF($J69="",0,IF($J69&lt;=TODAY(),1,0))</f>
        <v>0</v>
      </c>
      <c r="W69" s="92" t="n">
        <f aca="false">IF($O69="",0,$O69)</f>
        <v>0</v>
      </c>
      <c r="X69" s="91" t="str">
        <f aca="false">IF($R69=1,SUM($R$2:$R69),"")</f>
        <v/>
      </c>
      <c r="Y69" s="91" t="n">
        <f aca="false">IF($F69="",0,IF(COUNTIF($F$2:$F69,$F69)+COUNTIF($H$2:$H69,$F69)&gt;1,1,0))+IF($H69="",0,IF(COUNTIF($F$2:$F69,$H69)+COUNTIF($H$2:$H69,$H69)&gt;1,1,0))</f>
        <v>0</v>
      </c>
      <c r="Z69" s="91" t="n">
        <f aca="false">IF($Q69=0,0,IF(COUNTIFS($A$2:$A69,$A69,$Q$2:$Q69,"&gt;0")=1,1,0))</f>
        <v>0</v>
      </c>
      <c r="AA69" s="93" t="n">
        <f aca="false">IF($Q69&gt;0,$A69,"")</f>
        <v>46254</v>
      </c>
      <c r="AB69" s="91" t="n">
        <f aca="false">IF($K69="",0,1)</f>
        <v>0</v>
      </c>
      <c r="AC69" s="91" t="n">
        <f aca="false">IF($L69="",0,1)</f>
        <v>0</v>
      </c>
      <c r="AD69" s="91" t="n">
        <f aca="false">IF($M69="",0,1)</f>
        <v>0</v>
      </c>
      <c r="AE69" s="91" t="n">
        <f aca="false">IF($Q69&gt;0,$D69,"")</f>
        <v>42</v>
      </c>
      <c r="AF69" s="1"/>
      <c r="AG69" s="1"/>
      <c r="AH69" s="1"/>
      <c r="AI69" s="1"/>
      <c r="AJ69" s="1"/>
      <c r="AK69" s="1"/>
      <c r="AL69" s="1"/>
      <c r="AM69" s="1"/>
      <c r="AN69" s="1"/>
    </row>
    <row r="70" customFormat="false" ht="18" hidden="false" customHeight="true" outlineLevel="0" collapsed="false">
      <c r="A70" s="86" t="n">
        <f aca="false">IF(ISNUMBER('Timeline Estacas'!A70),'Timeline Estacas'!A70,"")</f>
        <v>46254</v>
      </c>
      <c r="B70" s="87" t="n">
        <f aca="false">IF($A70="","",$A70)</f>
        <v>46254</v>
      </c>
      <c r="C70" s="88" t="n">
        <f aca="false">IF(ISNUMBER('Timeline Estacas'!C70),'Timeline Estacas'!C70,"")</f>
        <v>293</v>
      </c>
      <c r="D70" s="88" t="n">
        <f aca="false">IF(ISNUMBER('Timeline Estacas'!D70),'Timeline Estacas'!D70,"")</f>
        <v>42</v>
      </c>
      <c r="E70" s="88" t="str">
        <f aca="false">IF($D70="","","S-"&amp;TEXT($D70,"00"))</f>
        <v>S-42</v>
      </c>
      <c r="F70" s="88" t="n">
        <f aca="false">IF(ISNUMBER('Timeline Estacas'!F70),'Timeline Estacas'!F70,"")</f>
        <v>103</v>
      </c>
      <c r="G70" s="88" t="str">
        <f aca="false">IF($F70="","",IF('Timeline Estacas'!G70&lt;&gt;"",'Timeline Estacas'!G70,'Timeline Estacas'!I70))</f>
        <v>A</v>
      </c>
      <c r="H70" s="88" t="str">
        <f aca="false">IF(ISNUMBER('Timeline Estacas'!H70),'Timeline Estacas'!H70,"")</f>
        <v/>
      </c>
      <c r="I70" s="88" t="str">
        <f aca="false">IF($H70="","",'Timeline Estacas'!I70)</f>
        <v/>
      </c>
      <c r="J70" s="86" t="n">
        <f aca="false">IF(ISNUMBER('Timeline Estacas'!J70),'Timeline Estacas'!J70,"")</f>
        <v>46268</v>
      </c>
      <c r="K70" s="88" t="str">
        <f aca="false">IF('Timeline Estacas'!K70="","",'Timeline Estacas'!K70)</f>
        <v/>
      </c>
      <c r="L70" s="88" t="str">
        <f aca="false">IF('Timeline Estacas'!L70="","",'Timeline Estacas'!L70)</f>
        <v/>
      </c>
      <c r="M70" s="88" t="str">
        <f aca="false">IF('Timeline Estacas'!M70="","",'Timeline Estacas'!M70)</f>
        <v/>
      </c>
      <c r="N70" s="89" t="str">
        <f aca="false">IF('Timeline Estacas'!N70="","",'Timeline Estacas'!N70)</f>
        <v/>
      </c>
      <c r="O70" s="90" t="str">
        <f aca="false">IF(ISNUMBER('Timeline Estacas'!O70),'Timeline Estacas'!O70,"")</f>
        <v/>
      </c>
      <c r="P70" s="91" t="n">
        <f aca="false">IF($Q70&gt;0,1,0)</f>
        <v>1</v>
      </c>
      <c r="Q70" s="91" t="n">
        <f aca="false">IF($F70="",0,1)+IF($H70="",0,1)</f>
        <v>1</v>
      </c>
      <c r="R70" s="91" t="n">
        <f aca="false">IF($N70="",0,1)</f>
        <v>0</v>
      </c>
      <c r="S70" s="91" t="n">
        <f aca="false">IF($F70="",0,1)</f>
        <v>1</v>
      </c>
      <c r="T70" s="91" t="n">
        <f aca="false">IF($H70="",0,1)</f>
        <v>0</v>
      </c>
      <c r="U70" s="91" t="n">
        <f aca="false">IF($J70="",0,1)</f>
        <v>1</v>
      </c>
      <c r="V70" s="91" t="n">
        <f aca="true">IF($J70="",0,IF($J70&lt;=TODAY(),1,0))</f>
        <v>0</v>
      </c>
      <c r="W70" s="92" t="n">
        <f aca="false">IF($O70="",0,$O70)</f>
        <v>0</v>
      </c>
      <c r="X70" s="91" t="str">
        <f aca="false">IF($R70=1,SUM($R$2:$R70),"")</f>
        <v/>
      </c>
      <c r="Y70" s="91" t="n">
        <f aca="false">IF($F70="",0,IF(COUNTIF($F$2:$F70,$F70)+COUNTIF($H$2:$H70,$F70)&gt;1,1,0))+IF($H70="",0,IF(COUNTIF($F$2:$F70,$H70)+COUNTIF($H$2:$H70,$H70)&gt;1,1,0))</f>
        <v>0</v>
      </c>
      <c r="Z70" s="91" t="n">
        <f aca="false">IF($Q70=0,0,IF(COUNTIFS($A$2:$A70,$A70,$Q$2:$Q70,"&gt;0")=1,1,0))</f>
        <v>0</v>
      </c>
      <c r="AA70" s="93" t="n">
        <f aca="false">IF($Q70&gt;0,$A70,"")</f>
        <v>46254</v>
      </c>
      <c r="AB70" s="91" t="n">
        <f aca="false">IF($K70="",0,1)</f>
        <v>0</v>
      </c>
      <c r="AC70" s="91" t="n">
        <f aca="false">IF($L70="",0,1)</f>
        <v>0</v>
      </c>
      <c r="AD70" s="91" t="n">
        <f aca="false">IF($M70="",0,1)</f>
        <v>0</v>
      </c>
      <c r="AE70" s="91" t="n">
        <f aca="false">IF($Q70&gt;0,$D70,"")</f>
        <v>42</v>
      </c>
      <c r="AF70" s="1"/>
      <c r="AG70" s="1"/>
      <c r="AH70" s="1"/>
      <c r="AI70" s="1"/>
      <c r="AJ70" s="1"/>
      <c r="AK70" s="1"/>
      <c r="AL70" s="1"/>
      <c r="AM70" s="1"/>
      <c r="AN70" s="1"/>
    </row>
    <row r="71" customFormat="false" ht="18" hidden="false" customHeight="true" outlineLevel="0" collapsed="false">
      <c r="A71" s="86" t="n">
        <f aca="false">IF(ISNUMBER('Timeline Estacas'!A71),'Timeline Estacas'!A71,"")</f>
        <v>46254</v>
      </c>
      <c r="B71" s="87" t="n">
        <f aca="false">IF($A71="","",$A71)</f>
        <v>46254</v>
      </c>
      <c r="C71" s="88" t="n">
        <f aca="false">IF(ISNUMBER('Timeline Estacas'!C71),'Timeline Estacas'!C71,"")</f>
        <v>293</v>
      </c>
      <c r="D71" s="88" t="n">
        <f aca="false">IF(ISNUMBER('Timeline Estacas'!D71),'Timeline Estacas'!D71,"")</f>
        <v>42</v>
      </c>
      <c r="E71" s="88" t="str">
        <f aca="false">IF($D71="","","S-"&amp;TEXT($D71,"00"))</f>
        <v>S-42</v>
      </c>
      <c r="F71" s="88" t="n">
        <f aca="false">IF(ISNUMBER('Timeline Estacas'!F71),'Timeline Estacas'!F71,"")</f>
        <v>108</v>
      </c>
      <c r="G71" s="88" t="str">
        <f aca="false">IF($F71="","",IF('Timeline Estacas'!G71&lt;&gt;"",'Timeline Estacas'!G71,'Timeline Estacas'!I71))</f>
        <v>A</v>
      </c>
      <c r="H71" s="88" t="str">
        <f aca="false">IF(ISNUMBER('Timeline Estacas'!H71),'Timeline Estacas'!H71,"")</f>
        <v/>
      </c>
      <c r="I71" s="88" t="str">
        <f aca="false">IF($H71="","",'Timeline Estacas'!I71)</f>
        <v/>
      </c>
      <c r="J71" s="86" t="n">
        <f aca="false">IF(ISNUMBER('Timeline Estacas'!J71),'Timeline Estacas'!J71,"")</f>
        <v>46268</v>
      </c>
      <c r="K71" s="88" t="str">
        <f aca="false">IF('Timeline Estacas'!K71="","",'Timeline Estacas'!K71)</f>
        <v/>
      </c>
      <c r="L71" s="88" t="str">
        <f aca="false">IF('Timeline Estacas'!L71="","",'Timeline Estacas'!L71)</f>
        <v/>
      </c>
      <c r="M71" s="88" t="str">
        <f aca="false">IF('Timeline Estacas'!M71="","",'Timeline Estacas'!M71)</f>
        <v/>
      </c>
      <c r="N71" s="89" t="str">
        <f aca="false">IF('Timeline Estacas'!N71="","",'Timeline Estacas'!N71)</f>
        <v/>
      </c>
      <c r="O71" s="90" t="str">
        <f aca="false">IF(ISNUMBER('Timeline Estacas'!O71),'Timeline Estacas'!O71,"")</f>
        <v/>
      </c>
      <c r="P71" s="91" t="n">
        <f aca="false">IF($Q71&gt;0,1,0)</f>
        <v>1</v>
      </c>
      <c r="Q71" s="91" t="n">
        <f aca="false">IF($F71="",0,1)+IF($H71="",0,1)</f>
        <v>1</v>
      </c>
      <c r="R71" s="91" t="n">
        <f aca="false">IF($N71="",0,1)</f>
        <v>0</v>
      </c>
      <c r="S71" s="91" t="n">
        <f aca="false">IF($F71="",0,1)</f>
        <v>1</v>
      </c>
      <c r="T71" s="91" t="n">
        <f aca="false">IF($H71="",0,1)</f>
        <v>0</v>
      </c>
      <c r="U71" s="91" t="n">
        <f aca="false">IF($J71="",0,1)</f>
        <v>1</v>
      </c>
      <c r="V71" s="91" t="n">
        <f aca="true">IF($J71="",0,IF($J71&lt;=TODAY(),1,0))</f>
        <v>0</v>
      </c>
      <c r="W71" s="92" t="n">
        <f aca="false">IF($O71="",0,$O71)</f>
        <v>0</v>
      </c>
      <c r="X71" s="91" t="str">
        <f aca="false">IF($R71=1,SUM($R$2:$R71),"")</f>
        <v/>
      </c>
      <c r="Y71" s="91" t="n">
        <f aca="false">IF($F71="",0,IF(COUNTIF($F$2:$F71,$F71)+COUNTIF($H$2:$H71,$F71)&gt;1,1,0))+IF($H71="",0,IF(COUNTIF($F$2:$F71,$H71)+COUNTIF($H$2:$H71,$H71)&gt;1,1,0))</f>
        <v>0</v>
      </c>
      <c r="Z71" s="91" t="n">
        <f aca="false">IF($Q71=0,0,IF(COUNTIFS($A$2:$A71,$A71,$Q$2:$Q71,"&gt;0")=1,1,0))</f>
        <v>0</v>
      </c>
      <c r="AA71" s="93" t="n">
        <f aca="false">IF($Q71&gt;0,$A71,"")</f>
        <v>46254</v>
      </c>
      <c r="AB71" s="91" t="n">
        <f aca="false">IF($K71="",0,1)</f>
        <v>0</v>
      </c>
      <c r="AC71" s="91" t="n">
        <f aca="false">IF($L71="",0,1)</f>
        <v>0</v>
      </c>
      <c r="AD71" s="91" t="n">
        <f aca="false">IF($M71="",0,1)</f>
        <v>0</v>
      </c>
      <c r="AE71" s="91" t="n">
        <f aca="false">IF($Q71&gt;0,$D71,"")</f>
        <v>42</v>
      </c>
      <c r="AF71" s="1"/>
      <c r="AG71" s="1"/>
      <c r="AH71" s="1"/>
      <c r="AI71" s="1"/>
      <c r="AJ71" s="1"/>
      <c r="AK71" s="1"/>
      <c r="AL71" s="1"/>
      <c r="AM71" s="1"/>
      <c r="AN71" s="1"/>
    </row>
    <row r="72" customFormat="false" ht="18" hidden="false" customHeight="true" outlineLevel="0" collapsed="false">
      <c r="A72" s="86" t="n">
        <f aca="false">IF(ISNUMBER('Timeline Estacas'!A72),'Timeline Estacas'!A72,"")</f>
        <v>46254</v>
      </c>
      <c r="B72" s="87" t="n">
        <f aca="false">IF($A72="","",$A72)</f>
        <v>46254</v>
      </c>
      <c r="C72" s="88" t="n">
        <f aca="false">IF(ISNUMBER('Timeline Estacas'!C72),'Timeline Estacas'!C72,"")</f>
        <v>293</v>
      </c>
      <c r="D72" s="88" t="n">
        <f aca="false">IF(ISNUMBER('Timeline Estacas'!D72),'Timeline Estacas'!D72,"")</f>
        <v>42</v>
      </c>
      <c r="E72" s="88" t="str">
        <f aca="false">IF($D72="","","S-"&amp;TEXT($D72,"00"))</f>
        <v>S-42</v>
      </c>
      <c r="F72" s="88" t="n">
        <f aca="false">IF(ISNUMBER('Timeline Estacas'!F72),'Timeline Estacas'!F72,"")</f>
        <v>114</v>
      </c>
      <c r="G72" s="88" t="str">
        <f aca="false">IF($F72="","",IF('Timeline Estacas'!G72&lt;&gt;"",'Timeline Estacas'!G72,'Timeline Estacas'!I72))</f>
        <v>A</v>
      </c>
      <c r="H72" s="88" t="str">
        <f aca="false">IF(ISNUMBER('Timeline Estacas'!H72),'Timeline Estacas'!H72,"")</f>
        <v/>
      </c>
      <c r="I72" s="88" t="str">
        <f aca="false">IF($H72="","",'Timeline Estacas'!I72)</f>
        <v/>
      </c>
      <c r="J72" s="86" t="n">
        <f aca="false">IF(ISNUMBER('Timeline Estacas'!J72),'Timeline Estacas'!J72,"")</f>
        <v>46268</v>
      </c>
      <c r="K72" s="88" t="str">
        <f aca="false">IF('Timeline Estacas'!K72="","",'Timeline Estacas'!K72)</f>
        <v/>
      </c>
      <c r="L72" s="88" t="str">
        <f aca="false">IF('Timeline Estacas'!L72="","",'Timeline Estacas'!L72)</f>
        <v/>
      </c>
      <c r="M72" s="88" t="str">
        <f aca="false">IF('Timeline Estacas'!M72="","",'Timeline Estacas'!M72)</f>
        <v/>
      </c>
      <c r="N72" s="89" t="str">
        <f aca="false">IF('Timeline Estacas'!N72="","",'Timeline Estacas'!N72)</f>
        <v/>
      </c>
      <c r="O72" s="90" t="str">
        <f aca="false">IF(ISNUMBER('Timeline Estacas'!O72),'Timeline Estacas'!O72,"")</f>
        <v/>
      </c>
      <c r="P72" s="91" t="n">
        <f aca="false">IF($Q72&gt;0,1,0)</f>
        <v>1</v>
      </c>
      <c r="Q72" s="91" t="n">
        <f aca="false">IF($F72="",0,1)+IF($H72="",0,1)</f>
        <v>1</v>
      </c>
      <c r="R72" s="91" t="n">
        <f aca="false">IF($N72="",0,1)</f>
        <v>0</v>
      </c>
      <c r="S72" s="91" t="n">
        <f aca="false">IF($F72="",0,1)</f>
        <v>1</v>
      </c>
      <c r="T72" s="91" t="n">
        <f aca="false">IF($H72="",0,1)</f>
        <v>0</v>
      </c>
      <c r="U72" s="91" t="n">
        <f aca="false">IF($J72="",0,1)</f>
        <v>1</v>
      </c>
      <c r="V72" s="91" t="n">
        <f aca="true">IF($J72="",0,IF($J72&lt;=TODAY(),1,0))</f>
        <v>0</v>
      </c>
      <c r="W72" s="92" t="n">
        <f aca="false">IF($O72="",0,$O72)</f>
        <v>0</v>
      </c>
      <c r="X72" s="91" t="str">
        <f aca="false">IF($R72=1,SUM($R$2:$R72),"")</f>
        <v/>
      </c>
      <c r="Y72" s="91" t="n">
        <f aca="false">IF($F72="",0,IF(COUNTIF($F$2:$F72,$F72)+COUNTIF($H$2:$H72,$F72)&gt;1,1,0))+IF($H72="",0,IF(COUNTIF($F$2:$F72,$H72)+COUNTIF($H$2:$H72,$H72)&gt;1,1,0))</f>
        <v>0</v>
      </c>
      <c r="Z72" s="91" t="n">
        <f aca="false">IF($Q72=0,0,IF(COUNTIFS($A$2:$A72,$A72,$Q$2:$Q72,"&gt;0")=1,1,0))</f>
        <v>0</v>
      </c>
      <c r="AA72" s="93" t="n">
        <f aca="false">IF($Q72&gt;0,$A72,"")</f>
        <v>46254</v>
      </c>
      <c r="AB72" s="91" t="n">
        <f aca="false">IF($K72="",0,1)</f>
        <v>0</v>
      </c>
      <c r="AC72" s="91" t="n">
        <f aca="false">IF($L72="",0,1)</f>
        <v>0</v>
      </c>
      <c r="AD72" s="91" t="n">
        <f aca="false">IF($M72="",0,1)</f>
        <v>0</v>
      </c>
      <c r="AE72" s="91" t="n">
        <f aca="false">IF($Q72&gt;0,$D72,"")</f>
        <v>42</v>
      </c>
      <c r="AF72" s="1"/>
      <c r="AG72" s="1"/>
      <c r="AH72" s="1"/>
      <c r="AI72" s="1"/>
      <c r="AJ72" s="1"/>
      <c r="AK72" s="1"/>
      <c r="AL72" s="1"/>
      <c r="AM72" s="1"/>
      <c r="AN72" s="1"/>
    </row>
    <row r="73" customFormat="false" ht="18" hidden="false" customHeight="true" outlineLevel="0" collapsed="false">
      <c r="A73" s="86" t="n">
        <f aca="false">IF(ISNUMBER('Timeline Estacas'!A73),'Timeline Estacas'!A73,"")</f>
        <v>46254</v>
      </c>
      <c r="B73" s="87" t="n">
        <f aca="false">IF($A73="","",$A73)</f>
        <v>46254</v>
      </c>
      <c r="C73" s="88" t="n">
        <f aca="false">IF(ISNUMBER('Timeline Estacas'!C73),'Timeline Estacas'!C73,"")</f>
        <v>293</v>
      </c>
      <c r="D73" s="88" t="n">
        <f aca="false">IF(ISNUMBER('Timeline Estacas'!D73),'Timeline Estacas'!D73,"")</f>
        <v>42</v>
      </c>
      <c r="E73" s="88" t="str">
        <f aca="false">IF($D73="","","S-"&amp;TEXT($D73,"00"))</f>
        <v>S-42</v>
      </c>
      <c r="F73" s="88" t="n">
        <f aca="false">IF(ISNUMBER('Timeline Estacas'!F73),'Timeline Estacas'!F73,"")</f>
        <v>115</v>
      </c>
      <c r="G73" s="88" t="str">
        <f aca="false">IF($F73="","",IF('Timeline Estacas'!G73&lt;&gt;"",'Timeline Estacas'!G73,'Timeline Estacas'!I73))</f>
        <v>A</v>
      </c>
      <c r="H73" s="88" t="str">
        <f aca="false">IF(ISNUMBER('Timeline Estacas'!H73),'Timeline Estacas'!H73,"")</f>
        <v/>
      </c>
      <c r="I73" s="88" t="str">
        <f aca="false">IF($H73="","",'Timeline Estacas'!I73)</f>
        <v/>
      </c>
      <c r="J73" s="86" t="n">
        <f aca="false">IF(ISNUMBER('Timeline Estacas'!J73),'Timeline Estacas'!J73,"")</f>
        <v>46268</v>
      </c>
      <c r="K73" s="88" t="str">
        <f aca="false">IF('Timeline Estacas'!K73="","",'Timeline Estacas'!K73)</f>
        <v/>
      </c>
      <c r="L73" s="88" t="str">
        <f aca="false">IF('Timeline Estacas'!L73="","",'Timeline Estacas'!L73)</f>
        <v/>
      </c>
      <c r="M73" s="88" t="str">
        <f aca="false">IF('Timeline Estacas'!M73="","",'Timeline Estacas'!M73)</f>
        <v/>
      </c>
      <c r="N73" s="89" t="str">
        <f aca="false">IF('Timeline Estacas'!N73="","",'Timeline Estacas'!N73)</f>
        <v/>
      </c>
      <c r="O73" s="90" t="str">
        <f aca="false">IF(ISNUMBER('Timeline Estacas'!O73),'Timeline Estacas'!O73,"")</f>
        <v/>
      </c>
      <c r="P73" s="91" t="n">
        <f aca="false">IF($Q73&gt;0,1,0)</f>
        <v>1</v>
      </c>
      <c r="Q73" s="91" t="n">
        <f aca="false">IF($F73="",0,1)+IF($H73="",0,1)</f>
        <v>1</v>
      </c>
      <c r="R73" s="91" t="n">
        <f aca="false">IF($N73="",0,1)</f>
        <v>0</v>
      </c>
      <c r="S73" s="91" t="n">
        <f aca="false">IF($F73="",0,1)</f>
        <v>1</v>
      </c>
      <c r="T73" s="91" t="n">
        <f aca="false">IF($H73="",0,1)</f>
        <v>0</v>
      </c>
      <c r="U73" s="91" t="n">
        <f aca="false">IF($J73="",0,1)</f>
        <v>1</v>
      </c>
      <c r="V73" s="91" t="n">
        <f aca="true">IF($J73="",0,IF($J73&lt;=TODAY(),1,0))</f>
        <v>0</v>
      </c>
      <c r="W73" s="92" t="n">
        <f aca="false">IF($O73="",0,$O73)</f>
        <v>0</v>
      </c>
      <c r="X73" s="91" t="str">
        <f aca="false">IF($R73=1,SUM($R$2:$R73),"")</f>
        <v/>
      </c>
      <c r="Y73" s="91" t="n">
        <f aca="false">IF($F73="",0,IF(COUNTIF($F$2:$F73,$F73)+COUNTIF($H$2:$H73,$F73)&gt;1,1,0))+IF($H73="",0,IF(COUNTIF($F$2:$F73,$H73)+COUNTIF($H$2:$H73,$H73)&gt;1,1,0))</f>
        <v>0</v>
      </c>
      <c r="Z73" s="91" t="n">
        <f aca="false">IF($Q73=0,0,IF(COUNTIFS($A$2:$A73,$A73,$Q$2:$Q73,"&gt;0")=1,1,0))</f>
        <v>0</v>
      </c>
      <c r="AA73" s="93" t="n">
        <f aca="false">IF($Q73&gt;0,$A73,"")</f>
        <v>46254</v>
      </c>
      <c r="AB73" s="91" t="n">
        <f aca="false">IF($K73="",0,1)</f>
        <v>0</v>
      </c>
      <c r="AC73" s="91" t="n">
        <f aca="false">IF($L73="",0,1)</f>
        <v>0</v>
      </c>
      <c r="AD73" s="91" t="n">
        <f aca="false">IF($M73="",0,1)</f>
        <v>0</v>
      </c>
      <c r="AE73" s="91" t="n">
        <f aca="false">IF($Q73&gt;0,$D73,"")</f>
        <v>42</v>
      </c>
      <c r="AF73" s="1"/>
      <c r="AG73" s="1"/>
      <c r="AH73" s="1"/>
      <c r="AI73" s="1"/>
      <c r="AJ73" s="1"/>
      <c r="AK73" s="1"/>
      <c r="AL73" s="1"/>
      <c r="AM73" s="1"/>
      <c r="AN73" s="1"/>
    </row>
    <row r="74" customFormat="false" ht="18" hidden="false" customHeight="true" outlineLevel="0" collapsed="false">
      <c r="A74" s="86" t="n">
        <f aca="false">IF(ISNUMBER('Timeline Estacas'!A74),'Timeline Estacas'!A74,"")</f>
        <v>46254</v>
      </c>
      <c r="B74" s="87" t="n">
        <f aca="false">IF($A74="","",$A74)</f>
        <v>46254</v>
      </c>
      <c r="C74" s="88" t="n">
        <f aca="false">IF(ISNUMBER('Timeline Estacas'!C74),'Timeline Estacas'!C74,"")</f>
        <v>293</v>
      </c>
      <c r="D74" s="88" t="n">
        <f aca="false">IF(ISNUMBER('Timeline Estacas'!D74),'Timeline Estacas'!D74,"")</f>
        <v>42</v>
      </c>
      <c r="E74" s="88" t="str">
        <f aca="false">IF($D74="","","S-"&amp;TEXT($D74,"00"))</f>
        <v>S-42</v>
      </c>
      <c r="F74" s="88" t="n">
        <f aca="false">IF(ISNUMBER('Timeline Estacas'!F74),'Timeline Estacas'!F74,"")</f>
        <v>118</v>
      </c>
      <c r="G74" s="88" t="str">
        <f aca="false">IF($F74="","",IF('Timeline Estacas'!G74&lt;&gt;"",'Timeline Estacas'!G74,'Timeline Estacas'!I74))</f>
        <v>A</v>
      </c>
      <c r="H74" s="88" t="str">
        <f aca="false">IF(ISNUMBER('Timeline Estacas'!H74),'Timeline Estacas'!H74,"")</f>
        <v/>
      </c>
      <c r="I74" s="88" t="str">
        <f aca="false">IF($H74="","",'Timeline Estacas'!I74)</f>
        <v/>
      </c>
      <c r="J74" s="86" t="n">
        <f aca="false">IF(ISNUMBER('Timeline Estacas'!J74),'Timeline Estacas'!J74,"")</f>
        <v>46268</v>
      </c>
      <c r="K74" s="88" t="str">
        <f aca="false">IF('Timeline Estacas'!K74="","",'Timeline Estacas'!K74)</f>
        <v/>
      </c>
      <c r="L74" s="88" t="str">
        <f aca="false">IF('Timeline Estacas'!L74="","",'Timeline Estacas'!L74)</f>
        <v/>
      </c>
      <c r="M74" s="88" t="str">
        <f aca="false">IF('Timeline Estacas'!M74="","",'Timeline Estacas'!M74)</f>
        <v/>
      </c>
      <c r="N74" s="89" t="str">
        <f aca="false">IF('Timeline Estacas'!N74="","",'Timeline Estacas'!N74)</f>
        <v/>
      </c>
      <c r="O74" s="90" t="str">
        <f aca="false">IF(ISNUMBER('Timeline Estacas'!O74),'Timeline Estacas'!O74,"")</f>
        <v/>
      </c>
      <c r="P74" s="91" t="n">
        <f aca="false">IF($Q74&gt;0,1,0)</f>
        <v>1</v>
      </c>
      <c r="Q74" s="91" t="n">
        <f aca="false">IF($F74="",0,1)+IF($H74="",0,1)</f>
        <v>1</v>
      </c>
      <c r="R74" s="91" t="n">
        <f aca="false">IF($N74="",0,1)</f>
        <v>0</v>
      </c>
      <c r="S74" s="91" t="n">
        <f aca="false">IF($F74="",0,1)</f>
        <v>1</v>
      </c>
      <c r="T74" s="91" t="n">
        <f aca="false">IF($H74="",0,1)</f>
        <v>0</v>
      </c>
      <c r="U74" s="91" t="n">
        <f aca="false">IF($J74="",0,1)</f>
        <v>1</v>
      </c>
      <c r="V74" s="91" t="n">
        <f aca="true">IF($J74="",0,IF($J74&lt;=TODAY(),1,0))</f>
        <v>0</v>
      </c>
      <c r="W74" s="92" t="n">
        <f aca="false">IF($O74="",0,$O74)</f>
        <v>0</v>
      </c>
      <c r="X74" s="91" t="str">
        <f aca="false">IF($R74=1,SUM($R$2:$R74),"")</f>
        <v/>
      </c>
      <c r="Y74" s="91" t="n">
        <f aca="false">IF($F74="",0,IF(COUNTIF($F$2:$F74,$F74)+COUNTIF($H$2:$H74,$F74)&gt;1,1,0))+IF($H74="",0,IF(COUNTIF($F$2:$F74,$H74)+COUNTIF($H$2:$H74,$H74)&gt;1,1,0))</f>
        <v>0</v>
      </c>
      <c r="Z74" s="91" t="n">
        <f aca="false">IF($Q74=0,0,IF(COUNTIFS($A$2:$A74,$A74,$Q$2:$Q74,"&gt;0")=1,1,0))</f>
        <v>0</v>
      </c>
      <c r="AA74" s="93" t="n">
        <f aca="false">IF($Q74&gt;0,$A74,"")</f>
        <v>46254</v>
      </c>
      <c r="AB74" s="91" t="n">
        <f aca="false">IF($K74="",0,1)</f>
        <v>0</v>
      </c>
      <c r="AC74" s="91" t="n">
        <f aca="false">IF($L74="",0,1)</f>
        <v>0</v>
      </c>
      <c r="AD74" s="91" t="n">
        <f aca="false">IF($M74="",0,1)</f>
        <v>0</v>
      </c>
      <c r="AE74" s="91" t="n">
        <f aca="false">IF($Q74&gt;0,$D74,"")</f>
        <v>42</v>
      </c>
      <c r="AF74" s="1"/>
      <c r="AG74" s="1"/>
      <c r="AH74" s="1"/>
      <c r="AI74" s="1"/>
      <c r="AJ74" s="1"/>
      <c r="AK74" s="1"/>
      <c r="AL74" s="1"/>
      <c r="AM74" s="1"/>
      <c r="AN74" s="1"/>
    </row>
    <row r="75" customFormat="false" ht="18" hidden="false" customHeight="true" outlineLevel="0" collapsed="false">
      <c r="A75" s="86" t="n">
        <f aca="false">IF(ISNUMBER('Timeline Estacas'!A75),'Timeline Estacas'!A75,"")</f>
        <v>46254</v>
      </c>
      <c r="B75" s="87" t="n">
        <f aca="false">IF($A75="","",$A75)</f>
        <v>46254</v>
      </c>
      <c r="C75" s="88" t="n">
        <f aca="false">IF(ISNUMBER('Timeline Estacas'!C75),'Timeline Estacas'!C75,"")</f>
        <v>293</v>
      </c>
      <c r="D75" s="88" t="n">
        <f aca="false">IF(ISNUMBER('Timeline Estacas'!D75),'Timeline Estacas'!D75,"")</f>
        <v>42</v>
      </c>
      <c r="E75" s="88" t="str">
        <f aca="false">IF($D75="","","S-"&amp;TEXT($D75,"00"))</f>
        <v>S-42</v>
      </c>
      <c r="F75" s="88" t="str">
        <f aca="false">IF(ISNUMBER('Timeline Estacas'!F75),'Timeline Estacas'!F75,"")</f>
        <v/>
      </c>
      <c r="G75" s="88" t="str">
        <f aca="false">IF($F75="","",IF('Timeline Estacas'!G75&lt;&gt;"",'Timeline Estacas'!G75,'Timeline Estacas'!I75))</f>
        <v/>
      </c>
      <c r="H75" s="88" t="str">
        <f aca="false">IF(ISNUMBER('Timeline Estacas'!H75),'Timeline Estacas'!H75,"")</f>
        <v/>
      </c>
      <c r="I75" s="88" t="str">
        <f aca="false">IF($H75="","",'Timeline Estacas'!I75)</f>
        <v/>
      </c>
      <c r="J75" s="86" t="str">
        <f aca="false">IF(ISNUMBER('Timeline Estacas'!J75),'Timeline Estacas'!J75,"")</f>
        <v/>
      </c>
      <c r="K75" s="88" t="str">
        <f aca="false">IF('Timeline Estacas'!K75="","",'Timeline Estacas'!K75)</f>
        <v/>
      </c>
      <c r="L75" s="88" t="str">
        <f aca="false">IF('Timeline Estacas'!L75="","",'Timeline Estacas'!L75)</f>
        <v/>
      </c>
      <c r="M75" s="88" t="str">
        <f aca="false">IF('Timeline Estacas'!M75="","",'Timeline Estacas'!M75)</f>
        <v/>
      </c>
      <c r="N75" s="89" t="str">
        <f aca="false">IF('Timeline Estacas'!N75="","",'Timeline Estacas'!N75)</f>
        <v>Teste 2º equipamento (7min de perfuração)</v>
      </c>
      <c r="O75" s="90" t="str">
        <f aca="false">IF(ISNUMBER('Timeline Estacas'!O75),'Timeline Estacas'!O75,"")</f>
        <v/>
      </c>
      <c r="P75" s="91" t="n">
        <f aca="false">IF($Q75&gt;0,1,0)</f>
        <v>0</v>
      </c>
      <c r="Q75" s="91" t="n">
        <f aca="false">IF($F75="",0,1)+IF($H75="",0,1)</f>
        <v>0</v>
      </c>
      <c r="R75" s="91" t="n">
        <f aca="false">IF($N75="",0,1)</f>
        <v>1</v>
      </c>
      <c r="S75" s="91" t="n">
        <f aca="false">IF($F75="",0,1)</f>
        <v>0</v>
      </c>
      <c r="T75" s="91" t="n">
        <f aca="false">IF($H75="",0,1)</f>
        <v>0</v>
      </c>
      <c r="U75" s="91" t="n">
        <f aca="false">IF($J75="",0,1)</f>
        <v>0</v>
      </c>
      <c r="V75" s="91" t="n">
        <f aca="true">IF($J75="",0,IF($J75&lt;=TODAY(),1,0))</f>
        <v>0</v>
      </c>
      <c r="W75" s="92" t="n">
        <f aca="false">IF($O75="",0,$O75)</f>
        <v>0</v>
      </c>
      <c r="X75" s="91" t="n">
        <f aca="false">IF($R75=1,SUM($R$2:$R75),"")</f>
        <v>10</v>
      </c>
      <c r="Y75" s="91" t="n">
        <f aca="false">IF($F75="",0,IF(COUNTIF($F$2:$F75,$F75)+COUNTIF($H$2:$H75,$F75)&gt;1,1,0))+IF($H75="",0,IF(COUNTIF($F$2:$F75,$H75)+COUNTIF($H$2:$H75,$H75)&gt;1,1,0))</f>
        <v>0</v>
      </c>
      <c r="Z75" s="91" t="n">
        <f aca="false">IF($Q75=0,0,IF(COUNTIFS($A$2:$A75,$A75,$Q$2:$Q75,"&gt;0")=1,1,0))</f>
        <v>0</v>
      </c>
      <c r="AA75" s="93" t="str">
        <f aca="false">IF($Q75&gt;0,$A75,"")</f>
        <v/>
      </c>
      <c r="AB75" s="91" t="n">
        <f aca="false">IF($K75="",0,1)</f>
        <v>0</v>
      </c>
      <c r="AC75" s="91" t="n">
        <f aca="false">IF($L75="",0,1)</f>
        <v>0</v>
      </c>
      <c r="AD75" s="91" t="n">
        <f aca="false">IF($M75="",0,1)</f>
        <v>0</v>
      </c>
      <c r="AE75" s="91" t="str">
        <f aca="false">IF($Q75&gt;0,$D75,"")</f>
        <v/>
      </c>
      <c r="AF75" s="1"/>
      <c r="AG75" s="1"/>
      <c r="AH75" s="1"/>
      <c r="AI75" s="1"/>
      <c r="AJ75" s="1"/>
      <c r="AK75" s="1"/>
      <c r="AL75" s="1"/>
      <c r="AM75" s="1"/>
      <c r="AN75" s="1"/>
    </row>
    <row r="76" customFormat="false" ht="18" hidden="false" customHeight="true" outlineLevel="0" collapsed="false">
      <c r="A76" s="86" t="n">
        <f aca="false">IF(ISNUMBER('Timeline Estacas'!A76),'Timeline Estacas'!A76,"")</f>
        <v>46255</v>
      </c>
      <c r="B76" s="87" t="n">
        <f aca="false">IF($A76="","",$A76)</f>
        <v>46255</v>
      </c>
      <c r="C76" s="88" t="n">
        <f aca="false">IF(ISNUMBER('Timeline Estacas'!C76),'Timeline Estacas'!C76,"")</f>
        <v>294</v>
      </c>
      <c r="D76" s="88" t="n">
        <f aca="false">IF(ISNUMBER('Timeline Estacas'!D76),'Timeline Estacas'!D76,"")</f>
        <v>42</v>
      </c>
      <c r="E76" s="88" t="str">
        <f aca="false">IF($D76="","","S-"&amp;TEXT($D76,"00"))</f>
        <v>S-42</v>
      </c>
      <c r="F76" s="88" t="n">
        <f aca="false">IF(ISNUMBER('Timeline Estacas'!F76),'Timeline Estacas'!F76,"")</f>
        <v>2</v>
      </c>
      <c r="G76" s="88" t="str">
        <f aca="false">IF($F76="","",IF('Timeline Estacas'!G76&lt;&gt;"",'Timeline Estacas'!G76,'Timeline Estacas'!I76))</f>
        <v>B</v>
      </c>
      <c r="H76" s="88" t="str">
        <f aca="false">IF(ISNUMBER('Timeline Estacas'!H76),'Timeline Estacas'!H76,"")</f>
        <v/>
      </c>
      <c r="I76" s="88" t="str">
        <f aca="false">IF($H76="","",'Timeline Estacas'!I76)</f>
        <v/>
      </c>
      <c r="J76" s="86" t="n">
        <f aca="false">IF(ISNUMBER('Timeline Estacas'!J76),'Timeline Estacas'!J76,"")</f>
        <v>46269</v>
      </c>
      <c r="K76" s="88" t="str">
        <f aca="false">IF('Timeline Estacas'!K76="","",'Timeline Estacas'!K76)</f>
        <v/>
      </c>
      <c r="L76" s="88" t="str">
        <f aca="false">IF('Timeline Estacas'!L76="","",'Timeline Estacas'!L76)</f>
        <v/>
      </c>
      <c r="M76" s="88" t="str">
        <f aca="false">IF('Timeline Estacas'!M76="","",'Timeline Estacas'!M76)</f>
        <v/>
      </c>
      <c r="N76" s="89" t="str">
        <f aca="false">IF('Timeline Estacas'!N76="","",'Timeline Estacas'!N76)</f>
        <v/>
      </c>
      <c r="O76" s="90" t="str">
        <f aca="false">IF(ISNUMBER('Timeline Estacas'!O76),'Timeline Estacas'!O76,"")</f>
        <v/>
      </c>
      <c r="P76" s="91" t="n">
        <f aca="false">IF($Q76&gt;0,1,0)</f>
        <v>1</v>
      </c>
      <c r="Q76" s="91" t="n">
        <f aca="false">IF($F76="",0,1)+IF($H76="",0,1)</f>
        <v>1</v>
      </c>
      <c r="R76" s="91" t="n">
        <f aca="false">IF($N76="",0,1)</f>
        <v>0</v>
      </c>
      <c r="S76" s="91" t="n">
        <f aca="false">IF($F76="",0,1)</f>
        <v>1</v>
      </c>
      <c r="T76" s="91" t="n">
        <f aca="false">IF($H76="",0,1)</f>
        <v>0</v>
      </c>
      <c r="U76" s="91" t="n">
        <f aca="false">IF($J76="",0,1)</f>
        <v>1</v>
      </c>
      <c r="V76" s="91" t="n">
        <f aca="true">IF($J76="",0,IF($J76&lt;=TODAY(),1,0))</f>
        <v>0</v>
      </c>
      <c r="W76" s="92" t="n">
        <f aca="false">IF($O76="",0,$O76)</f>
        <v>0</v>
      </c>
      <c r="X76" s="91" t="str">
        <f aca="false">IF($R76=1,SUM($R$2:$R76),"")</f>
        <v/>
      </c>
      <c r="Y76" s="91" t="n">
        <f aca="false">IF($F76="",0,IF(COUNTIF($F$2:$F76,$F76)+COUNTIF($H$2:$H76,$F76)&gt;1,1,0))+IF($H76="",0,IF(COUNTIF($F$2:$F76,$H76)+COUNTIF($H$2:$H76,$H76)&gt;1,1,0))</f>
        <v>0</v>
      </c>
      <c r="Z76" s="91" t="n">
        <f aca="false">IF($Q76=0,0,IF(COUNTIFS($A$2:$A76,$A76,$Q$2:$Q76,"&gt;0")=1,1,0))</f>
        <v>1</v>
      </c>
      <c r="AA76" s="93" t="n">
        <f aca="false">IF($Q76&gt;0,$A76,"")</f>
        <v>46255</v>
      </c>
      <c r="AB76" s="91" t="n">
        <f aca="false">IF($K76="",0,1)</f>
        <v>0</v>
      </c>
      <c r="AC76" s="91" t="n">
        <f aca="false">IF($L76="",0,1)</f>
        <v>0</v>
      </c>
      <c r="AD76" s="91" t="n">
        <f aca="false">IF($M76="",0,1)</f>
        <v>0</v>
      </c>
      <c r="AE76" s="91" t="n">
        <f aca="false">IF($Q76&gt;0,$D76,"")</f>
        <v>42</v>
      </c>
      <c r="AF76" s="1"/>
      <c r="AG76" s="1"/>
      <c r="AH76" s="1"/>
      <c r="AI76" s="1"/>
      <c r="AJ76" s="1"/>
      <c r="AK76" s="1"/>
      <c r="AL76" s="1"/>
      <c r="AM76" s="1"/>
      <c r="AN76" s="1"/>
    </row>
    <row r="77" customFormat="false" ht="18" hidden="false" customHeight="true" outlineLevel="0" collapsed="false">
      <c r="A77" s="86" t="n">
        <f aca="false">IF(ISNUMBER('Timeline Estacas'!A77),'Timeline Estacas'!A77,"")</f>
        <v>46255</v>
      </c>
      <c r="B77" s="87" t="n">
        <f aca="false">IF($A77="","",$A77)</f>
        <v>46255</v>
      </c>
      <c r="C77" s="88" t="n">
        <f aca="false">IF(ISNUMBER('Timeline Estacas'!C77),'Timeline Estacas'!C77,"")</f>
        <v>294</v>
      </c>
      <c r="D77" s="88" t="n">
        <f aca="false">IF(ISNUMBER('Timeline Estacas'!D77),'Timeline Estacas'!D77,"")</f>
        <v>43</v>
      </c>
      <c r="E77" s="88" t="str">
        <f aca="false">IF($D77="","","S-"&amp;TEXT($D77,"00"))</f>
        <v>S-43</v>
      </c>
      <c r="F77" s="88" t="n">
        <f aca="false">IF(ISNUMBER('Timeline Estacas'!F77),'Timeline Estacas'!F77,"")</f>
        <v>6</v>
      </c>
      <c r="G77" s="88" t="str">
        <f aca="false">IF($F77="","",IF('Timeline Estacas'!G77&lt;&gt;"",'Timeline Estacas'!G77,'Timeline Estacas'!I77))</f>
        <v>B</v>
      </c>
      <c r="H77" s="88" t="str">
        <f aca="false">IF(ISNUMBER('Timeline Estacas'!H77),'Timeline Estacas'!H77,"")</f>
        <v/>
      </c>
      <c r="I77" s="88" t="str">
        <f aca="false">IF($H77="","",'Timeline Estacas'!I77)</f>
        <v/>
      </c>
      <c r="J77" s="86" t="n">
        <f aca="false">IF(ISNUMBER('Timeline Estacas'!J77),'Timeline Estacas'!J77,"")</f>
        <v>46269</v>
      </c>
      <c r="K77" s="88" t="str">
        <f aca="false">IF('Timeline Estacas'!K77="","",'Timeline Estacas'!K77)</f>
        <v/>
      </c>
      <c r="L77" s="88" t="str">
        <f aca="false">IF('Timeline Estacas'!L77="","",'Timeline Estacas'!L77)</f>
        <v/>
      </c>
      <c r="M77" s="88" t="str">
        <f aca="false">IF('Timeline Estacas'!M77="","",'Timeline Estacas'!M77)</f>
        <v/>
      </c>
      <c r="N77" s="89" t="str">
        <f aca="false">IF('Timeline Estacas'!N77="","",'Timeline Estacas'!N77)</f>
        <v/>
      </c>
      <c r="O77" s="90" t="str">
        <f aca="false">IF(ISNUMBER('Timeline Estacas'!O77),'Timeline Estacas'!O77,"")</f>
        <v/>
      </c>
      <c r="P77" s="91" t="n">
        <f aca="false">IF($Q77&gt;0,1,0)</f>
        <v>1</v>
      </c>
      <c r="Q77" s="91" t="n">
        <f aca="false">IF($F77="",0,1)+IF($H77="",0,1)</f>
        <v>1</v>
      </c>
      <c r="R77" s="91" t="n">
        <f aca="false">IF($N77="",0,1)</f>
        <v>0</v>
      </c>
      <c r="S77" s="91" t="n">
        <f aca="false">IF($F77="",0,1)</f>
        <v>1</v>
      </c>
      <c r="T77" s="91" t="n">
        <f aca="false">IF($H77="",0,1)</f>
        <v>0</v>
      </c>
      <c r="U77" s="91" t="n">
        <f aca="false">IF($J77="",0,1)</f>
        <v>1</v>
      </c>
      <c r="V77" s="91" t="n">
        <f aca="true">IF($J77="",0,IF($J77&lt;=TODAY(),1,0))</f>
        <v>0</v>
      </c>
      <c r="W77" s="92" t="n">
        <f aca="false">IF($O77="",0,$O77)</f>
        <v>0</v>
      </c>
      <c r="X77" s="91" t="str">
        <f aca="false">IF($R77=1,SUM($R$2:$R77),"")</f>
        <v/>
      </c>
      <c r="Y77" s="91" t="n">
        <f aca="false">IF($F77="",0,IF(COUNTIF($F$2:$F77,$F77)+COUNTIF($H$2:$H77,$F77)&gt;1,1,0))+IF($H77="",0,IF(COUNTIF($F$2:$F77,$H77)+COUNTIF($H$2:$H77,$H77)&gt;1,1,0))</f>
        <v>0</v>
      </c>
      <c r="Z77" s="91" t="n">
        <f aca="false">IF($Q77=0,0,IF(COUNTIFS($A$2:$A77,$A77,$Q$2:$Q77,"&gt;0")=1,1,0))</f>
        <v>0</v>
      </c>
      <c r="AA77" s="93" t="n">
        <f aca="false">IF($Q77&gt;0,$A77,"")</f>
        <v>46255</v>
      </c>
      <c r="AB77" s="91" t="n">
        <f aca="false">IF($K77="",0,1)</f>
        <v>0</v>
      </c>
      <c r="AC77" s="91" t="n">
        <f aca="false">IF($L77="",0,1)</f>
        <v>0</v>
      </c>
      <c r="AD77" s="91" t="n">
        <f aca="false">IF($M77="",0,1)</f>
        <v>0</v>
      </c>
      <c r="AE77" s="91" t="n">
        <f aca="false">IF($Q77&gt;0,$D77,"")</f>
        <v>43</v>
      </c>
      <c r="AF77" s="1"/>
      <c r="AG77" s="1"/>
      <c r="AH77" s="1"/>
      <c r="AI77" s="1"/>
      <c r="AJ77" s="1"/>
      <c r="AK77" s="1"/>
      <c r="AL77" s="1"/>
      <c r="AM77" s="1"/>
      <c r="AN77" s="1"/>
    </row>
    <row r="78" customFormat="false" ht="18" hidden="false" customHeight="true" outlineLevel="0" collapsed="false">
      <c r="A78" s="86" t="n">
        <f aca="false">IF(ISNUMBER('Timeline Estacas'!A78),'Timeline Estacas'!A78,"")</f>
        <v>46255</v>
      </c>
      <c r="B78" s="87" t="n">
        <f aca="false">IF($A78="","",$A78)</f>
        <v>46255</v>
      </c>
      <c r="C78" s="88" t="n">
        <f aca="false">IF(ISNUMBER('Timeline Estacas'!C78),'Timeline Estacas'!C78,"")</f>
        <v>294</v>
      </c>
      <c r="D78" s="88" t="n">
        <f aca="false">IF(ISNUMBER('Timeline Estacas'!D78),'Timeline Estacas'!D78,"")</f>
        <v>43</v>
      </c>
      <c r="E78" s="88" t="str">
        <f aca="false">IF($D78="","","S-"&amp;TEXT($D78,"00"))</f>
        <v>S-43</v>
      </c>
      <c r="F78" s="88" t="n">
        <f aca="false">IF(ISNUMBER('Timeline Estacas'!F78),'Timeline Estacas'!F78,"")</f>
        <v>10</v>
      </c>
      <c r="G78" s="88" t="str">
        <f aca="false">IF($F78="","",IF('Timeline Estacas'!G78&lt;&gt;"",'Timeline Estacas'!G78,'Timeline Estacas'!I78))</f>
        <v>B</v>
      </c>
      <c r="H78" s="88" t="str">
        <f aca="false">IF(ISNUMBER('Timeline Estacas'!H78),'Timeline Estacas'!H78,"")</f>
        <v/>
      </c>
      <c r="I78" s="88" t="str">
        <f aca="false">IF($H78="","",'Timeline Estacas'!I78)</f>
        <v/>
      </c>
      <c r="J78" s="86" t="n">
        <f aca="false">IF(ISNUMBER('Timeline Estacas'!J78),'Timeline Estacas'!J78,"")</f>
        <v>46269</v>
      </c>
      <c r="K78" s="88" t="str">
        <f aca="false">IF('Timeline Estacas'!K78="","",'Timeline Estacas'!K78)</f>
        <v/>
      </c>
      <c r="L78" s="88" t="str">
        <f aca="false">IF('Timeline Estacas'!L78="","",'Timeline Estacas'!L78)</f>
        <v/>
      </c>
      <c r="M78" s="88" t="str">
        <f aca="false">IF('Timeline Estacas'!M78="","",'Timeline Estacas'!M78)</f>
        <v/>
      </c>
      <c r="N78" s="89" t="str">
        <f aca="false">IF('Timeline Estacas'!N78="","",'Timeline Estacas'!N78)</f>
        <v/>
      </c>
      <c r="O78" s="90" t="str">
        <f aca="false">IF(ISNUMBER('Timeline Estacas'!O78),'Timeline Estacas'!O78,"")</f>
        <v/>
      </c>
      <c r="P78" s="91" t="n">
        <f aca="false">IF($Q78&gt;0,1,0)</f>
        <v>1</v>
      </c>
      <c r="Q78" s="91" t="n">
        <f aca="false">IF($F78="",0,1)+IF($H78="",0,1)</f>
        <v>1</v>
      </c>
      <c r="R78" s="91" t="n">
        <f aca="false">IF($N78="",0,1)</f>
        <v>0</v>
      </c>
      <c r="S78" s="91" t="n">
        <f aca="false">IF($F78="",0,1)</f>
        <v>1</v>
      </c>
      <c r="T78" s="91" t="n">
        <f aca="false">IF($H78="",0,1)</f>
        <v>0</v>
      </c>
      <c r="U78" s="91" t="n">
        <f aca="false">IF($J78="",0,1)</f>
        <v>1</v>
      </c>
      <c r="V78" s="91" t="n">
        <f aca="true">IF($J78="",0,IF($J78&lt;=TODAY(),1,0))</f>
        <v>0</v>
      </c>
      <c r="W78" s="92" t="n">
        <f aca="false">IF($O78="",0,$O78)</f>
        <v>0</v>
      </c>
      <c r="X78" s="91" t="str">
        <f aca="false">IF($R78=1,SUM($R$2:$R78),"")</f>
        <v/>
      </c>
      <c r="Y78" s="91" t="n">
        <f aca="false">IF($F78="",0,IF(COUNTIF($F$2:$F78,$F78)+COUNTIF($H$2:$H78,$F78)&gt;1,1,0))+IF($H78="",0,IF(COUNTIF($F$2:$F78,$H78)+COUNTIF($H$2:$H78,$H78)&gt;1,1,0))</f>
        <v>0</v>
      </c>
      <c r="Z78" s="91" t="n">
        <f aca="false">IF($Q78=0,0,IF(COUNTIFS($A$2:$A78,$A78,$Q$2:$Q78,"&gt;0")=1,1,0))</f>
        <v>0</v>
      </c>
      <c r="AA78" s="93" t="n">
        <f aca="false">IF($Q78&gt;0,$A78,"")</f>
        <v>46255</v>
      </c>
      <c r="AB78" s="91" t="n">
        <f aca="false">IF($K78="",0,1)</f>
        <v>0</v>
      </c>
      <c r="AC78" s="91" t="n">
        <f aca="false">IF($L78="",0,1)</f>
        <v>0</v>
      </c>
      <c r="AD78" s="91" t="n">
        <f aca="false">IF($M78="",0,1)</f>
        <v>0</v>
      </c>
      <c r="AE78" s="91" t="n">
        <f aca="false">IF($Q78&gt;0,$D78,"")</f>
        <v>43</v>
      </c>
      <c r="AF78" s="1"/>
      <c r="AG78" s="1"/>
      <c r="AH78" s="1"/>
      <c r="AI78" s="1"/>
      <c r="AJ78" s="1"/>
      <c r="AK78" s="1"/>
      <c r="AL78" s="1"/>
      <c r="AM78" s="1"/>
      <c r="AN78" s="1"/>
    </row>
    <row r="79" customFormat="false" ht="18" hidden="false" customHeight="true" outlineLevel="0" collapsed="false">
      <c r="A79" s="86" t="n">
        <f aca="false">IF(ISNUMBER('Timeline Estacas'!A79),'Timeline Estacas'!A79,"")</f>
        <v>46255</v>
      </c>
      <c r="B79" s="87" t="n">
        <f aca="false">IF($A79="","",$A79)</f>
        <v>46255</v>
      </c>
      <c r="C79" s="88" t="n">
        <f aca="false">IF(ISNUMBER('Timeline Estacas'!C79),'Timeline Estacas'!C79,"")</f>
        <v>294</v>
      </c>
      <c r="D79" s="88" t="n">
        <f aca="false">IF(ISNUMBER('Timeline Estacas'!D79),'Timeline Estacas'!D79,"")</f>
        <v>43</v>
      </c>
      <c r="E79" s="88" t="str">
        <f aca="false">IF($D79="","","S-"&amp;TEXT($D79,"00"))</f>
        <v>S-43</v>
      </c>
      <c r="F79" s="88" t="n">
        <f aca="false">IF(ISNUMBER('Timeline Estacas'!F79),'Timeline Estacas'!F79,"")</f>
        <v>100</v>
      </c>
      <c r="G79" s="88" t="str">
        <f aca="false">IF($F79="","",IF('Timeline Estacas'!G79&lt;&gt;"",'Timeline Estacas'!G79,'Timeline Estacas'!I79))</f>
        <v>A</v>
      </c>
      <c r="H79" s="88" t="str">
        <f aca="false">IF(ISNUMBER('Timeline Estacas'!H79),'Timeline Estacas'!H79,"")</f>
        <v/>
      </c>
      <c r="I79" s="88" t="str">
        <f aca="false">IF($H79="","",'Timeline Estacas'!I79)</f>
        <v/>
      </c>
      <c r="J79" s="86" t="n">
        <f aca="false">IF(ISNUMBER('Timeline Estacas'!J79),'Timeline Estacas'!J79,"")</f>
        <v>46269</v>
      </c>
      <c r="K79" s="88" t="str">
        <f aca="false">IF('Timeline Estacas'!K79="","",'Timeline Estacas'!K79)</f>
        <v/>
      </c>
      <c r="L79" s="88" t="str">
        <f aca="false">IF('Timeline Estacas'!L79="","",'Timeline Estacas'!L79)</f>
        <v/>
      </c>
      <c r="M79" s="88" t="str">
        <f aca="false">IF('Timeline Estacas'!M79="","",'Timeline Estacas'!M79)</f>
        <v/>
      </c>
      <c r="N79" s="89" t="str">
        <f aca="false">IF('Timeline Estacas'!N79="","",'Timeline Estacas'!N79)</f>
        <v/>
      </c>
      <c r="O79" s="90" t="str">
        <f aca="false">IF(ISNUMBER('Timeline Estacas'!O79),'Timeline Estacas'!O79,"")</f>
        <v/>
      </c>
      <c r="P79" s="91" t="n">
        <f aca="false">IF($Q79&gt;0,1,0)</f>
        <v>1</v>
      </c>
      <c r="Q79" s="91" t="n">
        <f aca="false">IF($F79="",0,1)+IF($H79="",0,1)</f>
        <v>1</v>
      </c>
      <c r="R79" s="91" t="n">
        <f aca="false">IF($N79="",0,1)</f>
        <v>0</v>
      </c>
      <c r="S79" s="91" t="n">
        <f aca="false">IF($F79="",0,1)</f>
        <v>1</v>
      </c>
      <c r="T79" s="91" t="n">
        <f aca="false">IF($H79="",0,1)</f>
        <v>0</v>
      </c>
      <c r="U79" s="91" t="n">
        <f aca="false">IF($J79="",0,1)</f>
        <v>1</v>
      </c>
      <c r="V79" s="91" t="n">
        <f aca="true">IF($J79="",0,IF($J79&lt;=TODAY(),1,0))</f>
        <v>0</v>
      </c>
      <c r="W79" s="92" t="n">
        <f aca="false">IF($O79="",0,$O79)</f>
        <v>0</v>
      </c>
      <c r="X79" s="91" t="str">
        <f aca="false">IF($R79=1,SUM($R$2:$R79),"")</f>
        <v/>
      </c>
      <c r="Y79" s="91" t="n">
        <f aca="false">IF($F79="",0,IF(COUNTIF($F$2:$F79,$F79)+COUNTIF($H$2:$H79,$F79)&gt;1,1,0))+IF($H79="",0,IF(COUNTIF($F$2:$F79,$H79)+COUNTIF($H$2:$H79,$H79)&gt;1,1,0))</f>
        <v>0</v>
      </c>
      <c r="Z79" s="91" t="n">
        <f aca="false">IF($Q79=0,0,IF(COUNTIFS($A$2:$A79,$A79,$Q$2:$Q79,"&gt;0")=1,1,0))</f>
        <v>0</v>
      </c>
      <c r="AA79" s="93" t="n">
        <f aca="false">IF($Q79&gt;0,$A79,"")</f>
        <v>46255</v>
      </c>
      <c r="AB79" s="91" t="n">
        <f aca="false">IF($K79="",0,1)</f>
        <v>0</v>
      </c>
      <c r="AC79" s="91" t="n">
        <f aca="false">IF($L79="",0,1)</f>
        <v>0</v>
      </c>
      <c r="AD79" s="91" t="n">
        <f aca="false">IF($M79="",0,1)</f>
        <v>0</v>
      </c>
      <c r="AE79" s="91" t="n">
        <f aca="false">IF($Q79&gt;0,$D79,"")</f>
        <v>43</v>
      </c>
      <c r="AF79" s="1"/>
      <c r="AG79" s="1"/>
      <c r="AH79" s="1"/>
      <c r="AI79" s="1"/>
      <c r="AJ79" s="1"/>
      <c r="AK79" s="1"/>
      <c r="AL79" s="1"/>
      <c r="AM79" s="1"/>
      <c r="AN79" s="1"/>
    </row>
    <row r="80" customFormat="false" ht="18" hidden="false" customHeight="true" outlineLevel="0" collapsed="false">
      <c r="A80" s="86" t="n">
        <f aca="false">IF(ISNUMBER('Timeline Estacas'!A80),'Timeline Estacas'!A80,"")</f>
        <v>46255</v>
      </c>
      <c r="B80" s="87" t="n">
        <f aca="false">IF($A80="","",$A80)</f>
        <v>46255</v>
      </c>
      <c r="C80" s="88" t="n">
        <f aca="false">IF(ISNUMBER('Timeline Estacas'!C80),'Timeline Estacas'!C80,"")</f>
        <v>294</v>
      </c>
      <c r="D80" s="88" t="n">
        <f aca="false">IF(ISNUMBER('Timeline Estacas'!D80),'Timeline Estacas'!D80,"")</f>
        <v>43</v>
      </c>
      <c r="E80" s="88" t="str">
        <f aca="false">IF($D80="","","S-"&amp;TEXT($D80,"00"))</f>
        <v>S-43</v>
      </c>
      <c r="F80" s="88" t="n">
        <f aca="false">IF(ISNUMBER('Timeline Estacas'!F80),'Timeline Estacas'!F80,"")</f>
        <v>101</v>
      </c>
      <c r="G80" s="88" t="str">
        <f aca="false">IF($F80="","",IF('Timeline Estacas'!G80&lt;&gt;"",'Timeline Estacas'!G80,'Timeline Estacas'!I80))</f>
        <v>A</v>
      </c>
      <c r="H80" s="88" t="str">
        <f aca="false">IF(ISNUMBER('Timeline Estacas'!H80),'Timeline Estacas'!H80,"")</f>
        <v/>
      </c>
      <c r="I80" s="88" t="str">
        <f aca="false">IF($H80="","",'Timeline Estacas'!I80)</f>
        <v/>
      </c>
      <c r="J80" s="86" t="n">
        <f aca="false">IF(ISNUMBER('Timeline Estacas'!J80),'Timeline Estacas'!J80,"")</f>
        <v>46269</v>
      </c>
      <c r="K80" s="88" t="str">
        <f aca="false">IF('Timeline Estacas'!K80="","",'Timeline Estacas'!K80)</f>
        <v/>
      </c>
      <c r="L80" s="88" t="str">
        <f aca="false">IF('Timeline Estacas'!L80="","",'Timeline Estacas'!L80)</f>
        <v/>
      </c>
      <c r="M80" s="88" t="str">
        <f aca="false">IF('Timeline Estacas'!M80="","",'Timeline Estacas'!M80)</f>
        <v/>
      </c>
      <c r="N80" s="89" t="str">
        <f aca="false">IF('Timeline Estacas'!N80="","",'Timeline Estacas'!N80)</f>
        <v/>
      </c>
      <c r="O80" s="90" t="str">
        <f aca="false">IF(ISNUMBER('Timeline Estacas'!O80),'Timeline Estacas'!O80,"")</f>
        <v/>
      </c>
      <c r="P80" s="91" t="n">
        <f aca="false">IF($Q80&gt;0,1,0)</f>
        <v>1</v>
      </c>
      <c r="Q80" s="91" t="n">
        <f aca="false">IF($F80="",0,1)+IF($H80="",0,1)</f>
        <v>1</v>
      </c>
      <c r="R80" s="91" t="n">
        <f aca="false">IF($N80="",0,1)</f>
        <v>0</v>
      </c>
      <c r="S80" s="91" t="n">
        <f aca="false">IF($F80="",0,1)</f>
        <v>1</v>
      </c>
      <c r="T80" s="91" t="n">
        <f aca="false">IF($H80="",0,1)</f>
        <v>0</v>
      </c>
      <c r="U80" s="91" t="n">
        <f aca="false">IF($J80="",0,1)</f>
        <v>1</v>
      </c>
      <c r="V80" s="91" t="n">
        <f aca="true">IF($J80="",0,IF($J80&lt;=TODAY(),1,0))</f>
        <v>0</v>
      </c>
      <c r="W80" s="92" t="n">
        <f aca="false">IF($O80="",0,$O80)</f>
        <v>0</v>
      </c>
      <c r="X80" s="91" t="str">
        <f aca="false">IF($R80=1,SUM($R$2:$R80),"")</f>
        <v/>
      </c>
      <c r="Y80" s="91" t="n">
        <f aca="false">IF($F80="",0,IF(COUNTIF($F$2:$F80,$F80)+COUNTIF($H$2:$H80,$F80)&gt;1,1,0))+IF($H80="",0,IF(COUNTIF($F$2:$F80,$H80)+COUNTIF($H$2:$H80,$H80)&gt;1,1,0))</f>
        <v>0</v>
      </c>
      <c r="Z80" s="91" t="n">
        <f aca="false">IF($Q80=0,0,IF(COUNTIFS($A$2:$A80,$A80,$Q$2:$Q80,"&gt;0")=1,1,0))</f>
        <v>0</v>
      </c>
      <c r="AA80" s="93" t="n">
        <f aca="false">IF($Q80&gt;0,$A80,"")</f>
        <v>46255</v>
      </c>
      <c r="AB80" s="91" t="n">
        <f aca="false">IF($K80="",0,1)</f>
        <v>0</v>
      </c>
      <c r="AC80" s="91" t="n">
        <f aca="false">IF($L80="",0,1)</f>
        <v>0</v>
      </c>
      <c r="AD80" s="91" t="n">
        <f aca="false">IF($M80="",0,1)</f>
        <v>0</v>
      </c>
      <c r="AE80" s="91" t="n">
        <f aca="false">IF($Q80&gt;0,$D80,"")</f>
        <v>43</v>
      </c>
      <c r="AF80" s="1"/>
      <c r="AG80" s="1"/>
      <c r="AH80" s="1"/>
      <c r="AI80" s="1"/>
      <c r="AJ80" s="1"/>
      <c r="AK80" s="1"/>
      <c r="AL80" s="1"/>
      <c r="AM80" s="1"/>
      <c r="AN80" s="1"/>
    </row>
    <row r="81" customFormat="false" ht="18" hidden="false" customHeight="true" outlineLevel="0" collapsed="false">
      <c r="A81" s="86" t="n">
        <f aca="false">IF(ISNUMBER('Timeline Estacas'!A81),'Timeline Estacas'!A81,"")</f>
        <v>46256</v>
      </c>
      <c r="B81" s="87" t="n">
        <f aca="false">IF($A81="","",$A81)</f>
        <v>46256</v>
      </c>
      <c r="C81" s="88" t="n">
        <f aca="false">IF(ISNUMBER('Timeline Estacas'!C81),'Timeline Estacas'!C81,"")</f>
        <v>295</v>
      </c>
      <c r="D81" s="88" t="n">
        <f aca="false">IF(ISNUMBER('Timeline Estacas'!D81),'Timeline Estacas'!D81,"")</f>
        <v>43</v>
      </c>
      <c r="E81" s="88" t="str">
        <f aca="false">IF($D81="","","S-"&amp;TEXT($D81,"00"))</f>
        <v>S-43</v>
      </c>
      <c r="F81" s="88" t="str">
        <f aca="false">IF(ISNUMBER('Timeline Estacas'!F81),'Timeline Estacas'!F81,"")</f>
        <v/>
      </c>
      <c r="G81" s="88" t="str">
        <f aca="false">IF($F81="","",IF('Timeline Estacas'!G81&lt;&gt;"",'Timeline Estacas'!G81,'Timeline Estacas'!I81))</f>
        <v/>
      </c>
      <c r="H81" s="88" t="str">
        <f aca="false">IF(ISNUMBER('Timeline Estacas'!H81),'Timeline Estacas'!H81,"")</f>
        <v/>
      </c>
      <c r="I81" s="88" t="str">
        <f aca="false">IF($H81="","",'Timeline Estacas'!I81)</f>
        <v/>
      </c>
      <c r="J81" s="86" t="str">
        <f aca="false">IF(ISNUMBER('Timeline Estacas'!J81),'Timeline Estacas'!J81,"")</f>
        <v/>
      </c>
      <c r="K81" s="88" t="str">
        <f aca="false">IF('Timeline Estacas'!K81="","",'Timeline Estacas'!K81)</f>
        <v/>
      </c>
      <c r="L81" s="88" t="str">
        <f aca="false">IF('Timeline Estacas'!L81="","",'Timeline Estacas'!L81)</f>
        <v/>
      </c>
      <c r="M81" s="88" t="str">
        <f aca="false">IF('Timeline Estacas'!M81="","",'Timeline Estacas'!M81)</f>
        <v/>
      </c>
      <c r="N81" s="89" t="str">
        <f aca="false">IF('Timeline Estacas'!N81="","",'Timeline Estacas'!N81)</f>
        <v/>
      </c>
      <c r="O81" s="90" t="str">
        <f aca="false">IF(ISNUMBER('Timeline Estacas'!O81),'Timeline Estacas'!O81,"")</f>
        <v/>
      </c>
      <c r="P81" s="91" t="n">
        <f aca="false">IF($Q81&gt;0,1,0)</f>
        <v>0</v>
      </c>
      <c r="Q81" s="91" t="n">
        <f aca="false">IF($F81="",0,1)+IF($H81="",0,1)</f>
        <v>0</v>
      </c>
      <c r="R81" s="91" t="n">
        <f aca="false">IF($N81="",0,1)</f>
        <v>0</v>
      </c>
      <c r="S81" s="91" t="n">
        <f aca="false">IF($F81="",0,1)</f>
        <v>0</v>
      </c>
      <c r="T81" s="91" t="n">
        <f aca="false">IF($H81="",0,1)</f>
        <v>0</v>
      </c>
      <c r="U81" s="91" t="n">
        <f aca="false">IF($J81="",0,1)</f>
        <v>0</v>
      </c>
      <c r="V81" s="91" t="n">
        <f aca="true">IF($J81="",0,IF($J81&lt;=TODAY(),1,0))</f>
        <v>0</v>
      </c>
      <c r="W81" s="92" t="n">
        <f aca="false">IF($O81="",0,$O81)</f>
        <v>0</v>
      </c>
      <c r="X81" s="91" t="str">
        <f aca="false">IF($R81=1,SUM($R$2:$R81),"")</f>
        <v/>
      </c>
      <c r="Y81" s="91" t="n">
        <f aca="false">IF($F81="",0,IF(COUNTIF($F$2:$F81,$F81)+COUNTIF($H$2:$H81,$F81)&gt;1,1,0))+IF($H81="",0,IF(COUNTIF($F$2:$F81,$H81)+COUNTIF($H$2:$H81,$H81)&gt;1,1,0))</f>
        <v>0</v>
      </c>
      <c r="Z81" s="91" t="n">
        <f aca="false">IF($Q81=0,0,IF(COUNTIFS($A$2:$A81,$A81,$Q$2:$Q81,"&gt;0")=1,1,0))</f>
        <v>0</v>
      </c>
      <c r="AA81" s="93" t="str">
        <f aca="false">IF($Q81&gt;0,$A81,"")</f>
        <v/>
      </c>
      <c r="AB81" s="91" t="n">
        <f aca="false">IF($K81="",0,1)</f>
        <v>0</v>
      </c>
      <c r="AC81" s="91" t="n">
        <f aca="false">IF($L81="",0,1)</f>
        <v>0</v>
      </c>
      <c r="AD81" s="91" t="n">
        <f aca="false">IF($M81="",0,1)</f>
        <v>0</v>
      </c>
      <c r="AE81" s="91" t="str">
        <f aca="false">IF($Q81&gt;0,$D81,"")</f>
        <v/>
      </c>
      <c r="AF81" s="1"/>
      <c r="AG81" s="1"/>
      <c r="AH81" s="1"/>
      <c r="AI81" s="1"/>
      <c r="AJ81" s="1"/>
      <c r="AK81" s="1"/>
      <c r="AL81" s="1"/>
      <c r="AM81" s="1"/>
      <c r="AN81" s="1"/>
    </row>
    <row r="82" customFormat="false" ht="18" hidden="false" customHeight="true" outlineLevel="0" collapsed="false">
      <c r="A82" s="86" t="n">
        <f aca="false">IF(ISNUMBER('Timeline Estacas'!A82),'Timeline Estacas'!A82,"")</f>
        <v>46257</v>
      </c>
      <c r="B82" s="87" t="n">
        <f aca="false">IF($A82="","",$A82)</f>
        <v>46257</v>
      </c>
      <c r="C82" s="88" t="n">
        <f aca="false">IF(ISNUMBER('Timeline Estacas'!C82),'Timeline Estacas'!C82,"")</f>
        <v>296</v>
      </c>
      <c r="D82" s="88" t="n">
        <f aca="false">IF(ISNUMBER('Timeline Estacas'!D82),'Timeline Estacas'!D82,"")</f>
        <v>43</v>
      </c>
      <c r="E82" s="88" t="str">
        <f aca="false">IF($D82="","","S-"&amp;TEXT($D82,"00"))</f>
        <v>S-43</v>
      </c>
      <c r="F82" s="88" t="str">
        <f aca="false">IF(ISNUMBER('Timeline Estacas'!F82),'Timeline Estacas'!F82,"")</f>
        <v/>
      </c>
      <c r="G82" s="88" t="str">
        <f aca="false">IF($F82="","",IF('Timeline Estacas'!G82&lt;&gt;"",'Timeline Estacas'!G82,'Timeline Estacas'!I82))</f>
        <v/>
      </c>
      <c r="H82" s="88" t="str">
        <f aca="false">IF(ISNUMBER('Timeline Estacas'!H82),'Timeline Estacas'!H82,"")</f>
        <v/>
      </c>
      <c r="I82" s="88" t="str">
        <f aca="false">IF($H82="","",'Timeline Estacas'!I82)</f>
        <v/>
      </c>
      <c r="J82" s="86" t="str">
        <f aca="false">IF(ISNUMBER('Timeline Estacas'!J82),'Timeline Estacas'!J82,"")</f>
        <v/>
      </c>
      <c r="K82" s="88" t="str">
        <f aca="false">IF('Timeline Estacas'!K82="","",'Timeline Estacas'!K82)</f>
        <v/>
      </c>
      <c r="L82" s="88" t="str">
        <f aca="false">IF('Timeline Estacas'!L82="","",'Timeline Estacas'!L82)</f>
        <v/>
      </c>
      <c r="M82" s="88" t="str">
        <f aca="false">IF('Timeline Estacas'!M82="","",'Timeline Estacas'!M82)</f>
        <v/>
      </c>
      <c r="N82" s="89" t="str">
        <f aca="false">IF('Timeline Estacas'!N82="","",'Timeline Estacas'!N82)</f>
        <v/>
      </c>
      <c r="O82" s="90" t="str">
        <f aca="false">IF(ISNUMBER('Timeline Estacas'!O82),'Timeline Estacas'!O82,"")</f>
        <v/>
      </c>
      <c r="P82" s="91" t="n">
        <f aca="false">IF($Q82&gt;0,1,0)</f>
        <v>0</v>
      </c>
      <c r="Q82" s="91" t="n">
        <f aca="false">IF($F82="",0,1)+IF($H82="",0,1)</f>
        <v>0</v>
      </c>
      <c r="R82" s="91" t="n">
        <f aca="false">IF($N82="",0,1)</f>
        <v>0</v>
      </c>
      <c r="S82" s="91" t="n">
        <f aca="false">IF($F82="",0,1)</f>
        <v>0</v>
      </c>
      <c r="T82" s="91" t="n">
        <f aca="false">IF($H82="",0,1)</f>
        <v>0</v>
      </c>
      <c r="U82" s="91" t="n">
        <f aca="false">IF($J82="",0,1)</f>
        <v>0</v>
      </c>
      <c r="V82" s="91" t="n">
        <f aca="true">IF($J82="",0,IF($J82&lt;=TODAY(),1,0))</f>
        <v>0</v>
      </c>
      <c r="W82" s="92" t="n">
        <f aca="false">IF($O82="",0,$O82)</f>
        <v>0</v>
      </c>
      <c r="X82" s="91" t="str">
        <f aca="false">IF($R82=1,SUM($R$2:$R82),"")</f>
        <v/>
      </c>
      <c r="Y82" s="91" t="n">
        <f aca="false">IF($F82="",0,IF(COUNTIF($F$2:$F82,$F82)+COUNTIF($H$2:$H82,$F82)&gt;1,1,0))+IF($H82="",0,IF(COUNTIF($F$2:$F82,$H82)+COUNTIF($H$2:$H82,$H82)&gt;1,1,0))</f>
        <v>0</v>
      </c>
      <c r="Z82" s="91" t="n">
        <f aca="false">IF($Q82=0,0,IF(COUNTIFS($A$2:$A82,$A82,$Q$2:$Q82,"&gt;0")=1,1,0))</f>
        <v>0</v>
      </c>
      <c r="AA82" s="93" t="str">
        <f aca="false">IF($Q82&gt;0,$A82,"")</f>
        <v/>
      </c>
      <c r="AB82" s="91" t="n">
        <f aca="false">IF($K82="",0,1)</f>
        <v>0</v>
      </c>
      <c r="AC82" s="91" t="n">
        <f aca="false">IF($L82="",0,1)</f>
        <v>0</v>
      </c>
      <c r="AD82" s="91" t="n">
        <f aca="false">IF($M82="",0,1)</f>
        <v>0</v>
      </c>
      <c r="AE82" s="91" t="str">
        <f aca="false">IF($Q82&gt;0,$D82,"")</f>
        <v/>
      </c>
      <c r="AF82" s="1"/>
      <c r="AG82" s="1"/>
      <c r="AH82" s="1"/>
      <c r="AI82" s="1"/>
      <c r="AJ82" s="1"/>
      <c r="AK82" s="1"/>
      <c r="AL82" s="1"/>
      <c r="AM82" s="1"/>
      <c r="AN82" s="1"/>
    </row>
    <row r="83" customFormat="false" ht="18" hidden="false" customHeight="true" outlineLevel="0" collapsed="false">
      <c r="A83" s="86" t="n">
        <f aca="false">IF(ISNUMBER('Timeline Estacas'!A83),'Timeline Estacas'!A83,"")</f>
        <v>46258</v>
      </c>
      <c r="B83" s="87" t="n">
        <f aca="false">IF($A83="","",$A83)</f>
        <v>46258</v>
      </c>
      <c r="C83" s="88" t="str">
        <f aca="false">IF(ISNUMBER('Timeline Estacas'!C83),'Timeline Estacas'!C83,"")</f>
        <v/>
      </c>
      <c r="D83" s="88" t="n">
        <f aca="false">IF(ISNUMBER('Timeline Estacas'!D83),'Timeline Estacas'!D83,"")</f>
        <v>43</v>
      </c>
      <c r="E83" s="88" t="str">
        <f aca="false">IF($D83="","","S-"&amp;TEXT($D83,"00"))</f>
        <v>S-43</v>
      </c>
      <c r="F83" s="88" t="n">
        <f aca="false">IF(ISNUMBER('Timeline Estacas'!F83),'Timeline Estacas'!F83,"")</f>
        <v>40</v>
      </c>
      <c r="G83" s="88" t="str">
        <f aca="false">IF($F83="","",IF('Timeline Estacas'!G83&lt;&gt;"",'Timeline Estacas'!G83,'Timeline Estacas'!I83))</f>
        <v>B</v>
      </c>
      <c r="H83" s="88" t="str">
        <f aca="false">IF(ISNUMBER('Timeline Estacas'!H83),'Timeline Estacas'!H83,"")</f>
        <v/>
      </c>
      <c r="I83" s="88" t="str">
        <f aca="false">IF($H83="","",'Timeline Estacas'!I83)</f>
        <v/>
      </c>
      <c r="J83" s="86" t="n">
        <f aca="false">IF(ISNUMBER('Timeline Estacas'!J83),'Timeline Estacas'!J83,"")</f>
        <v>46272</v>
      </c>
      <c r="K83" s="88" t="str">
        <f aca="false">IF('Timeline Estacas'!K83="","",'Timeline Estacas'!K83)</f>
        <v/>
      </c>
      <c r="L83" s="88" t="str">
        <f aca="false">IF('Timeline Estacas'!L83="","",'Timeline Estacas'!L83)</f>
        <v/>
      </c>
      <c r="M83" s="88" t="str">
        <f aca="false">IF('Timeline Estacas'!M83="","",'Timeline Estacas'!M83)</f>
        <v/>
      </c>
      <c r="N83" s="89" t="str">
        <f aca="false">IF('Timeline Estacas'!N83="","",'Timeline Estacas'!N83)</f>
        <v/>
      </c>
      <c r="O83" s="90" t="str">
        <f aca="false">IF(ISNUMBER('Timeline Estacas'!O83),'Timeline Estacas'!O83,"")</f>
        <v/>
      </c>
      <c r="P83" s="91" t="n">
        <f aca="false">IF($Q83&gt;0,1,0)</f>
        <v>1</v>
      </c>
      <c r="Q83" s="91" t="n">
        <f aca="false">IF($F83="",0,1)+IF($H83="",0,1)</f>
        <v>1</v>
      </c>
      <c r="R83" s="91" t="n">
        <f aca="false">IF($N83="",0,1)</f>
        <v>0</v>
      </c>
      <c r="S83" s="91" t="n">
        <f aca="false">IF($F83="",0,1)</f>
        <v>1</v>
      </c>
      <c r="T83" s="91" t="n">
        <f aca="false">IF($H83="",0,1)</f>
        <v>0</v>
      </c>
      <c r="U83" s="91" t="n">
        <f aca="false">IF($J83="",0,1)</f>
        <v>1</v>
      </c>
      <c r="V83" s="91" t="n">
        <f aca="true">IF($J83="",0,IF($J83&lt;=TODAY(),1,0))</f>
        <v>0</v>
      </c>
      <c r="W83" s="92" t="n">
        <f aca="false">IF($O83="",0,$O83)</f>
        <v>0</v>
      </c>
      <c r="X83" s="91" t="str">
        <f aca="false">IF($R83=1,SUM($R$2:$R83),"")</f>
        <v/>
      </c>
      <c r="Y83" s="91" t="n">
        <f aca="false">IF($F83="",0,IF(COUNTIF($F$2:$F83,$F83)+COUNTIF($H$2:$H83,$F83)&gt;1,1,0))+IF($H83="",0,IF(COUNTIF($F$2:$F83,$H83)+COUNTIF($H$2:$H83,$H83)&gt;1,1,0))</f>
        <v>0</v>
      </c>
      <c r="Z83" s="91" t="n">
        <f aca="false">IF($Q83=0,0,IF(COUNTIFS($A$2:$A83,$A83,$Q$2:$Q83,"&gt;0")=1,1,0))</f>
        <v>1</v>
      </c>
      <c r="AA83" s="93" t="n">
        <f aca="false">IF($Q83&gt;0,$A83,"")</f>
        <v>46258</v>
      </c>
      <c r="AB83" s="91" t="n">
        <f aca="false">IF($K83="",0,1)</f>
        <v>0</v>
      </c>
      <c r="AC83" s="91" t="n">
        <f aca="false">IF($L83="",0,1)</f>
        <v>0</v>
      </c>
      <c r="AD83" s="91" t="n">
        <f aca="false">IF($M83="",0,1)</f>
        <v>0</v>
      </c>
      <c r="AE83" s="91" t="n">
        <f aca="false">IF($Q83&gt;0,$D83,"")</f>
        <v>43</v>
      </c>
      <c r="AF83" s="1"/>
      <c r="AG83" s="1"/>
      <c r="AH83" s="1"/>
      <c r="AI83" s="1"/>
      <c r="AJ83" s="1"/>
      <c r="AK83" s="1"/>
      <c r="AL83" s="1"/>
      <c r="AM83" s="1"/>
      <c r="AN83" s="1"/>
    </row>
    <row r="84" customFormat="false" ht="18" hidden="false" customHeight="true" outlineLevel="0" collapsed="false">
      <c r="A84" s="86" t="n">
        <f aca="false">IF(ISNUMBER('Timeline Estacas'!A84),'Timeline Estacas'!A84,"")</f>
        <v>46258</v>
      </c>
      <c r="B84" s="87" t="n">
        <f aca="false">IF($A84="","",$A84)</f>
        <v>46258</v>
      </c>
      <c r="C84" s="88" t="str">
        <f aca="false">IF(ISNUMBER('Timeline Estacas'!C84),'Timeline Estacas'!C84,"")</f>
        <v/>
      </c>
      <c r="D84" s="88" t="n">
        <f aca="false">IF(ISNUMBER('Timeline Estacas'!D84),'Timeline Estacas'!D84,"")</f>
        <v>43</v>
      </c>
      <c r="E84" s="88" t="str">
        <f aca="false">IF($D84="","","S-"&amp;TEXT($D84,"00"))</f>
        <v>S-43</v>
      </c>
      <c r="F84" s="88" t="n">
        <f aca="false">IF(ISNUMBER('Timeline Estacas'!F84),'Timeline Estacas'!F84,"")</f>
        <v>44</v>
      </c>
      <c r="G84" s="88" t="str">
        <f aca="false">IF($F84="","",IF('Timeline Estacas'!G84&lt;&gt;"",'Timeline Estacas'!G84,'Timeline Estacas'!I84))</f>
        <v>B</v>
      </c>
      <c r="H84" s="88" t="str">
        <f aca="false">IF(ISNUMBER('Timeline Estacas'!H84),'Timeline Estacas'!H84,"")</f>
        <v/>
      </c>
      <c r="I84" s="88" t="str">
        <f aca="false">IF($H84="","",'Timeline Estacas'!I84)</f>
        <v/>
      </c>
      <c r="J84" s="86" t="n">
        <f aca="false">IF(ISNUMBER('Timeline Estacas'!J84),'Timeline Estacas'!J84,"")</f>
        <v>46272</v>
      </c>
      <c r="K84" s="88" t="str">
        <f aca="false">IF('Timeline Estacas'!K84="","",'Timeline Estacas'!K84)</f>
        <v/>
      </c>
      <c r="L84" s="88" t="str">
        <f aca="false">IF('Timeline Estacas'!L84="","",'Timeline Estacas'!L84)</f>
        <v/>
      </c>
      <c r="M84" s="88" t="str">
        <f aca="false">IF('Timeline Estacas'!M84="","",'Timeline Estacas'!M84)</f>
        <v/>
      </c>
      <c r="N84" s="89" t="str">
        <f aca="false">IF('Timeline Estacas'!N84="","",'Timeline Estacas'!N84)</f>
        <v/>
      </c>
      <c r="O84" s="90" t="str">
        <f aca="false">IF(ISNUMBER('Timeline Estacas'!O84),'Timeline Estacas'!O84,"")</f>
        <v/>
      </c>
      <c r="P84" s="91" t="n">
        <f aca="false">IF($Q84&gt;0,1,0)</f>
        <v>1</v>
      </c>
      <c r="Q84" s="91" t="n">
        <f aca="false">IF($F84="",0,1)+IF($H84="",0,1)</f>
        <v>1</v>
      </c>
      <c r="R84" s="91" t="n">
        <f aca="false">IF($N84="",0,1)</f>
        <v>0</v>
      </c>
      <c r="S84" s="91" t="n">
        <f aca="false">IF($F84="",0,1)</f>
        <v>1</v>
      </c>
      <c r="T84" s="91" t="n">
        <f aca="false">IF($H84="",0,1)</f>
        <v>0</v>
      </c>
      <c r="U84" s="91" t="n">
        <f aca="false">IF($J84="",0,1)</f>
        <v>1</v>
      </c>
      <c r="V84" s="91" t="n">
        <f aca="true">IF($J84="",0,IF($J84&lt;=TODAY(),1,0))</f>
        <v>0</v>
      </c>
      <c r="W84" s="92" t="n">
        <f aca="false">IF($O84="",0,$O84)</f>
        <v>0</v>
      </c>
      <c r="X84" s="91" t="str">
        <f aca="false">IF($R84=1,SUM($R$2:$R84),"")</f>
        <v/>
      </c>
      <c r="Y84" s="91" t="n">
        <f aca="false">IF($F84="",0,IF(COUNTIF($F$2:$F84,$F84)+COUNTIF($H$2:$H84,$F84)&gt;1,1,0))+IF($H84="",0,IF(COUNTIF($F$2:$F84,$H84)+COUNTIF($H$2:$H84,$H84)&gt;1,1,0))</f>
        <v>0</v>
      </c>
      <c r="Z84" s="91" t="n">
        <f aca="false">IF($Q84=0,0,IF(COUNTIFS($A$2:$A84,$A84,$Q$2:$Q84,"&gt;0")=1,1,0))</f>
        <v>0</v>
      </c>
      <c r="AA84" s="93" t="n">
        <f aca="false">IF($Q84&gt;0,$A84,"")</f>
        <v>46258</v>
      </c>
      <c r="AB84" s="91" t="n">
        <f aca="false">IF($K84="",0,1)</f>
        <v>0</v>
      </c>
      <c r="AC84" s="91" t="n">
        <f aca="false">IF($L84="",0,1)</f>
        <v>0</v>
      </c>
      <c r="AD84" s="91" t="n">
        <f aca="false">IF($M84="",0,1)</f>
        <v>0</v>
      </c>
      <c r="AE84" s="91" t="n">
        <f aca="false">IF($Q84&gt;0,$D84,"")</f>
        <v>43</v>
      </c>
      <c r="AF84" s="1"/>
      <c r="AG84" s="1"/>
      <c r="AH84" s="1"/>
      <c r="AI84" s="1"/>
      <c r="AJ84" s="1"/>
      <c r="AK84" s="1"/>
      <c r="AL84" s="1"/>
      <c r="AM84" s="1"/>
      <c r="AN84" s="1"/>
    </row>
    <row r="85" customFormat="false" ht="18" hidden="false" customHeight="true" outlineLevel="0" collapsed="false">
      <c r="A85" s="86" t="n">
        <f aca="false">IF(ISNUMBER('Timeline Estacas'!A85),'Timeline Estacas'!A85,"")</f>
        <v>46258</v>
      </c>
      <c r="B85" s="87" t="n">
        <f aca="false">IF($A85="","",$A85)</f>
        <v>46258</v>
      </c>
      <c r="C85" s="88" t="n">
        <f aca="false">IF(ISNUMBER('Timeline Estacas'!C85),'Timeline Estacas'!C85,"")</f>
        <v>297</v>
      </c>
      <c r="D85" s="88" t="n">
        <f aca="false">IF(ISNUMBER('Timeline Estacas'!D85),'Timeline Estacas'!D85,"")</f>
        <v>43</v>
      </c>
      <c r="E85" s="88" t="str">
        <f aca="false">IF($D85="","","S-"&amp;TEXT($D85,"00"))</f>
        <v>S-43</v>
      </c>
      <c r="F85" s="88" t="n">
        <f aca="false">IF(ISNUMBER('Timeline Estacas'!F85),'Timeline Estacas'!F85,"")</f>
        <v>3</v>
      </c>
      <c r="G85" s="88" t="str">
        <f aca="false">IF($F85="","",IF('Timeline Estacas'!G85&lt;&gt;"",'Timeline Estacas'!G85,'Timeline Estacas'!I85))</f>
        <v>B</v>
      </c>
      <c r="H85" s="88" t="str">
        <f aca="false">IF(ISNUMBER('Timeline Estacas'!H85),'Timeline Estacas'!H85,"")</f>
        <v/>
      </c>
      <c r="I85" s="88" t="str">
        <f aca="false">IF($H85="","",'Timeline Estacas'!I85)</f>
        <v/>
      </c>
      <c r="J85" s="86" t="n">
        <f aca="false">IF(ISNUMBER('Timeline Estacas'!J85),'Timeline Estacas'!J85,"")</f>
        <v>46272</v>
      </c>
      <c r="K85" s="88" t="str">
        <f aca="false">IF('Timeline Estacas'!K85="","",'Timeline Estacas'!K85)</f>
        <v/>
      </c>
      <c r="L85" s="88" t="str">
        <f aca="false">IF('Timeline Estacas'!L85="","",'Timeline Estacas'!L85)</f>
        <v/>
      </c>
      <c r="M85" s="88" t="str">
        <f aca="false">IF('Timeline Estacas'!M85="","",'Timeline Estacas'!M85)</f>
        <v/>
      </c>
      <c r="N85" s="89" t="str">
        <f aca="false">IF('Timeline Estacas'!N85="","",'Timeline Estacas'!N85)</f>
        <v/>
      </c>
      <c r="O85" s="90" t="str">
        <f aca="false">IF(ISNUMBER('Timeline Estacas'!O85),'Timeline Estacas'!O85,"")</f>
        <v/>
      </c>
      <c r="P85" s="91" t="n">
        <f aca="false">IF($Q85&gt;0,1,0)</f>
        <v>1</v>
      </c>
      <c r="Q85" s="91" t="n">
        <f aca="false">IF($F85="",0,1)+IF($H85="",0,1)</f>
        <v>1</v>
      </c>
      <c r="R85" s="91" t="n">
        <f aca="false">IF($N85="",0,1)</f>
        <v>0</v>
      </c>
      <c r="S85" s="91" t="n">
        <f aca="false">IF($F85="",0,1)</f>
        <v>1</v>
      </c>
      <c r="T85" s="91" t="n">
        <f aca="false">IF($H85="",0,1)</f>
        <v>0</v>
      </c>
      <c r="U85" s="91" t="n">
        <f aca="false">IF($J85="",0,1)</f>
        <v>1</v>
      </c>
      <c r="V85" s="91" t="n">
        <f aca="true">IF($J85="",0,IF($J85&lt;=TODAY(),1,0))</f>
        <v>0</v>
      </c>
      <c r="W85" s="92" t="n">
        <f aca="false">IF($O85="",0,$O85)</f>
        <v>0</v>
      </c>
      <c r="X85" s="91" t="str">
        <f aca="false">IF($R85=1,SUM($R$2:$R85),"")</f>
        <v/>
      </c>
      <c r="Y85" s="91" t="n">
        <f aca="false">IF($F85="",0,IF(COUNTIF($F$2:$F85,$F85)+COUNTIF($H$2:$H85,$F85)&gt;1,1,0))+IF($H85="",0,IF(COUNTIF($F$2:$F85,$H85)+COUNTIF($H$2:$H85,$H85)&gt;1,1,0))</f>
        <v>0</v>
      </c>
      <c r="Z85" s="91" t="n">
        <f aca="false">IF($Q85=0,0,IF(COUNTIFS($A$2:$A85,$A85,$Q$2:$Q85,"&gt;0")=1,1,0))</f>
        <v>0</v>
      </c>
      <c r="AA85" s="93" t="n">
        <f aca="false">IF($Q85&gt;0,$A85,"")</f>
        <v>46258</v>
      </c>
      <c r="AB85" s="91" t="n">
        <f aca="false">IF($K85="",0,1)</f>
        <v>0</v>
      </c>
      <c r="AC85" s="91" t="n">
        <f aca="false">IF($L85="",0,1)</f>
        <v>0</v>
      </c>
      <c r="AD85" s="91" t="n">
        <f aca="false">IF($M85="",0,1)</f>
        <v>0</v>
      </c>
      <c r="AE85" s="91" t="n">
        <f aca="false">IF($Q85&gt;0,$D85,"")</f>
        <v>43</v>
      </c>
      <c r="AF85" s="1"/>
      <c r="AG85" s="1"/>
      <c r="AH85" s="1"/>
      <c r="AI85" s="1"/>
      <c r="AJ85" s="1"/>
      <c r="AK85" s="1"/>
      <c r="AL85" s="1"/>
      <c r="AM85" s="1"/>
      <c r="AN85" s="1"/>
    </row>
    <row r="86" customFormat="false" ht="18" hidden="false" customHeight="true" outlineLevel="0" collapsed="false">
      <c r="A86" s="86" t="n">
        <f aca="false">IF(ISNUMBER('Timeline Estacas'!A86),'Timeline Estacas'!A86,"")</f>
        <v>46258</v>
      </c>
      <c r="B86" s="87" t="n">
        <f aca="false">IF($A86="","",$A86)</f>
        <v>46258</v>
      </c>
      <c r="C86" s="88" t="n">
        <f aca="false">IF(ISNUMBER('Timeline Estacas'!C86),'Timeline Estacas'!C86,"")</f>
        <v>297</v>
      </c>
      <c r="D86" s="88" t="n">
        <f aca="false">IF(ISNUMBER('Timeline Estacas'!D86),'Timeline Estacas'!D86,"")</f>
        <v>43</v>
      </c>
      <c r="E86" s="88" t="str">
        <f aca="false">IF($D86="","","S-"&amp;TEXT($D86,"00"))</f>
        <v>S-43</v>
      </c>
      <c r="F86" s="88" t="n">
        <f aca="false">IF(ISNUMBER('Timeline Estacas'!F86),'Timeline Estacas'!F86,"")</f>
        <v>7</v>
      </c>
      <c r="G86" s="88" t="str">
        <f aca="false">IF($F86="","",IF('Timeline Estacas'!G86&lt;&gt;"",'Timeline Estacas'!G86,'Timeline Estacas'!I86))</f>
        <v>B</v>
      </c>
      <c r="H86" s="88" t="str">
        <f aca="false">IF(ISNUMBER('Timeline Estacas'!H86),'Timeline Estacas'!H86,"")</f>
        <v/>
      </c>
      <c r="I86" s="88" t="str">
        <f aca="false">IF($H86="","",'Timeline Estacas'!I86)</f>
        <v/>
      </c>
      <c r="J86" s="86" t="n">
        <f aca="false">IF(ISNUMBER('Timeline Estacas'!J86),'Timeline Estacas'!J86,"")</f>
        <v>46272</v>
      </c>
      <c r="K86" s="88" t="str">
        <f aca="false">IF('Timeline Estacas'!K86="","",'Timeline Estacas'!K86)</f>
        <v/>
      </c>
      <c r="L86" s="88" t="str">
        <f aca="false">IF('Timeline Estacas'!L86="","",'Timeline Estacas'!L86)</f>
        <v/>
      </c>
      <c r="M86" s="88" t="str">
        <f aca="false">IF('Timeline Estacas'!M86="","",'Timeline Estacas'!M86)</f>
        <v/>
      </c>
      <c r="N86" s="89" t="str">
        <f aca="false">IF('Timeline Estacas'!N86="","",'Timeline Estacas'!N86)</f>
        <v/>
      </c>
      <c r="O86" s="90" t="str">
        <f aca="false">IF(ISNUMBER('Timeline Estacas'!O86),'Timeline Estacas'!O86,"")</f>
        <v/>
      </c>
      <c r="P86" s="91" t="n">
        <f aca="false">IF($Q86&gt;0,1,0)</f>
        <v>1</v>
      </c>
      <c r="Q86" s="91" t="n">
        <f aca="false">IF($F86="",0,1)+IF($H86="",0,1)</f>
        <v>1</v>
      </c>
      <c r="R86" s="91" t="n">
        <f aca="false">IF($N86="",0,1)</f>
        <v>0</v>
      </c>
      <c r="S86" s="91" t="n">
        <f aca="false">IF($F86="",0,1)</f>
        <v>1</v>
      </c>
      <c r="T86" s="91" t="n">
        <f aca="false">IF($H86="",0,1)</f>
        <v>0</v>
      </c>
      <c r="U86" s="91" t="n">
        <f aca="false">IF($J86="",0,1)</f>
        <v>1</v>
      </c>
      <c r="V86" s="91" t="n">
        <f aca="true">IF($J86="",0,IF($J86&lt;=TODAY(),1,0))</f>
        <v>0</v>
      </c>
      <c r="W86" s="92" t="n">
        <f aca="false">IF($O86="",0,$O86)</f>
        <v>0</v>
      </c>
      <c r="X86" s="91" t="str">
        <f aca="false">IF($R86=1,SUM($R$2:$R86),"")</f>
        <v/>
      </c>
      <c r="Y86" s="91" t="n">
        <f aca="false">IF($F86="",0,IF(COUNTIF($F$2:$F86,$F86)+COUNTIF($H$2:$H86,$F86)&gt;1,1,0))+IF($H86="",0,IF(COUNTIF($F$2:$F86,$H86)+COUNTIF($H$2:$H86,$H86)&gt;1,1,0))</f>
        <v>0</v>
      </c>
      <c r="Z86" s="91" t="n">
        <f aca="false">IF($Q86=0,0,IF(COUNTIFS($A$2:$A86,$A86,$Q$2:$Q86,"&gt;0")=1,1,0))</f>
        <v>0</v>
      </c>
      <c r="AA86" s="93" t="n">
        <f aca="false">IF($Q86&gt;0,$A86,"")</f>
        <v>46258</v>
      </c>
      <c r="AB86" s="91" t="n">
        <f aca="false">IF($K86="",0,1)</f>
        <v>0</v>
      </c>
      <c r="AC86" s="91" t="n">
        <f aca="false">IF($L86="",0,1)</f>
        <v>0</v>
      </c>
      <c r="AD86" s="91" t="n">
        <f aca="false">IF($M86="",0,1)</f>
        <v>0</v>
      </c>
      <c r="AE86" s="91" t="n">
        <f aca="false">IF($Q86&gt;0,$D86,"")</f>
        <v>43</v>
      </c>
      <c r="AF86" s="1"/>
      <c r="AG86" s="1"/>
      <c r="AH86" s="1"/>
      <c r="AI86" s="1"/>
      <c r="AJ86" s="1"/>
      <c r="AK86" s="1"/>
      <c r="AL86" s="1"/>
      <c r="AM86" s="1"/>
      <c r="AN86" s="1"/>
    </row>
    <row r="87" customFormat="false" ht="18" hidden="false" customHeight="true" outlineLevel="0" collapsed="false">
      <c r="A87" s="86" t="n">
        <f aca="false">IF(ISNUMBER('Timeline Estacas'!A87),'Timeline Estacas'!A87,"")</f>
        <v>46258</v>
      </c>
      <c r="B87" s="87" t="n">
        <f aca="false">IF($A87="","",$A87)</f>
        <v>46258</v>
      </c>
      <c r="C87" s="88" t="n">
        <f aca="false">IF(ISNUMBER('Timeline Estacas'!C87),'Timeline Estacas'!C87,"")</f>
        <v>297</v>
      </c>
      <c r="D87" s="88" t="n">
        <f aca="false">IF(ISNUMBER('Timeline Estacas'!D87),'Timeline Estacas'!D87,"")</f>
        <v>43</v>
      </c>
      <c r="E87" s="88" t="str">
        <f aca="false">IF($D87="","","S-"&amp;TEXT($D87,"00"))</f>
        <v>S-43</v>
      </c>
      <c r="F87" s="88" t="n">
        <f aca="false">IF(ISNUMBER('Timeline Estacas'!F87),'Timeline Estacas'!F87,"")</f>
        <v>11</v>
      </c>
      <c r="G87" s="88" t="str">
        <f aca="false">IF($F87="","",IF('Timeline Estacas'!G87&lt;&gt;"",'Timeline Estacas'!G87,'Timeline Estacas'!I87))</f>
        <v>B</v>
      </c>
      <c r="H87" s="88" t="str">
        <f aca="false">IF(ISNUMBER('Timeline Estacas'!H87),'Timeline Estacas'!H87,"")</f>
        <v/>
      </c>
      <c r="I87" s="88" t="str">
        <f aca="false">IF($H87="","",'Timeline Estacas'!I87)</f>
        <v/>
      </c>
      <c r="J87" s="86" t="n">
        <f aca="false">IF(ISNUMBER('Timeline Estacas'!J87),'Timeline Estacas'!J87,"")</f>
        <v>46272</v>
      </c>
      <c r="K87" s="88" t="str">
        <f aca="false">IF('Timeline Estacas'!K87="","",'Timeline Estacas'!K87)</f>
        <v/>
      </c>
      <c r="L87" s="88" t="str">
        <f aca="false">IF('Timeline Estacas'!L87="","",'Timeline Estacas'!L87)</f>
        <v/>
      </c>
      <c r="M87" s="88" t="str">
        <f aca="false">IF('Timeline Estacas'!M87="","",'Timeline Estacas'!M87)</f>
        <v/>
      </c>
      <c r="N87" s="89" t="str">
        <f aca="false">IF('Timeline Estacas'!N87="","",'Timeline Estacas'!N87)</f>
        <v/>
      </c>
      <c r="O87" s="90" t="str">
        <f aca="false">IF(ISNUMBER('Timeline Estacas'!O87),'Timeline Estacas'!O87,"")</f>
        <v/>
      </c>
      <c r="P87" s="91" t="n">
        <f aca="false">IF($Q87&gt;0,1,0)</f>
        <v>1</v>
      </c>
      <c r="Q87" s="91" t="n">
        <f aca="false">IF($F87="",0,1)+IF($H87="",0,1)</f>
        <v>1</v>
      </c>
      <c r="R87" s="91" t="n">
        <f aca="false">IF($N87="",0,1)</f>
        <v>0</v>
      </c>
      <c r="S87" s="91" t="n">
        <f aca="false">IF($F87="",0,1)</f>
        <v>1</v>
      </c>
      <c r="T87" s="91" t="n">
        <f aca="false">IF($H87="",0,1)</f>
        <v>0</v>
      </c>
      <c r="U87" s="91" t="n">
        <f aca="false">IF($J87="",0,1)</f>
        <v>1</v>
      </c>
      <c r="V87" s="91" t="n">
        <f aca="true">IF($J87="",0,IF($J87&lt;=TODAY(),1,0))</f>
        <v>0</v>
      </c>
      <c r="W87" s="92" t="n">
        <f aca="false">IF($O87="",0,$O87)</f>
        <v>0</v>
      </c>
      <c r="X87" s="91" t="str">
        <f aca="false">IF($R87=1,SUM($R$2:$R87),"")</f>
        <v/>
      </c>
      <c r="Y87" s="91" t="n">
        <f aca="false">IF($F87="",0,IF(COUNTIF($F$2:$F87,$F87)+COUNTIF($H$2:$H87,$F87)&gt;1,1,0))+IF($H87="",0,IF(COUNTIF($F$2:$F87,$H87)+COUNTIF($H$2:$H87,$H87)&gt;1,1,0))</f>
        <v>0</v>
      </c>
      <c r="Z87" s="91" t="n">
        <f aca="false">IF($Q87=0,0,IF(COUNTIFS($A$2:$A87,$A87,$Q$2:$Q87,"&gt;0")=1,1,0))</f>
        <v>0</v>
      </c>
      <c r="AA87" s="93" t="n">
        <f aca="false">IF($Q87&gt;0,$A87,"")</f>
        <v>46258</v>
      </c>
      <c r="AB87" s="91" t="n">
        <f aca="false">IF($K87="",0,1)</f>
        <v>0</v>
      </c>
      <c r="AC87" s="91" t="n">
        <f aca="false">IF($L87="",0,1)</f>
        <v>0</v>
      </c>
      <c r="AD87" s="91" t="n">
        <f aca="false">IF($M87="",0,1)</f>
        <v>0</v>
      </c>
      <c r="AE87" s="91" t="n">
        <f aca="false">IF($Q87&gt;0,$D87,"")</f>
        <v>43</v>
      </c>
      <c r="AF87" s="1"/>
      <c r="AG87" s="1"/>
      <c r="AH87" s="1"/>
      <c r="AI87" s="1"/>
      <c r="AJ87" s="1"/>
      <c r="AK87" s="1"/>
      <c r="AL87" s="1"/>
      <c r="AM87" s="1"/>
      <c r="AN87" s="1"/>
    </row>
    <row r="88" customFormat="false" ht="18" hidden="false" customHeight="true" outlineLevel="0" collapsed="false">
      <c r="A88" s="86" t="n">
        <f aca="false">IF(ISNUMBER('Timeline Estacas'!A88),'Timeline Estacas'!A88,"")</f>
        <v>46258</v>
      </c>
      <c r="B88" s="87" t="n">
        <f aca="false">IF($A88="","",$A88)</f>
        <v>46258</v>
      </c>
      <c r="C88" s="88" t="n">
        <f aca="false">IF(ISNUMBER('Timeline Estacas'!C88),'Timeline Estacas'!C88,"")</f>
        <v>297</v>
      </c>
      <c r="D88" s="88" t="n">
        <f aca="false">IF(ISNUMBER('Timeline Estacas'!D88),'Timeline Estacas'!D88,"")</f>
        <v>43</v>
      </c>
      <c r="E88" s="88" t="str">
        <f aca="false">IF($D88="","","S-"&amp;TEXT($D88,"00"))</f>
        <v>S-43</v>
      </c>
      <c r="F88" s="88" t="n">
        <f aca="false">IF(ISNUMBER('Timeline Estacas'!F88),'Timeline Estacas'!F88,"")</f>
        <v>16</v>
      </c>
      <c r="G88" s="88" t="str">
        <f aca="false">IF($F88="","",IF('Timeline Estacas'!G88&lt;&gt;"",'Timeline Estacas'!G88,'Timeline Estacas'!I88))</f>
        <v>B</v>
      </c>
      <c r="H88" s="88" t="str">
        <f aca="false">IF(ISNUMBER('Timeline Estacas'!H88),'Timeline Estacas'!H88,"")</f>
        <v/>
      </c>
      <c r="I88" s="88" t="str">
        <f aca="false">IF($H88="","",'Timeline Estacas'!I88)</f>
        <v/>
      </c>
      <c r="J88" s="86" t="n">
        <f aca="false">IF(ISNUMBER('Timeline Estacas'!J88),'Timeline Estacas'!J88,"")</f>
        <v>46272</v>
      </c>
      <c r="K88" s="88" t="str">
        <f aca="false">IF('Timeline Estacas'!K88="","",'Timeline Estacas'!K88)</f>
        <v/>
      </c>
      <c r="L88" s="88" t="str">
        <f aca="false">IF('Timeline Estacas'!L88="","",'Timeline Estacas'!L88)</f>
        <v/>
      </c>
      <c r="M88" s="88" t="str">
        <f aca="false">IF('Timeline Estacas'!M88="","",'Timeline Estacas'!M88)</f>
        <v/>
      </c>
      <c r="N88" s="89" t="str">
        <f aca="false">IF('Timeline Estacas'!N88="","",'Timeline Estacas'!N88)</f>
        <v/>
      </c>
      <c r="O88" s="90" t="str">
        <f aca="false">IF(ISNUMBER('Timeline Estacas'!O88),'Timeline Estacas'!O88,"")</f>
        <v/>
      </c>
      <c r="P88" s="91" t="n">
        <f aca="false">IF($Q88&gt;0,1,0)</f>
        <v>1</v>
      </c>
      <c r="Q88" s="91" t="n">
        <f aca="false">IF($F88="",0,1)+IF($H88="",0,1)</f>
        <v>1</v>
      </c>
      <c r="R88" s="91" t="n">
        <f aca="false">IF($N88="",0,1)</f>
        <v>0</v>
      </c>
      <c r="S88" s="91" t="n">
        <f aca="false">IF($F88="",0,1)</f>
        <v>1</v>
      </c>
      <c r="T88" s="91" t="n">
        <f aca="false">IF($H88="",0,1)</f>
        <v>0</v>
      </c>
      <c r="U88" s="91" t="n">
        <f aca="false">IF($J88="",0,1)</f>
        <v>1</v>
      </c>
      <c r="V88" s="91" t="n">
        <f aca="true">IF($J88="",0,IF($J88&lt;=TODAY(),1,0))</f>
        <v>0</v>
      </c>
      <c r="W88" s="92" t="n">
        <f aca="false">IF($O88="",0,$O88)</f>
        <v>0</v>
      </c>
      <c r="X88" s="91" t="str">
        <f aca="false">IF($R88=1,SUM($R$2:$R88),"")</f>
        <v/>
      </c>
      <c r="Y88" s="91" t="n">
        <f aca="false">IF($F88="",0,IF(COUNTIF($F$2:$F88,$F88)+COUNTIF($H$2:$H88,$F88)&gt;1,1,0))+IF($H88="",0,IF(COUNTIF($F$2:$F88,$H88)+COUNTIF($H$2:$H88,$H88)&gt;1,1,0))</f>
        <v>0</v>
      </c>
      <c r="Z88" s="91" t="n">
        <f aca="false">IF($Q88=0,0,IF(COUNTIFS($A$2:$A88,$A88,$Q$2:$Q88,"&gt;0")=1,1,0))</f>
        <v>0</v>
      </c>
      <c r="AA88" s="93" t="n">
        <f aca="false">IF($Q88&gt;0,$A88,"")</f>
        <v>46258</v>
      </c>
      <c r="AB88" s="91" t="n">
        <f aca="false">IF($K88="",0,1)</f>
        <v>0</v>
      </c>
      <c r="AC88" s="91" t="n">
        <f aca="false">IF($L88="",0,1)</f>
        <v>0</v>
      </c>
      <c r="AD88" s="91" t="n">
        <f aca="false">IF($M88="",0,1)</f>
        <v>0</v>
      </c>
      <c r="AE88" s="91" t="n">
        <f aca="false">IF($Q88&gt;0,$D88,"")</f>
        <v>43</v>
      </c>
      <c r="AF88" s="1"/>
      <c r="AG88" s="1"/>
      <c r="AH88" s="1"/>
      <c r="AI88" s="1"/>
      <c r="AJ88" s="1"/>
      <c r="AK88" s="1"/>
      <c r="AL88" s="1"/>
      <c r="AM88" s="1"/>
      <c r="AN88" s="1"/>
    </row>
    <row r="89" customFormat="false" ht="18" hidden="false" customHeight="true" outlineLevel="0" collapsed="false">
      <c r="A89" s="86" t="n">
        <f aca="false">IF(ISNUMBER('Timeline Estacas'!A89),'Timeline Estacas'!A89,"")</f>
        <v>46258</v>
      </c>
      <c r="B89" s="87" t="n">
        <f aca="false">IF($A89="","",$A89)</f>
        <v>46258</v>
      </c>
      <c r="C89" s="88" t="n">
        <f aca="false">IF(ISNUMBER('Timeline Estacas'!C89),'Timeline Estacas'!C89,"")</f>
        <v>297</v>
      </c>
      <c r="D89" s="88" t="n">
        <f aca="false">IF(ISNUMBER('Timeline Estacas'!D89),'Timeline Estacas'!D89,"")</f>
        <v>43</v>
      </c>
      <c r="E89" s="88" t="str">
        <f aca="false">IF($D89="","","S-"&amp;TEXT($D89,"00"))</f>
        <v>S-43</v>
      </c>
      <c r="F89" s="88" t="n">
        <f aca="false">IF(ISNUMBER('Timeline Estacas'!F89),'Timeline Estacas'!F89,"")</f>
        <v>20</v>
      </c>
      <c r="G89" s="88" t="str">
        <f aca="false">IF($F89="","",IF('Timeline Estacas'!G89&lt;&gt;"",'Timeline Estacas'!G89,'Timeline Estacas'!I89))</f>
        <v>B</v>
      </c>
      <c r="H89" s="88" t="str">
        <f aca="false">IF(ISNUMBER('Timeline Estacas'!H89),'Timeline Estacas'!H89,"")</f>
        <v/>
      </c>
      <c r="I89" s="88" t="str">
        <f aca="false">IF($H89="","",'Timeline Estacas'!I89)</f>
        <v/>
      </c>
      <c r="J89" s="86" t="n">
        <f aca="false">IF(ISNUMBER('Timeline Estacas'!J89),'Timeline Estacas'!J89,"")</f>
        <v>46272</v>
      </c>
      <c r="K89" s="88" t="str">
        <f aca="false">IF('Timeline Estacas'!K89="","",'Timeline Estacas'!K89)</f>
        <v/>
      </c>
      <c r="L89" s="88" t="str">
        <f aca="false">IF('Timeline Estacas'!L89="","",'Timeline Estacas'!L89)</f>
        <v/>
      </c>
      <c r="M89" s="88" t="str">
        <f aca="false">IF('Timeline Estacas'!M89="","",'Timeline Estacas'!M89)</f>
        <v/>
      </c>
      <c r="N89" s="89" t="str">
        <f aca="false">IF('Timeline Estacas'!N89="","",'Timeline Estacas'!N89)</f>
        <v/>
      </c>
      <c r="O89" s="90" t="str">
        <f aca="false">IF(ISNUMBER('Timeline Estacas'!O89),'Timeline Estacas'!O89,"")</f>
        <v/>
      </c>
      <c r="P89" s="91" t="n">
        <f aca="false">IF($Q89&gt;0,1,0)</f>
        <v>1</v>
      </c>
      <c r="Q89" s="91" t="n">
        <f aca="false">IF($F89="",0,1)+IF($H89="",0,1)</f>
        <v>1</v>
      </c>
      <c r="R89" s="91" t="n">
        <f aca="false">IF($N89="",0,1)</f>
        <v>0</v>
      </c>
      <c r="S89" s="91" t="n">
        <f aca="false">IF($F89="",0,1)</f>
        <v>1</v>
      </c>
      <c r="T89" s="91" t="n">
        <f aca="false">IF($H89="",0,1)</f>
        <v>0</v>
      </c>
      <c r="U89" s="91" t="n">
        <f aca="false">IF($J89="",0,1)</f>
        <v>1</v>
      </c>
      <c r="V89" s="91" t="n">
        <f aca="true">IF($J89="",0,IF($J89&lt;=TODAY(),1,0))</f>
        <v>0</v>
      </c>
      <c r="W89" s="92" t="n">
        <f aca="false">IF($O89="",0,$O89)</f>
        <v>0</v>
      </c>
      <c r="X89" s="91" t="str">
        <f aca="false">IF($R89=1,SUM($R$2:$R89),"")</f>
        <v/>
      </c>
      <c r="Y89" s="91" t="n">
        <f aca="false">IF($F89="",0,IF(COUNTIF($F$2:$F89,$F89)+COUNTIF($H$2:$H89,$F89)&gt;1,1,0))+IF($H89="",0,IF(COUNTIF($F$2:$F89,$H89)+COUNTIF($H$2:$H89,$H89)&gt;1,1,0))</f>
        <v>0</v>
      </c>
      <c r="Z89" s="91" t="n">
        <f aca="false">IF($Q89=0,0,IF(COUNTIFS($A$2:$A89,$A89,$Q$2:$Q89,"&gt;0")=1,1,0))</f>
        <v>0</v>
      </c>
      <c r="AA89" s="93" t="n">
        <f aca="false">IF($Q89&gt;0,$A89,"")</f>
        <v>46258</v>
      </c>
      <c r="AB89" s="91" t="n">
        <f aca="false">IF($K89="",0,1)</f>
        <v>0</v>
      </c>
      <c r="AC89" s="91" t="n">
        <f aca="false">IF($L89="",0,1)</f>
        <v>0</v>
      </c>
      <c r="AD89" s="91" t="n">
        <f aca="false">IF($M89="",0,1)</f>
        <v>0</v>
      </c>
      <c r="AE89" s="91" t="n">
        <f aca="false">IF($Q89&gt;0,$D89,"")</f>
        <v>43</v>
      </c>
      <c r="AF89" s="1"/>
      <c r="AG89" s="1"/>
      <c r="AH89" s="1"/>
      <c r="AI89" s="1"/>
      <c r="AJ89" s="1"/>
      <c r="AK89" s="1"/>
      <c r="AL89" s="1"/>
      <c r="AM89" s="1"/>
      <c r="AN89" s="1"/>
    </row>
    <row r="90" customFormat="false" ht="18" hidden="false" customHeight="true" outlineLevel="0" collapsed="false">
      <c r="A90" s="86" t="n">
        <f aca="false">IF(ISNUMBER('Timeline Estacas'!A90),'Timeline Estacas'!A90,"")</f>
        <v>46258</v>
      </c>
      <c r="B90" s="87" t="n">
        <f aca="false">IF($A90="","",$A90)</f>
        <v>46258</v>
      </c>
      <c r="C90" s="88" t="n">
        <f aca="false">IF(ISNUMBER('Timeline Estacas'!C90),'Timeline Estacas'!C90,"")</f>
        <v>297</v>
      </c>
      <c r="D90" s="88" t="n">
        <f aca="false">IF(ISNUMBER('Timeline Estacas'!D90),'Timeline Estacas'!D90,"")</f>
        <v>43</v>
      </c>
      <c r="E90" s="88" t="str">
        <f aca="false">IF($D90="","","S-"&amp;TEXT($D90,"00"))</f>
        <v>S-43</v>
      </c>
      <c r="F90" s="88" t="n">
        <f aca="false">IF(ISNUMBER('Timeline Estacas'!F90),'Timeline Estacas'!F90,"")</f>
        <v>24</v>
      </c>
      <c r="G90" s="88" t="str">
        <f aca="false">IF($F90="","",IF('Timeline Estacas'!G90&lt;&gt;"",'Timeline Estacas'!G90,'Timeline Estacas'!I90))</f>
        <v>B</v>
      </c>
      <c r="H90" s="88" t="str">
        <f aca="false">IF(ISNUMBER('Timeline Estacas'!H90),'Timeline Estacas'!H90,"")</f>
        <v/>
      </c>
      <c r="I90" s="88" t="str">
        <f aca="false">IF($H90="","",'Timeline Estacas'!I90)</f>
        <v/>
      </c>
      <c r="J90" s="86" t="n">
        <f aca="false">IF(ISNUMBER('Timeline Estacas'!J90),'Timeline Estacas'!J90,"")</f>
        <v>46272</v>
      </c>
      <c r="K90" s="88" t="str">
        <f aca="false">IF('Timeline Estacas'!K90="","",'Timeline Estacas'!K90)</f>
        <v/>
      </c>
      <c r="L90" s="88" t="str">
        <f aca="false">IF('Timeline Estacas'!L90="","",'Timeline Estacas'!L90)</f>
        <v/>
      </c>
      <c r="M90" s="88" t="str">
        <f aca="false">IF('Timeline Estacas'!M90="","",'Timeline Estacas'!M90)</f>
        <v/>
      </c>
      <c r="N90" s="89" t="str">
        <f aca="false">IF('Timeline Estacas'!N90="","",'Timeline Estacas'!N90)</f>
        <v/>
      </c>
      <c r="O90" s="90" t="str">
        <f aca="false">IF(ISNUMBER('Timeline Estacas'!O90),'Timeline Estacas'!O90,"")</f>
        <v/>
      </c>
      <c r="P90" s="91" t="n">
        <f aca="false">IF($Q90&gt;0,1,0)</f>
        <v>1</v>
      </c>
      <c r="Q90" s="91" t="n">
        <f aca="false">IF($F90="",0,1)+IF($H90="",0,1)</f>
        <v>1</v>
      </c>
      <c r="R90" s="91" t="n">
        <f aca="false">IF($N90="",0,1)</f>
        <v>0</v>
      </c>
      <c r="S90" s="91" t="n">
        <f aca="false">IF($F90="",0,1)</f>
        <v>1</v>
      </c>
      <c r="T90" s="91" t="n">
        <f aca="false">IF($H90="",0,1)</f>
        <v>0</v>
      </c>
      <c r="U90" s="91" t="n">
        <f aca="false">IF($J90="",0,1)</f>
        <v>1</v>
      </c>
      <c r="V90" s="91" t="n">
        <f aca="true">IF($J90="",0,IF($J90&lt;=TODAY(),1,0))</f>
        <v>0</v>
      </c>
      <c r="W90" s="92" t="n">
        <f aca="false">IF($O90="",0,$O90)</f>
        <v>0</v>
      </c>
      <c r="X90" s="91" t="str">
        <f aca="false">IF($R90=1,SUM($R$2:$R90),"")</f>
        <v/>
      </c>
      <c r="Y90" s="91" t="n">
        <f aca="false">IF($F90="",0,IF(COUNTIF($F$2:$F90,$F90)+COUNTIF($H$2:$H90,$F90)&gt;1,1,0))+IF($H90="",0,IF(COUNTIF($F$2:$F90,$H90)+COUNTIF($H$2:$H90,$H90)&gt;1,1,0))</f>
        <v>0</v>
      </c>
      <c r="Z90" s="91" t="n">
        <f aca="false">IF($Q90=0,0,IF(COUNTIFS($A$2:$A90,$A90,$Q$2:$Q90,"&gt;0")=1,1,0))</f>
        <v>0</v>
      </c>
      <c r="AA90" s="93" t="n">
        <f aca="false">IF($Q90&gt;0,$A90,"")</f>
        <v>46258</v>
      </c>
      <c r="AB90" s="91" t="n">
        <f aca="false">IF($K90="",0,1)</f>
        <v>0</v>
      </c>
      <c r="AC90" s="91" t="n">
        <f aca="false">IF($L90="",0,1)</f>
        <v>0</v>
      </c>
      <c r="AD90" s="91" t="n">
        <f aca="false">IF($M90="",0,1)</f>
        <v>0</v>
      </c>
      <c r="AE90" s="91" t="n">
        <f aca="false">IF($Q90&gt;0,$D90,"")</f>
        <v>43</v>
      </c>
      <c r="AF90" s="1"/>
      <c r="AG90" s="1"/>
      <c r="AH90" s="1"/>
      <c r="AI90" s="1"/>
      <c r="AJ90" s="1"/>
      <c r="AK90" s="1"/>
      <c r="AL90" s="1"/>
      <c r="AM90" s="1"/>
      <c r="AN90" s="1"/>
    </row>
    <row r="91" customFormat="false" ht="18" hidden="false" customHeight="true" outlineLevel="0" collapsed="false">
      <c r="A91" s="86" t="n">
        <f aca="false">IF(ISNUMBER('Timeline Estacas'!A91),'Timeline Estacas'!A91,"")</f>
        <v>46258</v>
      </c>
      <c r="B91" s="87" t="n">
        <f aca="false">IF($A91="","",$A91)</f>
        <v>46258</v>
      </c>
      <c r="C91" s="88" t="n">
        <f aca="false">IF(ISNUMBER('Timeline Estacas'!C91),'Timeline Estacas'!C91,"")</f>
        <v>297</v>
      </c>
      <c r="D91" s="88" t="n">
        <f aca="false">IF(ISNUMBER('Timeline Estacas'!D91),'Timeline Estacas'!D91,"")</f>
        <v>43</v>
      </c>
      <c r="E91" s="88" t="str">
        <f aca="false">IF($D91="","","S-"&amp;TEXT($D91,"00"))</f>
        <v>S-43</v>
      </c>
      <c r="F91" s="88" t="n">
        <f aca="false">IF(ISNUMBER('Timeline Estacas'!F91),'Timeline Estacas'!F91,"")</f>
        <v>36</v>
      </c>
      <c r="G91" s="88" t="str">
        <f aca="false">IF($F91="","",IF('Timeline Estacas'!G91&lt;&gt;"",'Timeline Estacas'!G91,'Timeline Estacas'!I91))</f>
        <v>B</v>
      </c>
      <c r="H91" s="88" t="str">
        <f aca="false">IF(ISNUMBER('Timeline Estacas'!H91),'Timeline Estacas'!H91,"")</f>
        <v/>
      </c>
      <c r="I91" s="88" t="str">
        <f aca="false">IF($H91="","",'Timeline Estacas'!I91)</f>
        <v/>
      </c>
      <c r="J91" s="86" t="n">
        <f aca="false">IF(ISNUMBER('Timeline Estacas'!J91),'Timeline Estacas'!J91,"")</f>
        <v>46272</v>
      </c>
      <c r="K91" s="88" t="str">
        <f aca="false">IF('Timeline Estacas'!K91="","",'Timeline Estacas'!K91)</f>
        <v/>
      </c>
      <c r="L91" s="88" t="str">
        <f aca="false">IF('Timeline Estacas'!L91="","",'Timeline Estacas'!L91)</f>
        <v/>
      </c>
      <c r="M91" s="88" t="str">
        <f aca="false">IF('Timeline Estacas'!M91="","",'Timeline Estacas'!M91)</f>
        <v/>
      </c>
      <c r="N91" s="89" t="str">
        <f aca="false">IF('Timeline Estacas'!N91="","",'Timeline Estacas'!N91)</f>
        <v/>
      </c>
      <c r="O91" s="90" t="str">
        <f aca="false">IF(ISNUMBER('Timeline Estacas'!O91),'Timeline Estacas'!O91,"")</f>
        <v/>
      </c>
      <c r="P91" s="91" t="n">
        <f aca="false">IF($Q91&gt;0,1,0)</f>
        <v>1</v>
      </c>
      <c r="Q91" s="91" t="n">
        <f aca="false">IF($F91="",0,1)+IF($H91="",0,1)</f>
        <v>1</v>
      </c>
      <c r="R91" s="91" t="n">
        <f aca="false">IF($N91="",0,1)</f>
        <v>0</v>
      </c>
      <c r="S91" s="91" t="n">
        <f aca="false">IF($F91="",0,1)</f>
        <v>1</v>
      </c>
      <c r="T91" s="91" t="n">
        <f aca="false">IF($H91="",0,1)</f>
        <v>0</v>
      </c>
      <c r="U91" s="91" t="n">
        <f aca="false">IF($J91="",0,1)</f>
        <v>1</v>
      </c>
      <c r="V91" s="91" t="n">
        <f aca="true">IF($J91="",0,IF($J91&lt;=TODAY(),1,0))</f>
        <v>0</v>
      </c>
      <c r="W91" s="92" t="n">
        <f aca="false">IF($O91="",0,$O91)</f>
        <v>0</v>
      </c>
      <c r="X91" s="91" t="str">
        <f aca="false">IF($R91=1,SUM($R$2:$R91),"")</f>
        <v/>
      </c>
      <c r="Y91" s="91" t="n">
        <f aca="false">IF($F91="",0,IF(COUNTIF($F$2:$F91,$F91)+COUNTIF($H$2:$H91,$F91)&gt;1,1,0))+IF($H91="",0,IF(COUNTIF($F$2:$F91,$H91)+COUNTIF($H$2:$H91,$H91)&gt;1,1,0))</f>
        <v>0</v>
      </c>
      <c r="Z91" s="91" t="n">
        <f aca="false">IF($Q91=0,0,IF(COUNTIFS($A$2:$A91,$A91,$Q$2:$Q91,"&gt;0")=1,1,0))</f>
        <v>0</v>
      </c>
      <c r="AA91" s="93" t="n">
        <f aca="false">IF($Q91&gt;0,$A91,"")</f>
        <v>46258</v>
      </c>
      <c r="AB91" s="91" t="n">
        <f aca="false">IF($K91="",0,1)</f>
        <v>0</v>
      </c>
      <c r="AC91" s="91" t="n">
        <f aca="false">IF($L91="",0,1)</f>
        <v>0</v>
      </c>
      <c r="AD91" s="91" t="n">
        <f aca="false">IF($M91="",0,1)</f>
        <v>0</v>
      </c>
      <c r="AE91" s="91" t="n">
        <f aca="false">IF($Q91&gt;0,$D91,"")</f>
        <v>43</v>
      </c>
      <c r="AF91" s="1"/>
      <c r="AG91" s="1"/>
      <c r="AH91" s="1"/>
      <c r="AI91" s="1"/>
      <c r="AJ91" s="1"/>
      <c r="AK91" s="1"/>
      <c r="AL91" s="1"/>
      <c r="AM91" s="1"/>
      <c r="AN91" s="1"/>
    </row>
    <row r="92" customFormat="false" ht="18" hidden="false" customHeight="true" outlineLevel="0" collapsed="false">
      <c r="A92" s="86" t="n">
        <f aca="false">IF(ISNUMBER('Timeline Estacas'!A92),'Timeline Estacas'!A92,"")</f>
        <v>46258</v>
      </c>
      <c r="B92" s="87" t="n">
        <f aca="false">IF($A92="","",$A92)</f>
        <v>46258</v>
      </c>
      <c r="C92" s="88" t="n">
        <f aca="false">IF(ISNUMBER('Timeline Estacas'!C92),'Timeline Estacas'!C92,"")</f>
        <v>297</v>
      </c>
      <c r="D92" s="88" t="n">
        <f aca="false">IF(ISNUMBER('Timeline Estacas'!D92),'Timeline Estacas'!D92,"")</f>
        <v>43</v>
      </c>
      <c r="E92" s="88" t="str">
        <f aca="false">IF($D92="","","S-"&amp;TEXT($D92,"00"))</f>
        <v>S-43</v>
      </c>
      <c r="F92" s="88" t="n">
        <f aca="false">IF(ISNUMBER('Timeline Estacas'!F92),'Timeline Estacas'!F92,"")</f>
        <v>105</v>
      </c>
      <c r="G92" s="88" t="str">
        <f aca="false">IF($F92="","",IF('Timeline Estacas'!G92&lt;&gt;"",'Timeline Estacas'!G92,'Timeline Estacas'!I92))</f>
        <v>A</v>
      </c>
      <c r="H92" s="88" t="str">
        <f aca="false">IF(ISNUMBER('Timeline Estacas'!H92),'Timeline Estacas'!H92,"")</f>
        <v/>
      </c>
      <c r="I92" s="88" t="str">
        <f aca="false">IF($H92="","",'Timeline Estacas'!I92)</f>
        <v/>
      </c>
      <c r="J92" s="86" t="n">
        <f aca="false">IF(ISNUMBER('Timeline Estacas'!J92),'Timeline Estacas'!J92,"")</f>
        <v>46272</v>
      </c>
      <c r="K92" s="88" t="str">
        <f aca="false">IF('Timeline Estacas'!K92="","",'Timeline Estacas'!K92)</f>
        <v/>
      </c>
      <c r="L92" s="88" t="str">
        <f aca="false">IF('Timeline Estacas'!L92="","",'Timeline Estacas'!L92)</f>
        <v/>
      </c>
      <c r="M92" s="88" t="str">
        <f aca="false">IF('Timeline Estacas'!M92="","",'Timeline Estacas'!M92)</f>
        <v/>
      </c>
      <c r="N92" s="89" t="str">
        <f aca="false">IF('Timeline Estacas'!N92="","",'Timeline Estacas'!N92)</f>
        <v/>
      </c>
      <c r="O92" s="90" t="str">
        <f aca="false">IF(ISNUMBER('Timeline Estacas'!O92),'Timeline Estacas'!O92,"")</f>
        <v/>
      </c>
      <c r="P92" s="91" t="n">
        <f aca="false">IF($Q92&gt;0,1,0)</f>
        <v>1</v>
      </c>
      <c r="Q92" s="91" t="n">
        <f aca="false">IF($F92="",0,1)+IF($H92="",0,1)</f>
        <v>1</v>
      </c>
      <c r="R92" s="91" t="n">
        <f aca="false">IF($N92="",0,1)</f>
        <v>0</v>
      </c>
      <c r="S92" s="91" t="n">
        <f aca="false">IF($F92="",0,1)</f>
        <v>1</v>
      </c>
      <c r="T92" s="91" t="n">
        <f aca="false">IF($H92="",0,1)</f>
        <v>0</v>
      </c>
      <c r="U92" s="91" t="n">
        <f aca="false">IF($J92="",0,1)</f>
        <v>1</v>
      </c>
      <c r="V92" s="91" t="n">
        <f aca="true">IF($J92="",0,IF($J92&lt;=TODAY(),1,0))</f>
        <v>0</v>
      </c>
      <c r="W92" s="92" t="n">
        <f aca="false">IF($O92="",0,$O92)</f>
        <v>0</v>
      </c>
      <c r="X92" s="91" t="str">
        <f aca="false">IF($R92=1,SUM($R$2:$R92),"")</f>
        <v/>
      </c>
      <c r="Y92" s="91" t="n">
        <f aca="false">IF($F92="",0,IF(COUNTIF($F$2:$F92,$F92)+COUNTIF($H$2:$H92,$F92)&gt;1,1,0))+IF($H92="",0,IF(COUNTIF($F$2:$F92,$H92)+COUNTIF($H$2:$H92,$H92)&gt;1,1,0))</f>
        <v>0</v>
      </c>
      <c r="Z92" s="91" t="n">
        <f aca="false">IF($Q92=0,0,IF(COUNTIFS($A$2:$A92,$A92,$Q$2:$Q92,"&gt;0")=1,1,0))</f>
        <v>0</v>
      </c>
      <c r="AA92" s="93" t="n">
        <f aca="false">IF($Q92&gt;0,$A92,"")</f>
        <v>46258</v>
      </c>
      <c r="AB92" s="91" t="n">
        <f aca="false">IF($K92="",0,1)</f>
        <v>0</v>
      </c>
      <c r="AC92" s="91" t="n">
        <f aca="false">IF($L92="",0,1)</f>
        <v>0</v>
      </c>
      <c r="AD92" s="91" t="n">
        <f aca="false">IF($M92="",0,1)</f>
        <v>0</v>
      </c>
      <c r="AE92" s="91" t="n">
        <f aca="false">IF($Q92&gt;0,$D92,"")</f>
        <v>43</v>
      </c>
      <c r="AF92" s="1"/>
      <c r="AG92" s="1"/>
      <c r="AH92" s="1"/>
      <c r="AI92" s="1"/>
      <c r="AJ92" s="1"/>
      <c r="AK92" s="1"/>
      <c r="AL92" s="1"/>
      <c r="AM92" s="1"/>
      <c r="AN92" s="1"/>
    </row>
    <row r="93" customFormat="false" ht="18" hidden="false" customHeight="true" outlineLevel="0" collapsed="false">
      <c r="A93" s="86" t="n">
        <f aca="false">IF(ISNUMBER('Timeline Estacas'!A93),'Timeline Estacas'!A93,"")</f>
        <v>46258</v>
      </c>
      <c r="B93" s="87" t="n">
        <f aca="false">IF($A93="","",$A93)</f>
        <v>46258</v>
      </c>
      <c r="C93" s="88" t="n">
        <f aca="false">IF(ISNUMBER('Timeline Estacas'!C93),'Timeline Estacas'!C93,"")</f>
        <v>297</v>
      </c>
      <c r="D93" s="88" t="n">
        <f aca="false">IF(ISNUMBER('Timeline Estacas'!D93),'Timeline Estacas'!D93,"")</f>
        <v>43</v>
      </c>
      <c r="E93" s="88" t="str">
        <f aca="false">IF($D93="","","S-"&amp;TEXT($D93,"00"))</f>
        <v>S-43</v>
      </c>
      <c r="F93" s="88" t="n">
        <f aca="false">IF(ISNUMBER('Timeline Estacas'!F93),'Timeline Estacas'!F93,"")</f>
        <v>106</v>
      </c>
      <c r="G93" s="88" t="str">
        <f aca="false">IF($F93="","",IF('Timeline Estacas'!G93&lt;&gt;"",'Timeline Estacas'!G93,'Timeline Estacas'!I93))</f>
        <v>A</v>
      </c>
      <c r="H93" s="88" t="str">
        <f aca="false">IF(ISNUMBER('Timeline Estacas'!H93),'Timeline Estacas'!H93,"")</f>
        <v/>
      </c>
      <c r="I93" s="88" t="str">
        <f aca="false">IF($H93="","",'Timeline Estacas'!I93)</f>
        <v/>
      </c>
      <c r="J93" s="86" t="n">
        <f aca="false">IF(ISNUMBER('Timeline Estacas'!J93),'Timeline Estacas'!J93,"")</f>
        <v>46272</v>
      </c>
      <c r="K93" s="88" t="str">
        <f aca="false">IF('Timeline Estacas'!K93="","",'Timeline Estacas'!K93)</f>
        <v/>
      </c>
      <c r="L93" s="88" t="str">
        <f aca="false">IF('Timeline Estacas'!L93="","",'Timeline Estacas'!L93)</f>
        <v/>
      </c>
      <c r="M93" s="88" t="str">
        <f aca="false">IF('Timeline Estacas'!M93="","",'Timeline Estacas'!M93)</f>
        <v/>
      </c>
      <c r="N93" s="89" t="str">
        <f aca="false">IF('Timeline Estacas'!N93="","",'Timeline Estacas'!N93)</f>
        <v/>
      </c>
      <c r="O93" s="90" t="str">
        <f aca="false">IF(ISNUMBER('Timeline Estacas'!O93),'Timeline Estacas'!O93,"")</f>
        <v/>
      </c>
      <c r="P93" s="91" t="n">
        <f aca="false">IF($Q93&gt;0,1,0)</f>
        <v>1</v>
      </c>
      <c r="Q93" s="91" t="n">
        <f aca="false">IF($F93="",0,1)+IF($H93="",0,1)</f>
        <v>1</v>
      </c>
      <c r="R93" s="91" t="n">
        <f aca="false">IF($N93="",0,1)</f>
        <v>0</v>
      </c>
      <c r="S93" s="91" t="n">
        <f aca="false">IF($F93="",0,1)</f>
        <v>1</v>
      </c>
      <c r="T93" s="91" t="n">
        <f aca="false">IF($H93="",0,1)</f>
        <v>0</v>
      </c>
      <c r="U93" s="91" t="n">
        <f aca="false">IF($J93="",0,1)</f>
        <v>1</v>
      </c>
      <c r="V93" s="91" t="n">
        <f aca="true">IF($J93="",0,IF($J93&lt;=TODAY(),1,0))</f>
        <v>0</v>
      </c>
      <c r="W93" s="92" t="n">
        <f aca="false">IF($O93="",0,$O93)</f>
        <v>0</v>
      </c>
      <c r="X93" s="91" t="str">
        <f aca="false">IF($R93=1,SUM($R$2:$R93),"")</f>
        <v/>
      </c>
      <c r="Y93" s="91" t="n">
        <f aca="false">IF($F93="",0,IF(COUNTIF($F$2:$F93,$F93)+COUNTIF($H$2:$H93,$F93)&gt;1,1,0))+IF($H93="",0,IF(COUNTIF($F$2:$F93,$H93)+COUNTIF($H$2:$H93,$H93)&gt;1,1,0))</f>
        <v>1</v>
      </c>
      <c r="Z93" s="91" t="n">
        <f aca="false">IF($Q93=0,0,IF(COUNTIFS($A$2:$A93,$A93,$Q$2:$Q93,"&gt;0")=1,1,0))</f>
        <v>0</v>
      </c>
      <c r="AA93" s="93" t="n">
        <f aca="false">IF($Q93&gt;0,$A93,"")</f>
        <v>46258</v>
      </c>
      <c r="AB93" s="91" t="n">
        <f aca="false">IF($K93="",0,1)</f>
        <v>0</v>
      </c>
      <c r="AC93" s="91" t="n">
        <f aca="false">IF($L93="",0,1)</f>
        <v>0</v>
      </c>
      <c r="AD93" s="91" t="n">
        <f aca="false">IF($M93="",0,1)</f>
        <v>0</v>
      </c>
      <c r="AE93" s="91" t="n">
        <f aca="false">IF($Q93&gt;0,$D93,"")</f>
        <v>43</v>
      </c>
      <c r="AF93" s="1"/>
      <c r="AG93" s="1"/>
      <c r="AH93" s="1"/>
      <c r="AI93" s="1"/>
      <c r="AJ93" s="1"/>
      <c r="AK93" s="1"/>
      <c r="AL93" s="1"/>
      <c r="AM93" s="1"/>
      <c r="AN93" s="1"/>
    </row>
    <row r="94" customFormat="false" ht="18" hidden="false" customHeight="true" outlineLevel="0" collapsed="false">
      <c r="A94" s="86" t="n">
        <f aca="false">IF(ISNUMBER('Timeline Estacas'!A94),'Timeline Estacas'!A94,"")</f>
        <v>46259</v>
      </c>
      <c r="B94" s="87" t="n">
        <f aca="false">IF($A94="","",$A94)</f>
        <v>46259</v>
      </c>
      <c r="C94" s="88" t="n">
        <f aca="false">IF(ISNUMBER('Timeline Estacas'!C94),'Timeline Estacas'!C94,"")</f>
        <v>298</v>
      </c>
      <c r="D94" s="88" t="n">
        <f aca="false">IF(ISNUMBER('Timeline Estacas'!D94),'Timeline Estacas'!D94,"")</f>
        <v>43</v>
      </c>
      <c r="E94" s="88" t="str">
        <f aca="false">IF($D94="","","S-"&amp;TEXT($D94,"00"))</f>
        <v>S-43</v>
      </c>
      <c r="F94" s="88" t="n">
        <f aca="false">IF(ISNUMBER('Timeline Estacas'!F94),'Timeline Estacas'!F94,"")</f>
        <v>137</v>
      </c>
      <c r="G94" s="88" t="str">
        <f aca="false">IF($F94="","",IF('Timeline Estacas'!G94&lt;&gt;"",'Timeline Estacas'!G94,'Timeline Estacas'!I94))</f>
        <v>A</v>
      </c>
      <c r="H94" s="88" t="n">
        <f aca="false">IF(ISNUMBER('Timeline Estacas'!H94),'Timeline Estacas'!H94,"")</f>
        <v>4</v>
      </c>
      <c r="I94" s="88" t="str">
        <f aca="false">IF($H94="","",'Timeline Estacas'!I94)</f>
        <v>B</v>
      </c>
      <c r="J94" s="86" t="n">
        <f aca="false">IF(ISNUMBER('Timeline Estacas'!J94),'Timeline Estacas'!J94,"")</f>
        <v>46273</v>
      </c>
      <c r="K94" s="88" t="str">
        <f aca="false">IF('Timeline Estacas'!K94="","",'Timeline Estacas'!K94)</f>
        <v/>
      </c>
      <c r="L94" s="88" t="str">
        <f aca="false">IF('Timeline Estacas'!L94="","",'Timeline Estacas'!L94)</f>
        <v/>
      </c>
      <c r="M94" s="88" t="str">
        <f aca="false">IF('Timeline Estacas'!M94="","",'Timeline Estacas'!M94)</f>
        <v/>
      </c>
      <c r="N94" s="89" t="str">
        <f aca="false">IF('Timeline Estacas'!N94="","",'Timeline Estacas'!N94)</f>
        <v/>
      </c>
      <c r="O94" s="90" t="str">
        <f aca="false">IF(ISNUMBER('Timeline Estacas'!O94),'Timeline Estacas'!O94,"")</f>
        <v/>
      </c>
      <c r="P94" s="91" t="n">
        <f aca="false">IF($Q94&gt;0,1,0)</f>
        <v>1</v>
      </c>
      <c r="Q94" s="91" t="n">
        <f aca="false">IF($F94="",0,1)+IF($H94="",0,1)</f>
        <v>2</v>
      </c>
      <c r="R94" s="91" t="n">
        <f aca="false">IF($N94="",0,1)</f>
        <v>0</v>
      </c>
      <c r="S94" s="91" t="n">
        <f aca="false">IF($F94="",0,1)</f>
        <v>1</v>
      </c>
      <c r="T94" s="91" t="n">
        <f aca="false">IF($H94="",0,1)</f>
        <v>1</v>
      </c>
      <c r="U94" s="91" t="n">
        <f aca="false">IF($J94="",0,1)</f>
        <v>1</v>
      </c>
      <c r="V94" s="91" t="n">
        <f aca="true">IF($J94="",0,IF($J94&lt;=TODAY(),1,0))</f>
        <v>0</v>
      </c>
      <c r="W94" s="92" t="n">
        <f aca="false">IF($O94="",0,$O94)</f>
        <v>0</v>
      </c>
      <c r="X94" s="91" t="str">
        <f aca="false">IF($R94=1,SUM($R$2:$R94),"")</f>
        <v/>
      </c>
      <c r="Y94" s="91" t="n">
        <f aca="false">IF($F94="",0,IF(COUNTIF($F$2:$F94,$F94)+COUNTIF($H$2:$H94,$F94)&gt;1,1,0))+IF($H94="",0,IF(COUNTIF($F$2:$F94,$H94)+COUNTIF($H$2:$H94,$H94)&gt;1,1,0))</f>
        <v>0</v>
      </c>
      <c r="Z94" s="91" t="n">
        <f aca="false">IF($Q94=0,0,IF(COUNTIFS($A$2:$A94,$A94,$Q$2:$Q94,"&gt;0")=1,1,0))</f>
        <v>1</v>
      </c>
      <c r="AA94" s="93" t="n">
        <f aca="false">IF($Q94&gt;0,$A94,"")</f>
        <v>46259</v>
      </c>
      <c r="AB94" s="91" t="n">
        <f aca="false">IF($K94="",0,1)</f>
        <v>0</v>
      </c>
      <c r="AC94" s="91" t="n">
        <f aca="false">IF($L94="",0,1)</f>
        <v>0</v>
      </c>
      <c r="AD94" s="91" t="n">
        <f aca="false">IF($M94="",0,1)</f>
        <v>0</v>
      </c>
      <c r="AE94" s="91" t="n">
        <f aca="false">IF($Q94&gt;0,$D94,"")</f>
        <v>43</v>
      </c>
      <c r="AF94" s="1"/>
      <c r="AG94" s="1"/>
      <c r="AH94" s="1"/>
      <c r="AI94" s="1"/>
      <c r="AJ94" s="1"/>
      <c r="AK94" s="1"/>
      <c r="AL94" s="1"/>
      <c r="AM94" s="1"/>
      <c r="AN94" s="1"/>
    </row>
    <row r="95" customFormat="false" ht="18" hidden="false" customHeight="true" outlineLevel="0" collapsed="false">
      <c r="A95" s="86" t="n">
        <f aca="false">IF(ISNUMBER('Timeline Estacas'!A95),'Timeline Estacas'!A95,"")</f>
        <v>46259</v>
      </c>
      <c r="B95" s="87" t="n">
        <f aca="false">IF($A95="","",$A95)</f>
        <v>46259</v>
      </c>
      <c r="C95" s="88" t="str">
        <f aca="false">IF(ISNUMBER('Timeline Estacas'!C95),'Timeline Estacas'!C95,"")</f>
        <v/>
      </c>
      <c r="D95" s="88" t="n">
        <f aca="false">IF(ISNUMBER('Timeline Estacas'!D95),'Timeline Estacas'!D95,"")</f>
        <v>43</v>
      </c>
      <c r="E95" s="88" t="str">
        <f aca="false">IF($D95="","","S-"&amp;TEXT($D95,"00"))</f>
        <v>S-43</v>
      </c>
      <c r="F95" s="88" t="n">
        <f aca="false">IF(ISNUMBER('Timeline Estacas'!F95),'Timeline Estacas'!F95,"")</f>
        <v>141</v>
      </c>
      <c r="G95" s="88" t="str">
        <f aca="false">IF($F95="","",IF('Timeline Estacas'!G95&lt;&gt;"",'Timeline Estacas'!G95,'Timeline Estacas'!I95))</f>
        <v>A</v>
      </c>
      <c r="H95" s="88" t="n">
        <f aca="false">IF(ISNUMBER('Timeline Estacas'!H95),'Timeline Estacas'!H95,"")</f>
        <v>8</v>
      </c>
      <c r="I95" s="88" t="str">
        <f aca="false">IF($H95="","",'Timeline Estacas'!I95)</f>
        <v>B</v>
      </c>
      <c r="J95" s="86" t="n">
        <f aca="false">IF(ISNUMBER('Timeline Estacas'!J95),'Timeline Estacas'!J95,"")</f>
        <v>46273</v>
      </c>
      <c r="K95" s="88" t="str">
        <f aca="false">IF('Timeline Estacas'!K95="","",'Timeline Estacas'!K95)</f>
        <v/>
      </c>
      <c r="L95" s="88" t="str">
        <f aca="false">IF('Timeline Estacas'!L95="","",'Timeline Estacas'!L95)</f>
        <v/>
      </c>
      <c r="M95" s="88" t="str">
        <f aca="false">IF('Timeline Estacas'!M95="","",'Timeline Estacas'!M95)</f>
        <v/>
      </c>
      <c r="N95" s="89" t="str">
        <f aca="false">IF('Timeline Estacas'!N95="","",'Timeline Estacas'!N95)</f>
        <v/>
      </c>
      <c r="O95" s="90" t="str">
        <f aca="false">IF(ISNUMBER('Timeline Estacas'!O95),'Timeline Estacas'!O95,"")</f>
        <v/>
      </c>
      <c r="P95" s="91" t="n">
        <f aca="false">IF($Q95&gt;0,1,0)</f>
        <v>1</v>
      </c>
      <c r="Q95" s="91" t="n">
        <f aca="false">IF($F95="",0,1)+IF($H95="",0,1)</f>
        <v>2</v>
      </c>
      <c r="R95" s="91" t="n">
        <f aca="false">IF($N95="",0,1)</f>
        <v>0</v>
      </c>
      <c r="S95" s="91" t="n">
        <f aca="false">IF($F95="",0,1)</f>
        <v>1</v>
      </c>
      <c r="T95" s="91" t="n">
        <f aca="false">IF($H95="",0,1)</f>
        <v>1</v>
      </c>
      <c r="U95" s="91" t="n">
        <f aca="false">IF($J95="",0,1)</f>
        <v>1</v>
      </c>
      <c r="V95" s="91" t="n">
        <f aca="true">IF($J95="",0,IF($J95&lt;=TODAY(),1,0))</f>
        <v>0</v>
      </c>
      <c r="W95" s="92" t="n">
        <f aca="false">IF($O95="",0,$O95)</f>
        <v>0</v>
      </c>
      <c r="X95" s="91" t="str">
        <f aca="false">IF($R95=1,SUM($R$2:$R95),"")</f>
        <v/>
      </c>
      <c r="Y95" s="91" t="n">
        <f aca="false">IF($F95="",0,IF(COUNTIF($F$2:$F95,$F95)+COUNTIF($H$2:$H95,$F95)&gt;1,1,0))+IF($H95="",0,IF(COUNTIF($F$2:$F95,$H95)+COUNTIF($H$2:$H95,$H95)&gt;1,1,0))</f>
        <v>0</v>
      </c>
      <c r="Z95" s="91" t="n">
        <f aca="false">IF($Q95=0,0,IF(COUNTIFS($A$2:$A95,$A95,$Q$2:$Q95,"&gt;0")=1,1,0))</f>
        <v>0</v>
      </c>
      <c r="AA95" s="93" t="n">
        <f aca="false">IF($Q95&gt;0,$A95,"")</f>
        <v>46259</v>
      </c>
      <c r="AB95" s="91" t="n">
        <f aca="false">IF($K95="",0,1)</f>
        <v>0</v>
      </c>
      <c r="AC95" s="91" t="n">
        <f aca="false">IF($L95="",0,1)</f>
        <v>0</v>
      </c>
      <c r="AD95" s="91" t="n">
        <f aca="false">IF($M95="",0,1)</f>
        <v>0</v>
      </c>
      <c r="AE95" s="91" t="n">
        <f aca="false">IF($Q95&gt;0,$D95,"")</f>
        <v>43</v>
      </c>
      <c r="AF95" s="1"/>
      <c r="AG95" s="1"/>
      <c r="AH95" s="1"/>
      <c r="AI95" s="1"/>
      <c r="AJ95" s="1"/>
      <c r="AK95" s="1"/>
      <c r="AL95" s="1"/>
      <c r="AM95" s="1"/>
      <c r="AN95" s="1"/>
    </row>
    <row r="96" customFormat="false" ht="18" hidden="false" customHeight="true" outlineLevel="0" collapsed="false">
      <c r="A96" s="86" t="n">
        <f aca="false">IF(ISNUMBER('Timeline Estacas'!A96),'Timeline Estacas'!A96,"")</f>
        <v>46259</v>
      </c>
      <c r="B96" s="87" t="n">
        <f aca="false">IF($A96="","",$A96)</f>
        <v>46259</v>
      </c>
      <c r="C96" s="88" t="str">
        <f aca="false">IF(ISNUMBER('Timeline Estacas'!C96),'Timeline Estacas'!C96,"")</f>
        <v/>
      </c>
      <c r="D96" s="88" t="n">
        <f aca="false">IF(ISNUMBER('Timeline Estacas'!D96),'Timeline Estacas'!D96,"")</f>
        <v>43</v>
      </c>
      <c r="E96" s="88" t="str">
        <f aca="false">IF($D96="","","S-"&amp;TEXT($D96,"00"))</f>
        <v>S-43</v>
      </c>
      <c r="F96" s="88" t="n">
        <f aca="false">IF(ISNUMBER('Timeline Estacas'!F96),'Timeline Estacas'!F96,"")</f>
        <v>145</v>
      </c>
      <c r="G96" s="88" t="str">
        <f aca="false">IF($F96="","",IF('Timeline Estacas'!G96&lt;&gt;"",'Timeline Estacas'!G96,'Timeline Estacas'!I96))</f>
        <v>A</v>
      </c>
      <c r="H96" s="88" t="n">
        <f aca="false">IF(ISNUMBER('Timeline Estacas'!H96),'Timeline Estacas'!H96,"")</f>
        <v>12</v>
      </c>
      <c r="I96" s="88" t="str">
        <f aca="false">IF($H96="","",'Timeline Estacas'!I96)</f>
        <v>B</v>
      </c>
      <c r="J96" s="86" t="n">
        <f aca="false">IF(ISNUMBER('Timeline Estacas'!J96),'Timeline Estacas'!J96,"")</f>
        <v>46273</v>
      </c>
      <c r="K96" s="88" t="str">
        <f aca="false">IF('Timeline Estacas'!K96="","",'Timeline Estacas'!K96)</f>
        <v/>
      </c>
      <c r="L96" s="88" t="str">
        <f aca="false">IF('Timeline Estacas'!L96="","",'Timeline Estacas'!L96)</f>
        <v/>
      </c>
      <c r="M96" s="88" t="str">
        <f aca="false">IF('Timeline Estacas'!M96="","",'Timeline Estacas'!M96)</f>
        <v/>
      </c>
      <c r="N96" s="89" t="str">
        <f aca="false">IF('Timeline Estacas'!N96="","",'Timeline Estacas'!N96)</f>
        <v/>
      </c>
      <c r="O96" s="90" t="str">
        <f aca="false">IF(ISNUMBER('Timeline Estacas'!O96),'Timeline Estacas'!O96,"")</f>
        <v/>
      </c>
      <c r="P96" s="91" t="n">
        <f aca="false">IF($Q96&gt;0,1,0)</f>
        <v>1</v>
      </c>
      <c r="Q96" s="91" t="n">
        <f aca="false">IF($F96="",0,1)+IF($H96="",0,1)</f>
        <v>2</v>
      </c>
      <c r="R96" s="91" t="n">
        <f aca="false">IF($N96="",0,1)</f>
        <v>0</v>
      </c>
      <c r="S96" s="91" t="n">
        <f aca="false">IF($F96="",0,1)</f>
        <v>1</v>
      </c>
      <c r="T96" s="91" t="n">
        <f aca="false">IF($H96="",0,1)</f>
        <v>1</v>
      </c>
      <c r="U96" s="91" t="n">
        <f aca="false">IF($J96="",0,1)</f>
        <v>1</v>
      </c>
      <c r="V96" s="91" t="n">
        <f aca="true">IF($J96="",0,IF($J96&lt;=TODAY(),1,0))</f>
        <v>0</v>
      </c>
      <c r="W96" s="92" t="n">
        <f aca="false">IF($O96="",0,$O96)</f>
        <v>0</v>
      </c>
      <c r="X96" s="91" t="str">
        <f aca="false">IF($R96=1,SUM($R$2:$R96),"")</f>
        <v/>
      </c>
      <c r="Y96" s="91" t="n">
        <f aca="false">IF($F96="",0,IF(COUNTIF($F$2:$F96,$F96)+COUNTIF($H$2:$H96,$F96)&gt;1,1,0))+IF($H96="",0,IF(COUNTIF($F$2:$F96,$H96)+COUNTIF($H$2:$H96,$H96)&gt;1,1,0))</f>
        <v>0</v>
      </c>
      <c r="Z96" s="91" t="n">
        <f aca="false">IF($Q96=0,0,IF(COUNTIFS($A$2:$A96,$A96,$Q$2:$Q96,"&gt;0")=1,1,0))</f>
        <v>0</v>
      </c>
      <c r="AA96" s="93" t="n">
        <f aca="false">IF($Q96&gt;0,$A96,"")</f>
        <v>46259</v>
      </c>
      <c r="AB96" s="91" t="n">
        <f aca="false">IF($K96="",0,1)</f>
        <v>0</v>
      </c>
      <c r="AC96" s="91" t="n">
        <f aca="false">IF($L96="",0,1)</f>
        <v>0</v>
      </c>
      <c r="AD96" s="91" t="n">
        <f aca="false">IF($M96="",0,1)</f>
        <v>0</v>
      </c>
      <c r="AE96" s="91" t="n">
        <f aca="false">IF($Q96&gt;0,$D96,"")</f>
        <v>43</v>
      </c>
      <c r="AF96" s="1"/>
      <c r="AG96" s="1"/>
      <c r="AH96" s="1"/>
      <c r="AI96" s="1"/>
      <c r="AJ96" s="1"/>
      <c r="AK96" s="1"/>
      <c r="AL96" s="1"/>
      <c r="AM96" s="1"/>
      <c r="AN96" s="1"/>
    </row>
    <row r="97" customFormat="false" ht="18" hidden="false" customHeight="true" outlineLevel="0" collapsed="false">
      <c r="A97" s="86" t="n">
        <f aca="false">IF(ISNUMBER('Timeline Estacas'!A97),'Timeline Estacas'!A97,"")</f>
        <v>46259</v>
      </c>
      <c r="B97" s="87" t="n">
        <f aca="false">IF($A97="","",$A97)</f>
        <v>46259</v>
      </c>
      <c r="C97" s="88" t="str">
        <f aca="false">IF(ISNUMBER('Timeline Estacas'!C97),'Timeline Estacas'!C97,"")</f>
        <v/>
      </c>
      <c r="D97" s="88" t="n">
        <f aca="false">IF(ISNUMBER('Timeline Estacas'!D97),'Timeline Estacas'!D97,"")</f>
        <v>43</v>
      </c>
      <c r="E97" s="88" t="str">
        <f aca="false">IF($D97="","","S-"&amp;TEXT($D97,"00"))</f>
        <v>S-43</v>
      </c>
      <c r="F97" s="88" t="n">
        <f aca="false">IF(ISNUMBER('Timeline Estacas'!F97),'Timeline Estacas'!F97,"")</f>
        <v>161</v>
      </c>
      <c r="G97" s="88" t="str">
        <f aca="false">IF($F97="","",IF('Timeline Estacas'!G97&lt;&gt;"",'Timeline Estacas'!G97,'Timeline Estacas'!I97))</f>
        <v>A</v>
      </c>
      <c r="H97" s="88" t="str">
        <f aca="false">IF(ISNUMBER('Timeline Estacas'!H97),'Timeline Estacas'!H97,"")</f>
        <v/>
      </c>
      <c r="I97" s="88" t="str">
        <f aca="false">IF($H97="","",'Timeline Estacas'!I97)</f>
        <v/>
      </c>
      <c r="J97" s="86" t="str">
        <f aca="false">IF(ISNUMBER('Timeline Estacas'!J97),'Timeline Estacas'!J97,"")</f>
        <v/>
      </c>
      <c r="K97" s="88" t="str">
        <f aca="false">IF('Timeline Estacas'!K97="","",'Timeline Estacas'!K97)</f>
        <v/>
      </c>
      <c r="L97" s="88" t="str">
        <f aca="false">IF('Timeline Estacas'!L97="","",'Timeline Estacas'!L97)</f>
        <v/>
      </c>
      <c r="M97" s="88" t="str">
        <f aca="false">IF('Timeline Estacas'!M97="","",'Timeline Estacas'!M97)</f>
        <v/>
      </c>
      <c r="N97" s="89" t="str">
        <f aca="false">IF('Timeline Estacas'!N97="","",'Timeline Estacas'!N97)</f>
        <v/>
      </c>
      <c r="O97" s="90" t="str">
        <f aca="false">IF(ISNUMBER('Timeline Estacas'!O97),'Timeline Estacas'!O97,"")</f>
        <v/>
      </c>
      <c r="P97" s="91" t="n">
        <f aca="false">IF($Q97&gt;0,1,0)</f>
        <v>1</v>
      </c>
      <c r="Q97" s="91" t="n">
        <f aca="false">IF($F97="",0,1)+IF($H97="",0,1)</f>
        <v>1</v>
      </c>
      <c r="R97" s="91" t="n">
        <f aca="false">IF($N97="",0,1)</f>
        <v>0</v>
      </c>
      <c r="S97" s="91" t="n">
        <f aca="false">IF($F97="",0,1)</f>
        <v>1</v>
      </c>
      <c r="T97" s="91" t="n">
        <f aca="false">IF($H97="",0,1)</f>
        <v>0</v>
      </c>
      <c r="U97" s="91" t="n">
        <f aca="false">IF($J97="",0,1)</f>
        <v>0</v>
      </c>
      <c r="V97" s="91" t="n">
        <f aca="true">IF($J97="",0,IF($J97&lt;=TODAY(),1,0))</f>
        <v>0</v>
      </c>
      <c r="W97" s="92" t="n">
        <f aca="false">IF($O97="",0,$O97)</f>
        <v>0</v>
      </c>
      <c r="X97" s="91" t="str">
        <f aca="false">IF($R97=1,SUM($R$2:$R97),"")</f>
        <v/>
      </c>
      <c r="Y97" s="91" t="n">
        <f aca="false">IF($F97="",0,IF(COUNTIF($F$2:$F97,$F97)+COUNTIF($H$2:$H97,$F97)&gt;1,1,0))+IF($H97="",0,IF(COUNTIF($F$2:$F97,$H97)+COUNTIF($H$2:$H97,$H97)&gt;1,1,0))</f>
        <v>0</v>
      </c>
      <c r="Z97" s="91" t="n">
        <f aca="false">IF($Q97=0,0,IF(COUNTIFS($A$2:$A97,$A97,$Q$2:$Q97,"&gt;0")=1,1,0))</f>
        <v>0</v>
      </c>
      <c r="AA97" s="93" t="n">
        <f aca="false">IF($Q97&gt;0,$A97,"")</f>
        <v>46259</v>
      </c>
      <c r="AB97" s="91" t="n">
        <f aca="false">IF($K97="",0,1)</f>
        <v>0</v>
      </c>
      <c r="AC97" s="91" t="n">
        <f aca="false">IF($L97="",0,1)</f>
        <v>0</v>
      </c>
      <c r="AD97" s="91" t="n">
        <f aca="false">IF($M97="",0,1)</f>
        <v>0</v>
      </c>
      <c r="AE97" s="91" t="n">
        <f aca="false">IF($Q97&gt;0,$D97,"")</f>
        <v>43</v>
      </c>
      <c r="AF97" s="1"/>
      <c r="AG97" s="1"/>
      <c r="AH97" s="1"/>
      <c r="AI97" s="1"/>
      <c r="AJ97" s="1"/>
      <c r="AK97" s="1"/>
      <c r="AL97" s="1"/>
      <c r="AM97" s="1"/>
      <c r="AN97" s="1"/>
    </row>
    <row r="98" customFormat="false" ht="18" hidden="false" customHeight="true" outlineLevel="0" collapsed="false">
      <c r="A98" s="86" t="n">
        <f aca="false">IF(ISNUMBER('Timeline Estacas'!A98),'Timeline Estacas'!A98,"")</f>
        <v>46259</v>
      </c>
      <c r="B98" s="87" t="n">
        <f aca="false">IF($A98="","",$A98)</f>
        <v>46259</v>
      </c>
      <c r="C98" s="88" t="str">
        <f aca="false">IF(ISNUMBER('Timeline Estacas'!C98),'Timeline Estacas'!C98,"")</f>
        <v/>
      </c>
      <c r="D98" s="88" t="n">
        <f aca="false">IF(ISNUMBER('Timeline Estacas'!D98),'Timeline Estacas'!D98,"")</f>
        <v>43</v>
      </c>
      <c r="E98" s="88" t="str">
        <f aca="false">IF($D98="","","S-"&amp;TEXT($D98,"00"))</f>
        <v>S-43</v>
      </c>
      <c r="F98" s="88" t="n">
        <f aca="false">IF(ISNUMBER('Timeline Estacas'!F98),'Timeline Estacas'!F98,"")</f>
        <v>163</v>
      </c>
      <c r="G98" s="88" t="str">
        <f aca="false">IF($F98="","",IF('Timeline Estacas'!G98&lt;&gt;"",'Timeline Estacas'!G98,'Timeline Estacas'!I98))</f>
        <v>A</v>
      </c>
      <c r="H98" s="88" t="str">
        <f aca="false">IF(ISNUMBER('Timeline Estacas'!H98),'Timeline Estacas'!H98,"")</f>
        <v/>
      </c>
      <c r="I98" s="88" t="str">
        <f aca="false">IF($H98="","",'Timeline Estacas'!I98)</f>
        <v/>
      </c>
      <c r="J98" s="86" t="str">
        <f aca="false">IF(ISNUMBER('Timeline Estacas'!J98),'Timeline Estacas'!J98,"")</f>
        <v/>
      </c>
      <c r="K98" s="88" t="str">
        <f aca="false">IF('Timeline Estacas'!K98="","",'Timeline Estacas'!K98)</f>
        <v/>
      </c>
      <c r="L98" s="88" t="str">
        <f aca="false">IF('Timeline Estacas'!L98="","",'Timeline Estacas'!L98)</f>
        <v/>
      </c>
      <c r="M98" s="88" t="str">
        <f aca="false">IF('Timeline Estacas'!M98="","",'Timeline Estacas'!M98)</f>
        <v/>
      </c>
      <c r="N98" s="89" t="str">
        <f aca="false">IF('Timeline Estacas'!N98="","",'Timeline Estacas'!N98)</f>
        <v/>
      </c>
      <c r="O98" s="90" t="str">
        <f aca="false">IF(ISNUMBER('Timeline Estacas'!O98),'Timeline Estacas'!O98,"")</f>
        <v/>
      </c>
      <c r="P98" s="91" t="n">
        <f aca="false">IF($Q98&gt;0,1,0)</f>
        <v>1</v>
      </c>
      <c r="Q98" s="91" t="n">
        <f aca="false">IF($F98="",0,1)+IF($H98="",0,1)</f>
        <v>1</v>
      </c>
      <c r="R98" s="91" t="n">
        <f aca="false">IF($N98="",0,1)</f>
        <v>0</v>
      </c>
      <c r="S98" s="91" t="n">
        <f aca="false">IF($F98="",0,1)</f>
        <v>1</v>
      </c>
      <c r="T98" s="91" t="n">
        <f aca="false">IF($H98="",0,1)</f>
        <v>0</v>
      </c>
      <c r="U98" s="91" t="n">
        <f aca="false">IF($J98="",0,1)</f>
        <v>0</v>
      </c>
      <c r="V98" s="91" t="n">
        <f aca="true">IF($J98="",0,IF($J98&lt;=TODAY(),1,0))</f>
        <v>0</v>
      </c>
      <c r="W98" s="92" t="n">
        <f aca="false">IF($O98="",0,$O98)</f>
        <v>0</v>
      </c>
      <c r="X98" s="91" t="str">
        <f aca="false">IF($R98=1,SUM($R$2:$R98),"")</f>
        <v/>
      </c>
      <c r="Y98" s="91" t="n">
        <f aca="false">IF($F98="",0,IF(COUNTIF($F$2:$F98,$F98)+COUNTIF($H$2:$H98,$F98)&gt;1,1,0))+IF($H98="",0,IF(COUNTIF($F$2:$F98,$H98)+COUNTIF($H$2:$H98,$H98)&gt;1,1,0))</f>
        <v>0</v>
      </c>
      <c r="Z98" s="91" t="n">
        <f aca="false">IF($Q98=0,0,IF(COUNTIFS($A$2:$A98,$A98,$Q$2:$Q98,"&gt;0")=1,1,0))</f>
        <v>0</v>
      </c>
      <c r="AA98" s="93" t="n">
        <f aca="false">IF($Q98&gt;0,$A98,"")</f>
        <v>46259</v>
      </c>
      <c r="AB98" s="91" t="n">
        <f aca="false">IF($K98="",0,1)</f>
        <v>0</v>
      </c>
      <c r="AC98" s="91" t="n">
        <f aca="false">IF($L98="",0,1)</f>
        <v>0</v>
      </c>
      <c r="AD98" s="91" t="n">
        <f aca="false">IF($M98="",0,1)</f>
        <v>0</v>
      </c>
      <c r="AE98" s="91" t="n">
        <f aca="false">IF($Q98&gt;0,$D98,"")</f>
        <v>43</v>
      </c>
      <c r="AF98" s="1"/>
      <c r="AG98" s="1"/>
      <c r="AH98" s="1"/>
      <c r="AI98" s="1"/>
      <c r="AJ98" s="1"/>
      <c r="AK98" s="1"/>
      <c r="AL98" s="1"/>
      <c r="AM98" s="1"/>
      <c r="AN98" s="1"/>
    </row>
    <row r="99" customFormat="false" ht="18" hidden="false" customHeight="true" outlineLevel="0" collapsed="false">
      <c r="A99" s="86" t="n">
        <f aca="false">IF(ISNUMBER('Timeline Estacas'!A99),'Timeline Estacas'!A99,"")</f>
        <v>46259</v>
      </c>
      <c r="B99" s="87" t="n">
        <f aca="false">IF($A99="","",$A99)</f>
        <v>46259</v>
      </c>
      <c r="C99" s="88" t="str">
        <f aca="false">IF(ISNUMBER('Timeline Estacas'!C99),'Timeline Estacas'!C99,"")</f>
        <v/>
      </c>
      <c r="D99" s="88" t="n">
        <f aca="false">IF(ISNUMBER('Timeline Estacas'!D99),'Timeline Estacas'!D99,"")</f>
        <v>43</v>
      </c>
      <c r="E99" s="88" t="str">
        <f aca="false">IF($D99="","","S-"&amp;TEXT($D99,"00"))</f>
        <v>S-43</v>
      </c>
      <c r="F99" s="88" t="n">
        <f aca="false">IF(ISNUMBER('Timeline Estacas'!F99),'Timeline Estacas'!F99,"")</f>
        <v>165</v>
      </c>
      <c r="G99" s="88" t="str">
        <f aca="false">IF($F99="","",IF('Timeline Estacas'!G99&lt;&gt;"",'Timeline Estacas'!G99,'Timeline Estacas'!I99))</f>
        <v>A</v>
      </c>
      <c r="H99" s="88" t="str">
        <f aca="false">IF(ISNUMBER('Timeline Estacas'!H99),'Timeline Estacas'!H99,"")</f>
        <v/>
      </c>
      <c r="I99" s="88" t="str">
        <f aca="false">IF($H99="","",'Timeline Estacas'!I99)</f>
        <v/>
      </c>
      <c r="J99" s="86" t="str">
        <f aca="false">IF(ISNUMBER('Timeline Estacas'!J99),'Timeline Estacas'!J99,"")</f>
        <v/>
      </c>
      <c r="K99" s="88" t="str">
        <f aca="false">IF('Timeline Estacas'!K99="","",'Timeline Estacas'!K99)</f>
        <v/>
      </c>
      <c r="L99" s="88" t="str">
        <f aca="false">IF('Timeline Estacas'!L99="","",'Timeline Estacas'!L99)</f>
        <v/>
      </c>
      <c r="M99" s="88" t="str">
        <f aca="false">IF('Timeline Estacas'!M99="","",'Timeline Estacas'!M99)</f>
        <v/>
      </c>
      <c r="N99" s="89" t="str">
        <f aca="false">IF('Timeline Estacas'!N99="","",'Timeline Estacas'!N99)</f>
        <v/>
      </c>
      <c r="O99" s="90" t="str">
        <f aca="false">IF(ISNUMBER('Timeline Estacas'!O99),'Timeline Estacas'!O99,"")</f>
        <v/>
      </c>
      <c r="P99" s="91" t="n">
        <f aca="false">IF($Q99&gt;0,1,0)</f>
        <v>1</v>
      </c>
      <c r="Q99" s="91" t="n">
        <f aca="false">IF($F99="",0,1)+IF($H99="",0,1)</f>
        <v>1</v>
      </c>
      <c r="R99" s="91" t="n">
        <f aca="false">IF($N99="",0,1)</f>
        <v>0</v>
      </c>
      <c r="S99" s="91" t="n">
        <f aca="false">IF($F99="",0,1)</f>
        <v>1</v>
      </c>
      <c r="T99" s="91" t="n">
        <f aca="false">IF($H99="",0,1)</f>
        <v>0</v>
      </c>
      <c r="U99" s="91" t="n">
        <f aca="false">IF($J99="",0,1)</f>
        <v>0</v>
      </c>
      <c r="V99" s="91" t="n">
        <f aca="true">IF($J99="",0,IF($J99&lt;=TODAY(),1,0))</f>
        <v>0</v>
      </c>
      <c r="W99" s="92" t="n">
        <f aca="false">IF($O99="",0,$O99)</f>
        <v>0</v>
      </c>
      <c r="X99" s="91" t="str">
        <f aca="false">IF($R99=1,SUM($R$2:$R99),"")</f>
        <v/>
      </c>
      <c r="Y99" s="91" t="n">
        <f aca="false">IF($F99="",0,IF(COUNTIF($F$2:$F99,$F99)+COUNTIF($H$2:$H99,$F99)&gt;1,1,0))+IF($H99="",0,IF(COUNTIF($F$2:$F99,$H99)+COUNTIF($H$2:$H99,$H99)&gt;1,1,0))</f>
        <v>0</v>
      </c>
      <c r="Z99" s="91" t="n">
        <f aca="false">IF($Q99=0,0,IF(COUNTIFS($A$2:$A99,$A99,$Q$2:$Q99,"&gt;0")=1,1,0))</f>
        <v>0</v>
      </c>
      <c r="AA99" s="93" t="n">
        <f aca="false">IF($Q99&gt;0,$A99,"")</f>
        <v>46259</v>
      </c>
      <c r="AB99" s="91" t="n">
        <f aca="false">IF($K99="",0,1)</f>
        <v>0</v>
      </c>
      <c r="AC99" s="91" t="n">
        <f aca="false">IF($L99="",0,1)</f>
        <v>0</v>
      </c>
      <c r="AD99" s="91" t="n">
        <f aca="false">IF($M99="",0,1)</f>
        <v>0</v>
      </c>
      <c r="AE99" s="91" t="n">
        <f aca="false">IF($Q99&gt;0,$D99,"")</f>
        <v>43</v>
      </c>
      <c r="AF99" s="1"/>
      <c r="AG99" s="1"/>
      <c r="AH99" s="1"/>
      <c r="AI99" s="1"/>
      <c r="AJ99" s="1"/>
      <c r="AK99" s="1"/>
      <c r="AL99" s="1"/>
      <c r="AM99" s="1"/>
      <c r="AN99" s="1"/>
    </row>
    <row r="100" customFormat="false" ht="18" hidden="false" customHeight="true" outlineLevel="0" collapsed="false">
      <c r="A100" s="86" t="n">
        <f aca="false">IF(ISNUMBER('Timeline Estacas'!A100),'Timeline Estacas'!A100,"")</f>
        <v>46259</v>
      </c>
      <c r="B100" s="87" t="n">
        <f aca="false">IF($A100="","",$A100)</f>
        <v>46259</v>
      </c>
      <c r="C100" s="88" t="str">
        <f aca="false">IF(ISNUMBER('Timeline Estacas'!C100),'Timeline Estacas'!C100,"")</f>
        <v/>
      </c>
      <c r="D100" s="88" t="n">
        <f aca="false">IF(ISNUMBER('Timeline Estacas'!D100),'Timeline Estacas'!D100,"")</f>
        <v>43</v>
      </c>
      <c r="E100" s="88" t="str">
        <f aca="false">IF($D100="","","S-"&amp;TEXT($D100,"00"))</f>
        <v>S-43</v>
      </c>
      <c r="F100" s="88" t="n">
        <f aca="false">IF(ISNUMBER('Timeline Estacas'!F100),'Timeline Estacas'!F100,"")</f>
        <v>151</v>
      </c>
      <c r="G100" s="88" t="str">
        <f aca="false">IF($F100="","",IF('Timeline Estacas'!G100&lt;&gt;"",'Timeline Estacas'!G100,'Timeline Estacas'!I100))</f>
        <v>A</v>
      </c>
      <c r="H100" s="88" t="n">
        <f aca="false">IF(ISNUMBER('Timeline Estacas'!H100),'Timeline Estacas'!H100,"")</f>
        <v>48</v>
      </c>
      <c r="I100" s="88" t="str">
        <f aca="false">IF($H100="","",'Timeline Estacas'!I100)</f>
        <v>B</v>
      </c>
      <c r="J100" s="86" t="n">
        <f aca="false">IF(ISNUMBER('Timeline Estacas'!J100),'Timeline Estacas'!J100,"")</f>
        <v>46273</v>
      </c>
      <c r="K100" s="88" t="str">
        <f aca="false">IF('Timeline Estacas'!K100="","",'Timeline Estacas'!K100)</f>
        <v/>
      </c>
      <c r="L100" s="88" t="str">
        <f aca="false">IF('Timeline Estacas'!L100="","",'Timeline Estacas'!L100)</f>
        <v/>
      </c>
      <c r="M100" s="88" t="str">
        <f aca="false">IF('Timeline Estacas'!M100="","",'Timeline Estacas'!M100)</f>
        <v/>
      </c>
      <c r="N100" s="89" t="str">
        <f aca="false">IF('Timeline Estacas'!N100="","",'Timeline Estacas'!N100)</f>
        <v/>
      </c>
      <c r="O100" s="90" t="str">
        <f aca="false">IF(ISNUMBER('Timeline Estacas'!O100),'Timeline Estacas'!O100,"")</f>
        <v/>
      </c>
      <c r="P100" s="91" t="n">
        <f aca="false">IF($Q100&gt;0,1,0)</f>
        <v>1</v>
      </c>
      <c r="Q100" s="91" t="n">
        <f aca="false">IF($F100="",0,1)+IF($H100="",0,1)</f>
        <v>2</v>
      </c>
      <c r="R100" s="91" t="n">
        <f aca="false">IF($N100="",0,1)</f>
        <v>0</v>
      </c>
      <c r="S100" s="91" t="n">
        <f aca="false">IF($F100="",0,1)</f>
        <v>1</v>
      </c>
      <c r="T100" s="91" t="n">
        <f aca="false">IF($H100="",0,1)</f>
        <v>1</v>
      </c>
      <c r="U100" s="91" t="n">
        <f aca="false">IF($J100="",0,1)</f>
        <v>1</v>
      </c>
      <c r="V100" s="91" t="n">
        <f aca="true">IF($J100="",0,IF($J100&lt;=TODAY(),1,0))</f>
        <v>0</v>
      </c>
      <c r="W100" s="92" t="n">
        <f aca="false">IF($O100="",0,$O100)</f>
        <v>0</v>
      </c>
      <c r="X100" s="91" t="str">
        <f aca="false">IF($R100=1,SUM($R$2:$R100),"")</f>
        <v/>
      </c>
      <c r="Y100" s="91" t="n">
        <f aca="false">IF($F100="",0,IF(COUNTIF($F$2:$F100,$F100)+COUNTIF($H$2:$H100,$F100)&gt;1,1,0))+IF($H100="",0,IF(COUNTIF($F$2:$F100,$H100)+COUNTIF($H$2:$H100,$H100)&gt;1,1,0))</f>
        <v>0</v>
      </c>
      <c r="Z100" s="91" t="n">
        <f aca="false">IF($Q100=0,0,IF(COUNTIFS($A$2:$A100,$A100,$Q$2:$Q100,"&gt;0")=1,1,0))</f>
        <v>0</v>
      </c>
      <c r="AA100" s="93" t="n">
        <f aca="false">IF($Q100&gt;0,$A100,"")</f>
        <v>46259</v>
      </c>
      <c r="AB100" s="91" t="n">
        <f aca="false">IF($K100="",0,1)</f>
        <v>0</v>
      </c>
      <c r="AC100" s="91" t="n">
        <f aca="false">IF($L100="",0,1)</f>
        <v>0</v>
      </c>
      <c r="AD100" s="91" t="n">
        <f aca="false">IF($M100="",0,1)</f>
        <v>0</v>
      </c>
      <c r="AE100" s="91" t="n">
        <f aca="false">IF($Q100&gt;0,$D100,"")</f>
        <v>43</v>
      </c>
      <c r="AF100" s="1"/>
      <c r="AG100" s="1"/>
      <c r="AH100" s="1"/>
      <c r="AI100" s="1"/>
      <c r="AJ100" s="1"/>
      <c r="AK100" s="1"/>
      <c r="AL100" s="1"/>
      <c r="AM100" s="1"/>
      <c r="AN100" s="1"/>
    </row>
    <row r="101" customFormat="false" ht="18" hidden="false" customHeight="true" outlineLevel="0" collapsed="false">
      <c r="A101" s="86" t="n">
        <f aca="false">IF(ISNUMBER('Timeline Estacas'!A101),'Timeline Estacas'!A101,"")</f>
        <v>46259</v>
      </c>
      <c r="B101" s="87" t="n">
        <f aca="false">IF($A101="","",$A101)</f>
        <v>46259</v>
      </c>
      <c r="C101" s="88" t="str">
        <f aca="false">IF(ISNUMBER('Timeline Estacas'!C101),'Timeline Estacas'!C101,"")</f>
        <v/>
      </c>
      <c r="D101" s="88" t="n">
        <f aca="false">IF(ISNUMBER('Timeline Estacas'!D101),'Timeline Estacas'!D101,"")</f>
        <v>43</v>
      </c>
      <c r="E101" s="88" t="str">
        <f aca="false">IF($D101="","","S-"&amp;TEXT($D101,"00"))</f>
        <v>S-43</v>
      </c>
      <c r="F101" s="88" t="n">
        <f aca="false">IF(ISNUMBER('Timeline Estacas'!F101),'Timeline Estacas'!F101,"")</f>
        <v>154</v>
      </c>
      <c r="G101" s="88" t="str">
        <f aca="false">IF($F101="","",IF('Timeline Estacas'!G101&lt;&gt;"",'Timeline Estacas'!G101,'Timeline Estacas'!I101))</f>
        <v>A</v>
      </c>
      <c r="H101" s="88" t="n">
        <f aca="false">IF(ISNUMBER('Timeline Estacas'!H101),'Timeline Estacas'!H101,"")</f>
        <v>51</v>
      </c>
      <c r="I101" s="88" t="str">
        <f aca="false">IF($H101="","",'Timeline Estacas'!I101)</f>
        <v>B</v>
      </c>
      <c r="J101" s="86" t="n">
        <f aca="false">IF(ISNUMBER('Timeline Estacas'!J101),'Timeline Estacas'!J101,"")</f>
        <v>46273</v>
      </c>
      <c r="K101" s="88" t="str">
        <f aca="false">IF('Timeline Estacas'!K101="","",'Timeline Estacas'!K101)</f>
        <v/>
      </c>
      <c r="L101" s="88" t="str">
        <f aca="false">IF('Timeline Estacas'!L101="","",'Timeline Estacas'!L101)</f>
        <v/>
      </c>
      <c r="M101" s="88" t="str">
        <f aca="false">IF('Timeline Estacas'!M101="","",'Timeline Estacas'!M101)</f>
        <v/>
      </c>
      <c r="N101" s="89" t="str">
        <f aca="false">IF('Timeline Estacas'!N101="","",'Timeline Estacas'!N101)</f>
        <v/>
      </c>
      <c r="O101" s="90" t="str">
        <f aca="false">IF(ISNUMBER('Timeline Estacas'!O101),'Timeline Estacas'!O101,"")</f>
        <v/>
      </c>
      <c r="P101" s="91" t="n">
        <f aca="false">IF($Q101&gt;0,1,0)</f>
        <v>1</v>
      </c>
      <c r="Q101" s="91" t="n">
        <f aca="false">IF($F101="",0,1)+IF($H101="",0,1)</f>
        <v>2</v>
      </c>
      <c r="R101" s="91" t="n">
        <f aca="false">IF($N101="",0,1)</f>
        <v>0</v>
      </c>
      <c r="S101" s="91" t="n">
        <f aca="false">IF($F101="",0,1)</f>
        <v>1</v>
      </c>
      <c r="T101" s="91" t="n">
        <f aca="false">IF($H101="",0,1)</f>
        <v>1</v>
      </c>
      <c r="U101" s="91" t="n">
        <f aca="false">IF($J101="",0,1)</f>
        <v>1</v>
      </c>
      <c r="V101" s="91" t="n">
        <f aca="true">IF($J101="",0,IF($J101&lt;=TODAY(),1,0))</f>
        <v>0</v>
      </c>
      <c r="W101" s="92" t="n">
        <f aca="false">IF($O101="",0,$O101)</f>
        <v>0</v>
      </c>
      <c r="X101" s="91" t="str">
        <f aca="false">IF($R101=1,SUM($R$2:$R101),"")</f>
        <v/>
      </c>
      <c r="Y101" s="91" t="n">
        <f aca="false">IF($F101="",0,IF(COUNTIF($F$2:$F101,$F101)+COUNTIF($H$2:$H101,$F101)&gt;1,1,0))+IF($H101="",0,IF(COUNTIF($F$2:$F101,$H101)+COUNTIF($H$2:$H101,$H101)&gt;1,1,0))</f>
        <v>0</v>
      </c>
      <c r="Z101" s="91" t="n">
        <f aca="false">IF($Q101=0,0,IF(COUNTIFS($A$2:$A101,$A101,$Q$2:$Q101,"&gt;0")=1,1,0))</f>
        <v>0</v>
      </c>
      <c r="AA101" s="93" t="n">
        <f aca="false">IF($Q101&gt;0,$A101,"")</f>
        <v>46259</v>
      </c>
      <c r="AB101" s="91" t="n">
        <f aca="false">IF($K101="",0,1)</f>
        <v>0</v>
      </c>
      <c r="AC101" s="91" t="n">
        <f aca="false">IF($L101="",0,1)</f>
        <v>0</v>
      </c>
      <c r="AD101" s="91" t="n">
        <f aca="false">IF($M101="",0,1)</f>
        <v>0</v>
      </c>
      <c r="AE101" s="91" t="n">
        <f aca="false">IF($Q101&gt;0,$D101,"")</f>
        <v>43</v>
      </c>
      <c r="AF101" s="1"/>
      <c r="AG101" s="1"/>
      <c r="AH101" s="1"/>
      <c r="AI101" s="1"/>
      <c r="AJ101" s="1"/>
      <c r="AK101" s="1"/>
      <c r="AL101" s="1"/>
      <c r="AM101" s="1"/>
      <c r="AN101" s="1"/>
    </row>
    <row r="102" customFormat="false" ht="18" hidden="false" customHeight="true" outlineLevel="0" collapsed="false">
      <c r="A102" s="86" t="n">
        <f aca="false">IF(ISNUMBER('Timeline Estacas'!A102),'Timeline Estacas'!A102,"")</f>
        <v>46259</v>
      </c>
      <c r="B102" s="87" t="n">
        <f aca="false">IF($A102="","",$A102)</f>
        <v>46259</v>
      </c>
      <c r="C102" s="88" t="str">
        <f aca="false">IF(ISNUMBER('Timeline Estacas'!C102),'Timeline Estacas'!C102,"")</f>
        <v/>
      </c>
      <c r="D102" s="88" t="n">
        <f aca="false">IF(ISNUMBER('Timeline Estacas'!D102),'Timeline Estacas'!D102,"")</f>
        <v>43</v>
      </c>
      <c r="E102" s="88" t="str">
        <f aca="false">IF($D102="","","S-"&amp;TEXT($D102,"00"))</f>
        <v>S-43</v>
      </c>
      <c r="F102" s="88" t="n">
        <f aca="false">IF(ISNUMBER('Timeline Estacas'!F102),'Timeline Estacas'!F102,"")</f>
        <v>159</v>
      </c>
      <c r="G102" s="88" t="str">
        <f aca="false">IF($F102="","",IF('Timeline Estacas'!G102&lt;&gt;"",'Timeline Estacas'!G102,'Timeline Estacas'!I102))</f>
        <v>A</v>
      </c>
      <c r="H102" s="88" t="n">
        <f aca="false">IF(ISNUMBER('Timeline Estacas'!H102),'Timeline Estacas'!H102,"")</f>
        <v>93</v>
      </c>
      <c r="I102" s="88" t="str">
        <f aca="false">IF($H102="","",'Timeline Estacas'!I102)</f>
        <v>B</v>
      </c>
      <c r="J102" s="86" t="n">
        <f aca="false">IF(ISNUMBER('Timeline Estacas'!J102),'Timeline Estacas'!J102,"")</f>
        <v>46273</v>
      </c>
      <c r="K102" s="88" t="str">
        <f aca="false">IF('Timeline Estacas'!K102="","",'Timeline Estacas'!K102)</f>
        <v/>
      </c>
      <c r="L102" s="88" t="str">
        <f aca="false">IF('Timeline Estacas'!L102="","",'Timeline Estacas'!L102)</f>
        <v/>
      </c>
      <c r="M102" s="88" t="str">
        <f aca="false">IF('Timeline Estacas'!M102="","",'Timeline Estacas'!M102)</f>
        <v/>
      </c>
      <c r="N102" s="89" t="str">
        <f aca="false">IF('Timeline Estacas'!N102="","",'Timeline Estacas'!N102)</f>
        <v/>
      </c>
      <c r="O102" s="90" t="str">
        <f aca="false">IF(ISNUMBER('Timeline Estacas'!O102),'Timeline Estacas'!O102,"")</f>
        <v/>
      </c>
      <c r="P102" s="91" t="n">
        <f aca="false">IF($Q102&gt;0,1,0)</f>
        <v>1</v>
      </c>
      <c r="Q102" s="91" t="n">
        <f aca="false">IF($F102="",0,1)+IF($H102="",0,1)</f>
        <v>2</v>
      </c>
      <c r="R102" s="91" t="n">
        <f aca="false">IF($N102="",0,1)</f>
        <v>0</v>
      </c>
      <c r="S102" s="91" t="n">
        <f aca="false">IF($F102="",0,1)</f>
        <v>1</v>
      </c>
      <c r="T102" s="91" t="n">
        <f aca="false">IF($H102="",0,1)</f>
        <v>1</v>
      </c>
      <c r="U102" s="91" t="n">
        <f aca="false">IF($J102="",0,1)</f>
        <v>1</v>
      </c>
      <c r="V102" s="91" t="n">
        <f aca="true">IF($J102="",0,IF($J102&lt;=TODAY(),1,0))</f>
        <v>0</v>
      </c>
      <c r="W102" s="92" t="n">
        <f aca="false">IF($O102="",0,$O102)</f>
        <v>0</v>
      </c>
      <c r="X102" s="91" t="str">
        <f aca="false">IF($R102=1,SUM($R$2:$R102),"")</f>
        <v/>
      </c>
      <c r="Y102" s="91" t="n">
        <f aca="false">IF($F102="",0,IF(COUNTIF($F$2:$F102,$F102)+COUNTIF($H$2:$H102,$F102)&gt;1,1,0))+IF($H102="",0,IF(COUNTIF($F$2:$F102,$H102)+COUNTIF($H$2:$H102,$H102)&gt;1,1,0))</f>
        <v>0</v>
      </c>
      <c r="Z102" s="91" t="n">
        <f aca="false">IF($Q102=0,0,IF(COUNTIFS($A$2:$A102,$A102,$Q$2:$Q102,"&gt;0")=1,1,0))</f>
        <v>0</v>
      </c>
      <c r="AA102" s="93" t="n">
        <f aca="false">IF($Q102&gt;0,$A102,"")</f>
        <v>46259</v>
      </c>
      <c r="AB102" s="91" t="n">
        <f aca="false">IF($K102="",0,1)</f>
        <v>0</v>
      </c>
      <c r="AC102" s="91" t="n">
        <f aca="false">IF($L102="",0,1)</f>
        <v>0</v>
      </c>
      <c r="AD102" s="91" t="n">
        <f aca="false">IF($M102="",0,1)</f>
        <v>0</v>
      </c>
      <c r="AE102" s="91" t="n">
        <f aca="false">IF($Q102&gt;0,$D102,"")</f>
        <v>43</v>
      </c>
      <c r="AF102" s="1"/>
      <c r="AG102" s="1"/>
      <c r="AH102" s="1"/>
      <c r="AI102" s="1"/>
      <c r="AJ102" s="1"/>
      <c r="AK102" s="1"/>
      <c r="AL102" s="1"/>
      <c r="AM102" s="1"/>
      <c r="AN102" s="1"/>
    </row>
    <row r="103" customFormat="false" ht="18" hidden="false" customHeight="true" outlineLevel="0" collapsed="false">
      <c r="A103" s="86" t="n">
        <f aca="false">IF(ISNUMBER('Timeline Estacas'!A103),'Timeline Estacas'!A103,"")</f>
        <v>46259</v>
      </c>
      <c r="B103" s="87" t="n">
        <f aca="false">IF($A103="","",$A103)</f>
        <v>46259</v>
      </c>
      <c r="C103" s="88" t="n">
        <f aca="false">IF(ISNUMBER('Timeline Estacas'!C103),'Timeline Estacas'!C103,"")</f>
        <v>298</v>
      </c>
      <c r="D103" s="88" t="n">
        <f aca="false">IF(ISNUMBER('Timeline Estacas'!D103),'Timeline Estacas'!D103,"")</f>
        <v>43</v>
      </c>
      <c r="E103" s="88" t="str">
        <f aca="false">IF($D103="","","S-"&amp;TEXT($D103,"00"))</f>
        <v>S-43</v>
      </c>
      <c r="F103" s="88" t="n">
        <f aca="false">IF(ISNUMBER('Timeline Estacas'!F103),'Timeline Estacas'!F103,"")</f>
        <v>185</v>
      </c>
      <c r="G103" s="88" t="str">
        <f aca="false">IF($F103="","",IF('Timeline Estacas'!G103&lt;&gt;"",'Timeline Estacas'!G103,'Timeline Estacas'!I103))</f>
        <v>A</v>
      </c>
      <c r="H103" s="88" t="str">
        <f aca="false">IF(ISNUMBER('Timeline Estacas'!H103),'Timeline Estacas'!H103,"")</f>
        <v/>
      </c>
      <c r="I103" s="88" t="str">
        <f aca="false">IF($H103="","",'Timeline Estacas'!I103)</f>
        <v/>
      </c>
      <c r="J103" s="86" t="n">
        <f aca="false">IF(ISNUMBER('Timeline Estacas'!J103),'Timeline Estacas'!J103,"")</f>
        <v>46273</v>
      </c>
      <c r="K103" s="88" t="str">
        <f aca="false">IF('Timeline Estacas'!K103="","",'Timeline Estacas'!K103)</f>
        <v/>
      </c>
      <c r="L103" s="88" t="str">
        <f aca="false">IF('Timeline Estacas'!L103="","",'Timeline Estacas'!L103)</f>
        <v/>
      </c>
      <c r="M103" s="88" t="str">
        <f aca="false">IF('Timeline Estacas'!M103="","",'Timeline Estacas'!M103)</f>
        <v/>
      </c>
      <c r="N103" s="89" t="str">
        <f aca="false">IF('Timeline Estacas'!N103="","",'Timeline Estacas'!N103)</f>
        <v/>
      </c>
      <c r="O103" s="90" t="str">
        <f aca="false">IF(ISNUMBER('Timeline Estacas'!O103),'Timeline Estacas'!O103,"")</f>
        <v/>
      </c>
      <c r="P103" s="91" t="n">
        <f aca="false">IF($Q103&gt;0,1,0)</f>
        <v>1</v>
      </c>
      <c r="Q103" s="91" t="n">
        <f aca="false">IF($F103="",0,1)+IF($H103="",0,1)</f>
        <v>1</v>
      </c>
      <c r="R103" s="91" t="n">
        <f aca="false">IF($N103="",0,1)</f>
        <v>0</v>
      </c>
      <c r="S103" s="91" t="n">
        <f aca="false">IF($F103="",0,1)</f>
        <v>1</v>
      </c>
      <c r="T103" s="91" t="n">
        <f aca="false">IF($H103="",0,1)</f>
        <v>0</v>
      </c>
      <c r="U103" s="91" t="n">
        <f aca="false">IF($J103="",0,1)</f>
        <v>1</v>
      </c>
      <c r="V103" s="91" t="n">
        <f aca="true">IF($J103="",0,IF($J103&lt;=TODAY(),1,0))</f>
        <v>0</v>
      </c>
      <c r="W103" s="92" t="n">
        <f aca="false">IF($O103="",0,$O103)</f>
        <v>0</v>
      </c>
      <c r="X103" s="91" t="str">
        <f aca="false">IF($R103=1,SUM($R$2:$R103),"")</f>
        <v/>
      </c>
      <c r="Y103" s="91" t="n">
        <f aca="false">IF($F103="",0,IF(COUNTIF($F$2:$F103,$F103)+COUNTIF($H$2:$H103,$F103)&gt;1,1,0))+IF($H103="",0,IF(COUNTIF($F$2:$F103,$H103)+COUNTIF($H$2:$H103,$H103)&gt;1,1,0))</f>
        <v>0</v>
      </c>
      <c r="Z103" s="91" t="n">
        <f aca="false">IF($Q103=0,0,IF(COUNTIFS($A$2:$A103,$A103,$Q$2:$Q103,"&gt;0")=1,1,0))</f>
        <v>0</v>
      </c>
      <c r="AA103" s="93" t="n">
        <f aca="false">IF($Q103&gt;0,$A103,"")</f>
        <v>46259</v>
      </c>
      <c r="AB103" s="91" t="n">
        <f aca="false">IF($K103="",0,1)</f>
        <v>0</v>
      </c>
      <c r="AC103" s="91" t="n">
        <f aca="false">IF($L103="",0,1)</f>
        <v>0</v>
      </c>
      <c r="AD103" s="91" t="n">
        <f aca="false">IF($M103="",0,1)</f>
        <v>0</v>
      </c>
      <c r="AE103" s="91" t="n">
        <f aca="false">IF($Q103&gt;0,$D103,"")</f>
        <v>43</v>
      </c>
      <c r="AF103" s="1"/>
      <c r="AG103" s="1"/>
      <c r="AH103" s="1"/>
      <c r="AI103" s="1"/>
      <c r="AJ103" s="1"/>
      <c r="AK103" s="1"/>
      <c r="AL103" s="1"/>
      <c r="AM103" s="1"/>
      <c r="AN103" s="1"/>
    </row>
    <row r="104" customFormat="false" ht="18" hidden="false" customHeight="true" outlineLevel="0" collapsed="false">
      <c r="A104" s="86" t="n">
        <f aca="false">IF(ISNUMBER('Timeline Estacas'!A104),'Timeline Estacas'!A104,"")</f>
        <v>46260</v>
      </c>
      <c r="B104" s="87" t="n">
        <f aca="false">IF($A104="","",$A104)</f>
        <v>46260</v>
      </c>
      <c r="C104" s="88" t="n">
        <f aca="false">IF(ISNUMBER('Timeline Estacas'!C104),'Timeline Estacas'!C104,"")</f>
        <v>299</v>
      </c>
      <c r="D104" s="88" t="n">
        <f aca="false">IF(ISNUMBER('Timeline Estacas'!D104),'Timeline Estacas'!D104,"")</f>
        <v>43</v>
      </c>
      <c r="E104" s="88" t="str">
        <f aca="false">IF($D104="","","S-"&amp;TEXT($D104,"00"))</f>
        <v>S-43</v>
      </c>
      <c r="F104" s="88" t="n">
        <f aca="false">IF(ISNUMBER('Timeline Estacas'!F104),'Timeline Estacas'!F104,"")</f>
        <v>162</v>
      </c>
      <c r="G104" s="88" t="str">
        <f aca="false">IF($F104="","",IF('Timeline Estacas'!G104&lt;&gt;"",'Timeline Estacas'!G104,'Timeline Estacas'!I104))</f>
        <v>A</v>
      </c>
      <c r="H104" s="88" t="n">
        <f aca="false">IF(ISNUMBER('Timeline Estacas'!H104),'Timeline Estacas'!H104,"")</f>
        <v>54</v>
      </c>
      <c r="I104" s="88" t="str">
        <f aca="false">IF($H104="","",'Timeline Estacas'!I104)</f>
        <v>B</v>
      </c>
      <c r="J104" s="86" t="n">
        <f aca="false">IF(ISNUMBER('Timeline Estacas'!J104),'Timeline Estacas'!J104,"")</f>
        <v>46274</v>
      </c>
      <c r="K104" s="88" t="str">
        <f aca="false">IF('Timeline Estacas'!K104="","",'Timeline Estacas'!K104)</f>
        <v/>
      </c>
      <c r="L104" s="88" t="str">
        <f aca="false">IF('Timeline Estacas'!L104="","",'Timeline Estacas'!L104)</f>
        <v/>
      </c>
      <c r="M104" s="88" t="str">
        <f aca="false">IF('Timeline Estacas'!M104="","",'Timeline Estacas'!M104)</f>
        <v/>
      </c>
      <c r="N104" s="89" t="str">
        <f aca="false">IF('Timeline Estacas'!N104="","",'Timeline Estacas'!N104)</f>
        <v/>
      </c>
      <c r="O104" s="90" t="str">
        <f aca="false">IF(ISNUMBER('Timeline Estacas'!O104),'Timeline Estacas'!O104,"")</f>
        <v/>
      </c>
      <c r="P104" s="91" t="n">
        <f aca="false">IF($Q104&gt;0,1,0)</f>
        <v>1</v>
      </c>
      <c r="Q104" s="91" t="n">
        <f aca="false">IF($F104="",0,1)+IF($H104="",0,1)</f>
        <v>2</v>
      </c>
      <c r="R104" s="91" t="n">
        <f aca="false">IF($N104="",0,1)</f>
        <v>0</v>
      </c>
      <c r="S104" s="91" t="n">
        <f aca="false">IF($F104="",0,1)</f>
        <v>1</v>
      </c>
      <c r="T104" s="91" t="n">
        <f aca="false">IF($H104="",0,1)</f>
        <v>1</v>
      </c>
      <c r="U104" s="91" t="n">
        <f aca="false">IF($J104="",0,1)</f>
        <v>1</v>
      </c>
      <c r="V104" s="91" t="n">
        <f aca="true">IF($J104="",0,IF($J104&lt;=TODAY(),1,0))</f>
        <v>0</v>
      </c>
      <c r="W104" s="92" t="n">
        <f aca="false">IF($O104="",0,$O104)</f>
        <v>0</v>
      </c>
      <c r="X104" s="91" t="str">
        <f aca="false">IF($R104=1,SUM($R$2:$R104),"")</f>
        <v/>
      </c>
      <c r="Y104" s="91" t="n">
        <f aca="false">IF($F104="",0,IF(COUNTIF($F$2:$F104,$F104)+COUNTIF($H$2:$H104,$F104)&gt;1,1,0))+IF($H104="",0,IF(COUNTIF($F$2:$F104,$H104)+COUNTIF($H$2:$H104,$H104)&gt;1,1,0))</f>
        <v>0</v>
      </c>
      <c r="Z104" s="91" t="n">
        <f aca="false">IF($Q104=0,0,IF(COUNTIFS($A$2:$A104,$A104,$Q$2:$Q104,"&gt;0")=1,1,0))</f>
        <v>1</v>
      </c>
      <c r="AA104" s="93" t="n">
        <f aca="false">IF($Q104&gt;0,$A104,"")</f>
        <v>46260</v>
      </c>
      <c r="AB104" s="91" t="n">
        <f aca="false">IF($K104="",0,1)</f>
        <v>0</v>
      </c>
      <c r="AC104" s="91" t="n">
        <f aca="false">IF($L104="",0,1)</f>
        <v>0</v>
      </c>
      <c r="AD104" s="91" t="n">
        <f aca="false">IF($M104="",0,1)</f>
        <v>0</v>
      </c>
      <c r="AE104" s="91" t="n">
        <f aca="false">IF($Q104&gt;0,$D104,"")</f>
        <v>43</v>
      </c>
      <c r="AF104" s="1"/>
      <c r="AG104" s="1"/>
      <c r="AH104" s="1"/>
      <c r="AI104" s="1"/>
      <c r="AJ104" s="1"/>
      <c r="AK104" s="1"/>
      <c r="AL104" s="1"/>
      <c r="AM104" s="1"/>
      <c r="AN104" s="1"/>
    </row>
    <row r="105" customFormat="false" ht="18" hidden="false" customHeight="true" outlineLevel="0" collapsed="false">
      <c r="A105" s="86" t="n">
        <f aca="false">IF(ISNUMBER('Timeline Estacas'!A105),'Timeline Estacas'!A105,"")</f>
        <v>46260</v>
      </c>
      <c r="B105" s="87" t="n">
        <f aca="false">IF($A105="","",$A105)</f>
        <v>46260</v>
      </c>
      <c r="C105" s="88" t="n">
        <f aca="false">IF(ISNUMBER('Timeline Estacas'!C105),'Timeline Estacas'!C105,"")</f>
        <v>299</v>
      </c>
      <c r="D105" s="88" t="n">
        <f aca="false">IF(ISNUMBER('Timeline Estacas'!D105),'Timeline Estacas'!D105,"")</f>
        <v>43</v>
      </c>
      <c r="E105" s="88" t="str">
        <f aca="false">IF($D105="","","S-"&amp;TEXT($D105,"00"))</f>
        <v>S-43</v>
      </c>
      <c r="F105" s="88" t="n">
        <f aca="false">IF(ISNUMBER('Timeline Estacas'!F105),'Timeline Estacas'!F105,"")</f>
        <v>164</v>
      </c>
      <c r="G105" s="88" t="str">
        <f aca="false">IF($F105="","",IF('Timeline Estacas'!G105&lt;&gt;"",'Timeline Estacas'!G105,'Timeline Estacas'!I105))</f>
        <v>A</v>
      </c>
      <c r="H105" s="88" t="n">
        <f aca="false">IF(ISNUMBER('Timeline Estacas'!H105),'Timeline Estacas'!H105,"")</f>
        <v>55</v>
      </c>
      <c r="I105" s="88" t="str">
        <f aca="false">IF($H105="","",'Timeline Estacas'!I105)</f>
        <v>B</v>
      </c>
      <c r="J105" s="86" t="n">
        <f aca="false">IF(ISNUMBER('Timeline Estacas'!J105),'Timeline Estacas'!J105,"")</f>
        <v>46274</v>
      </c>
      <c r="K105" s="88" t="str">
        <f aca="false">IF('Timeline Estacas'!K105="","",'Timeline Estacas'!K105)</f>
        <v/>
      </c>
      <c r="L105" s="88" t="str">
        <f aca="false">IF('Timeline Estacas'!L105="","",'Timeline Estacas'!L105)</f>
        <v/>
      </c>
      <c r="M105" s="88" t="str">
        <f aca="false">IF('Timeline Estacas'!M105="","",'Timeline Estacas'!M105)</f>
        <v/>
      </c>
      <c r="N105" s="89" t="str">
        <f aca="false">IF('Timeline Estacas'!N105="","",'Timeline Estacas'!N105)</f>
        <v/>
      </c>
      <c r="O105" s="90" t="str">
        <f aca="false">IF(ISNUMBER('Timeline Estacas'!O105),'Timeline Estacas'!O105,"")</f>
        <v/>
      </c>
      <c r="P105" s="91" t="n">
        <f aca="false">IF($Q105&gt;0,1,0)</f>
        <v>1</v>
      </c>
      <c r="Q105" s="91" t="n">
        <f aca="false">IF($F105="",0,1)+IF($H105="",0,1)</f>
        <v>2</v>
      </c>
      <c r="R105" s="91" t="n">
        <f aca="false">IF($N105="",0,1)</f>
        <v>0</v>
      </c>
      <c r="S105" s="91" t="n">
        <f aca="false">IF($F105="",0,1)</f>
        <v>1</v>
      </c>
      <c r="T105" s="91" t="n">
        <f aca="false">IF($H105="",0,1)</f>
        <v>1</v>
      </c>
      <c r="U105" s="91" t="n">
        <f aca="false">IF($J105="",0,1)</f>
        <v>1</v>
      </c>
      <c r="V105" s="91" t="n">
        <f aca="true">IF($J105="",0,IF($J105&lt;=TODAY(),1,0))</f>
        <v>0</v>
      </c>
      <c r="W105" s="92" t="n">
        <f aca="false">IF($O105="",0,$O105)</f>
        <v>0</v>
      </c>
      <c r="X105" s="91" t="str">
        <f aca="false">IF($R105=1,SUM($R$2:$R105),"")</f>
        <v/>
      </c>
      <c r="Y105" s="91" t="n">
        <f aca="false">IF($F105="",0,IF(COUNTIF($F$2:$F105,$F105)+COUNTIF($H$2:$H105,$F105)&gt;1,1,0))+IF($H105="",0,IF(COUNTIF($F$2:$F105,$H105)+COUNTIF($H$2:$H105,$H105)&gt;1,1,0))</f>
        <v>0</v>
      </c>
      <c r="Z105" s="91" t="n">
        <f aca="false">IF($Q105=0,0,IF(COUNTIFS($A$2:$A105,$A105,$Q$2:$Q105,"&gt;0")=1,1,0))</f>
        <v>0</v>
      </c>
      <c r="AA105" s="93" t="n">
        <f aca="false">IF($Q105&gt;0,$A105,"")</f>
        <v>46260</v>
      </c>
      <c r="AB105" s="91" t="n">
        <f aca="false">IF($K105="",0,1)</f>
        <v>0</v>
      </c>
      <c r="AC105" s="91" t="n">
        <f aca="false">IF($L105="",0,1)</f>
        <v>0</v>
      </c>
      <c r="AD105" s="91" t="n">
        <f aca="false">IF($M105="",0,1)</f>
        <v>0</v>
      </c>
      <c r="AE105" s="91" t="n">
        <f aca="false">IF($Q105&gt;0,$D105,"")</f>
        <v>43</v>
      </c>
      <c r="AF105" s="1"/>
      <c r="AG105" s="1"/>
      <c r="AH105" s="1"/>
      <c r="AI105" s="1"/>
      <c r="AJ105" s="1"/>
      <c r="AK105" s="1"/>
      <c r="AL105" s="1"/>
      <c r="AM105" s="1"/>
      <c r="AN105" s="1"/>
    </row>
    <row r="106" customFormat="false" ht="18" hidden="false" customHeight="true" outlineLevel="0" collapsed="false">
      <c r="A106" s="86" t="n">
        <f aca="false">IF(ISNUMBER('Timeline Estacas'!A106),'Timeline Estacas'!A106,"")</f>
        <v>46260</v>
      </c>
      <c r="B106" s="87" t="n">
        <f aca="false">IF($A106="","",$A106)</f>
        <v>46260</v>
      </c>
      <c r="C106" s="88" t="n">
        <f aca="false">IF(ISNUMBER('Timeline Estacas'!C106),'Timeline Estacas'!C106,"")</f>
        <v>300</v>
      </c>
      <c r="D106" s="88" t="n">
        <f aca="false">IF(ISNUMBER('Timeline Estacas'!D106),'Timeline Estacas'!D106,"")</f>
        <v>43</v>
      </c>
      <c r="E106" s="88" t="str">
        <f aca="false">IF($D106="","","S-"&amp;TEXT($D106,"00"))</f>
        <v>S-43</v>
      </c>
      <c r="F106" s="88" t="n">
        <f aca="false">IF(ISNUMBER('Timeline Estacas'!F106),'Timeline Estacas'!F106,"")</f>
        <v>167</v>
      </c>
      <c r="G106" s="88" t="str">
        <f aca="false">IF($F106="","",IF('Timeline Estacas'!G106&lt;&gt;"",'Timeline Estacas'!G106,'Timeline Estacas'!I106))</f>
        <v>A</v>
      </c>
      <c r="H106" s="88" t="n">
        <f aca="false">IF(ISNUMBER('Timeline Estacas'!H106),'Timeline Estacas'!H106,"")</f>
        <v>58</v>
      </c>
      <c r="I106" s="88" t="str">
        <f aca="false">IF($H106="","",'Timeline Estacas'!I106)</f>
        <v>B</v>
      </c>
      <c r="J106" s="86" t="n">
        <f aca="false">IF(ISNUMBER('Timeline Estacas'!J106),'Timeline Estacas'!J106,"")</f>
        <v>46274</v>
      </c>
      <c r="K106" s="88" t="str">
        <f aca="false">IF('Timeline Estacas'!K106="","",'Timeline Estacas'!K106)</f>
        <v/>
      </c>
      <c r="L106" s="88" t="str">
        <f aca="false">IF('Timeline Estacas'!L106="","",'Timeline Estacas'!L106)</f>
        <v/>
      </c>
      <c r="M106" s="88" t="str">
        <f aca="false">IF('Timeline Estacas'!M106="","",'Timeline Estacas'!M106)</f>
        <v/>
      </c>
      <c r="N106" s="89" t="str">
        <f aca="false">IF('Timeline Estacas'!N106="","",'Timeline Estacas'!N106)</f>
        <v/>
      </c>
      <c r="O106" s="90" t="str">
        <f aca="false">IF(ISNUMBER('Timeline Estacas'!O106),'Timeline Estacas'!O106,"")</f>
        <v/>
      </c>
      <c r="P106" s="91" t="n">
        <f aca="false">IF($Q106&gt;0,1,0)</f>
        <v>1</v>
      </c>
      <c r="Q106" s="91" t="n">
        <f aca="false">IF($F106="",0,1)+IF($H106="",0,1)</f>
        <v>2</v>
      </c>
      <c r="R106" s="91" t="n">
        <f aca="false">IF($N106="",0,1)</f>
        <v>0</v>
      </c>
      <c r="S106" s="91" t="n">
        <f aca="false">IF($F106="",0,1)</f>
        <v>1</v>
      </c>
      <c r="T106" s="91" t="n">
        <f aca="false">IF($H106="",0,1)</f>
        <v>1</v>
      </c>
      <c r="U106" s="91" t="n">
        <f aca="false">IF($J106="",0,1)</f>
        <v>1</v>
      </c>
      <c r="V106" s="91" t="n">
        <f aca="true">IF($J106="",0,IF($J106&lt;=TODAY(),1,0))</f>
        <v>0</v>
      </c>
      <c r="W106" s="92" t="n">
        <f aca="false">IF($O106="",0,$O106)</f>
        <v>0</v>
      </c>
      <c r="X106" s="91" t="str">
        <f aca="false">IF($R106=1,SUM($R$2:$R106),"")</f>
        <v/>
      </c>
      <c r="Y106" s="91" t="n">
        <f aca="false">IF($F106="",0,IF(COUNTIF($F$2:$F106,$F106)+COUNTIF($H$2:$H106,$F106)&gt;1,1,0))+IF($H106="",0,IF(COUNTIF($F$2:$F106,$H106)+COUNTIF($H$2:$H106,$H106)&gt;1,1,0))</f>
        <v>0</v>
      </c>
      <c r="Z106" s="91" t="n">
        <f aca="false">IF($Q106=0,0,IF(COUNTIFS($A$2:$A106,$A106,$Q$2:$Q106,"&gt;0")=1,1,0))</f>
        <v>0</v>
      </c>
      <c r="AA106" s="93" t="n">
        <f aca="false">IF($Q106&gt;0,$A106,"")</f>
        <v>46260</v>
      </c>
      <c r="AB106" s="91" t="n">
        <f aca="false">IF($K106="",0,1)</f>
        <v>0</v>
      </c>
      <c r="AC106" s="91" t="n">
        <f aca="false">IF($L106="",0,1)</f>
        <v>0</v>
      </c>
      <c r="AD106" s="91" t="n">
        <f aca="false">IF($M106="",0,1)</f>
        <v>0</v>
      </c>
      <c r="AE106" s="91" t="n">
        <f aca="false">IF($Q106&gt;0,$D106,"")</f>
        <v>43</v>
      </c>
      <c r="AF106" s="1"/>
      <c r="AG106" s="1"/>
      <c r="AH106" s="1"/>
      <c r="AI106" s="1"/>
      <c r="AJ106" s="1"/>
      <c r="AK106" s="1"/>
      <c r="AL106" s="1"/>
      <c r="AM106" s="1"/>
      <c r="AN106" s="1"/>
    </row>
    <row r="107" customFormat="false" ht="18" hidden="false" customHeight="true" outlineLevel="0" collapsed="false">
      <c r="A107" s="86" t="n">
        <f aca="false">IF(ISNUMBER('Timeline Estacas'!A107),'Timeline Estacas'!A107,"")</f>
        <v>46260</v>
      </c>
      <c r="B107" s="87" t="n">
        <f aca="false">IF($A107="","",$A107)</f>
        <v>46260</v>
      </c>
      <c r="C107" s="88" t="n">
        <f aca="false">IF(ISNUMBER('Timeline Estacas'!C107),'Timeline Estacas'!C107,"")</f>
        <v>301</v>
      </c>
      <c r="D107" s="88" t="n">
        <f aca="false">IF(ISNUMBER('Timeline Estacas'!D107),'Timeline Estacas'!D107,"")</f>
        <v>43</v>
      </c>
      <c r="E107" s="88" t="str">
        <f aca="false">IF($D107="","","S-"&amp;TEXT($D107,"00"))</f>
        <v>S-43</v>
      </c>
      <c r="F107" s="88" t="n">
        <f aca="false">IF(ISNUMBER('Timeline Estacas'!F107),'Timeline Estacas'!F107,"")</f>
        <v>169</v>
      </c>
      <c r="G107" s="88" t="str">
        <f aca="false">IF($F107="","",IF('Timeline Estacas'!G107&lt;&gt;"",'Timeline Estacas'!G107,'Timeline Estacas'!I107))</f>
        <v>A</v>
      </c>
      <c r="H107" s="88" t="str">
        <f aca="false">IF(ISNUMBER('Timeline Estacas'!H107),'Timeline Estacas'!H107,"")</f>
        <v/>
      </c>
      <c r="I107" s="88" t="str">
        <f aca="false">IF($H107="","",'Timeline Estacas'!I107)</f>
        <v/>
      </c>
      <c r="J107" s="86" t="n">
        <f aca="false">IF(ISNUMBER('Timeline Estacas'!J107),'Timeline Estacas'!J107,"")</f>
        <v>46274</v>
      </c>
      <c r="K107" s="88" t="str">
        <f aca="false">IF('Timeline Estacas'!K107="","",'Timeline Estacas'!K107)</f>
        <v/>
      </c>
      <c r="L107" s="88" t="str">
        <f aca="false">IF('Timeline Estacas'!L107="","",'Timeline Estacas'!L107)</f>
        <v/>
      </c>
      <c r="M107" s="88" t="str">
        <f aca="false">IF('Timeline Estacas'!M107="","",'Timeline Estacas'!M107)</f>
        <v/>
      </c>
      <c r="N107" s="89" t="str">
        <f aca="false">IF('Timeline Estacas'!N107="","",'Timeline Estacas'!N107)</f>
        <v/>
      </c>
      <c r="O107" s="90" t="str">
        <f aca="false">IF(ISNUMBER('Timeline Estacas'!O107),'Timeline Estacas'!O107,"")</f>
        <v/>
      </c>
      <c r="P107" s="91" t="n">
        <f aca="false">IF($Q107&gt;0,1,0)</f>
        <v>1</v>
      </c>
      <c r="Q107" s="91" t="n">
        <f aca="false">IF($F107="",0,1)+IF($H107="",0,1)</f>
        <v>1</v>
      </c>
      <c r="R107" s="91" t="n">
        <f aca="false">IF($N107="",0,1)</f>
        <v>0</v>
      </c>
      <c r="S107" s="91" t="n">
        <f aca="false">IF($F107="",0,1)</f>
        <v>1</v>
      </c>
      <c r="T107" s="91" t="n">
        <f aca="false">IF($H107="",0,1)</f>
        <v>0</v>
      </c>
      <c r="U107" s="91" t="n">
        <f aca="false">IF($J107="",0,1)</f>
        <v>1</v>
      </c>
      <c r="V107" s="91" t="n">
        <f aca="true">IF($J107="",0,IF($J107&lt;=TODAY(),1,0))</f>
        <v>0</v>
      </c>
      <c r="W107" s="92" t="n">
        <f aca="false">IF($O107="",0,$O107)</f>
        <v>0</v>
      </c>
      <c r="X107" s="91" t="str">
        <f aca="false">IF($R107=1,SUM($R$2:$R107),"")</f>
        <v/>
      </c>
      <c r="Y107" s="91" t="n">
        <f aca="false">IF($F107="",0,IF(COUNTIF($F$2:$F107,$F107)+COUNTIF($H$2:$H107,$F107)&gt;1,1,0))+IF($H107="",0,IF(COUNTIF($F$2:$F107,$H107)+COUNTIF($H$2:$H107,$H107)&gt;1,1,0))</f>
        <v>0</v>
      </c>
      <c r="Z107" s="91" t="n">
        <f aca="false">IF($Q107=0,0,IF(COUNTIFS($A$2:$A107,$A107,$Q$2:$Q107,"&gt;0")=1,1,0))</f>
        <v>0</v>
      </c>
      <c r="AA107" s="93" t="n">
        <f aca="false">IF($Q107&gt;0,$A107,"")</f>
        <v>46260</v>
      </c>
      <c r="AB107" s="91" t="n">
        <f aca="false">IF($K107="",0,1)</f>
        <v>0</v>
      </c>
      <c r="AC107" s="91" t="n">
        <f aca="false">IF($L107="",0,1)</f>
        <v>0</v>
      </c>
      <c r="AD107" s="91" t="n">
        <f aca="false">IF($M107="",0,1)</f>
        <v>0</v>
      </c>
      <c r="AE107" s="91" t="n">
        <f aca="false">IF($Q107&gt;0,$D107,"")</f>
        <v>43</v>
      </c>
      <c r="AF107" s="1"/>
      <c r="AG107" s="1"/>
      <c r="AH107" s="1"/>
      <c r="AI107" s="1"/>
      <c r="AJ107" s="1"/>
      <c r="AK107" s="1"/>
      <c r="AL107" s="1"/>
      <c r="AM107" s="1"/>
      <c r="AN107" s="1"/>
    </row>
    <row r="108" customFormat="false" ht="18" hidden="false" customHeight="true" outlineLevel="0" collapsed="false">
      <c r="A108" s="86" t="n">
        <f aca="false">IF(ISNUMBER('Timeline Estacas'!A108),'Timeline Estacas'!A108,"")</f>
        <v>46260</v>
      </c>
      <c r="B108" s="87" t="n">
        <f aca="false">IF($A108="","",$A108)</f>
        <v>46260</v>
      </c>
      <c r="C108" s="88" t="n">
        <f aca="false">IF(ISNUMBER('Timeline Estacas'!C108),'Timeline Estacas'!C108,"")</f>
        <v>299</v>
      </c>
      <c r="D108" s="88" t="n">
        <f aca="false">IF(ISNUMBER('Timeline Estacas'!D108),'Timeline Estacas'!D108,"")</f>
        <v>43</v>
      </c>
      <c r="E108" s="88" t="str">
        <f aca="false">IF($D108="","","S-"&amp;TEXT($D108,"00"))</f>
        <v>S-43</v>
      </c>
      <c r="F108" s="88" t="n">
        <f aca="false">IF(ISNUMBER('Timeline Estacas'!F108),'Timeline Estacas'!F108,"")</f>
        <v>171</v>
      </c>
      <c r="G108" s="88" t="str">
        <f aca="false">IF($F108="","",IF('Timeline Estacas'!G108&lt;&gt;"",'Timeline Estacas'!G108,'Timeline Estacas'!I108))</f>
        <v>A</v>
      </c>
      <c r="H108" s="88" t="n">
        <f aca="false">IF(ISNUMBER('Timeline Estacas'!H108),'Timeline Estacas'!H108,"")</f>
        <v>59</v>
      </c>
      <c r="I108" s="88" t="str">
        <f aca="false">IF($H108="","",'Timeline Estacas'!I108)</f>
        <v>B</v>
      </c>
      <c r="J108" s="86" t="n">
        <f aca="false">IF(ISNUMBER('Timeline Estacas'!J108),'Timeline Estacas'!J108,"")</f>
        <v>46274</v>
      </c>
      <c r="K108" s="88" t="str">
        <f aca="false">IF('Timeline Estacas'!K108="","",'Timeline Estacas'!K108)</f>
        <v/>
      </c>
      <c r="L108" s="88" t="str">
        <f aca="false">IF('Timeline Estacas'!L108="","",'Timeline Estacas'!L108)</f>
        <v/>
      </c>
      <c r="M108" s="88" t="str">
        <f aca="false">IF('Timeline Estacas'!M108="","",'Timeline Estacas'!M108)</f>
        <v/>
      </c>
      <c r="N108" s="89" t="str">
        <f aca="false">IF('Timeline Estacas'!N108="","",'Timeline Estacas'!N108)</f>
        <v/>
      </c>
      <c r="O108" s="90" t="str">
        <f aca="false">IF(ISNUMBER('Timeline Estacas'!O108),'Timeline Estacas'!O108,"")</f>
        <v/>
      </c>
      <c r="P108" s="91" t="n">
        <f aca="false">IF($Q108&gt;0,1,0)</f>
        <v>1</v>
      </c>
      <c r="Q108" s="91" t="n">
        <f aca="false">IF($F108="",0,1)+IF($H108="",0,1)</f>
        <v>2</v>
      </c>
      <c r="R108" s="91" t="n">
        <f aca="false">IF($N108="",0,1)</f>
        <v>0</v>
      </c>
      <c r="S108" s="91" t="n">
        <f aca="false">IF($F108="",0,1)</f>
        <v>1</v>
      </c>
      <c r="T108" s="91" t="n">
        <f aca="false">IF($H108="",0,1)</f>
        <v>1</v>
      </c>
      <c r="U108" s="91" t="n">
        <f aca="false">IF($J108="",0,1)</f>
        <v>1</v>
      </c>
      <c r="V108" s="91" t="n">
        <f aca="true">IF($J108="",0,IF($J108&lt;=TODAY(),1,0))</f>
        <v>0</v>
      </c>
      <c r="W108" s="92" t="n">
        <f aca="false">IF($O108="",0,$O108)</f>
        <v>0</v>
      </c>
      <c r="X108" s="91" t="str">
        <f aca="false">IF($R108=1,SUM($R$2:$R108),"")</f>
        <v/>
      </c>
      <c r="Y108" s="91" t="n">
        <f aca="false">IF($F108="",0,IF(COUNTIF($F$2:$F108,$F108)+COUNTIF($H$2:$H108,$F108)&gt;1,1,0))+IF($H108="",0,IF(COUNTIF($F$2:$F108,$H108)+COUNTIF($H$2:$H108,$H108)&gt;1,1,0))</f>
        <v>0</v>
      </c>
      <c r="Z108" s="91" t="n">
        <f aca="false">IF($Q108=0,0,IF(COUNTIFS($A$2:$A108,$A108,$Q$2:$Q108,"&gt;0")=1,1,0))</f>
        <v>0</v>
      </c>
      <c r="AA108" s="93" t="n">
        <f aca="false">IF($Q108&gt;0,$A108,"")</f>
        <v>46260</v>
      </c>
      <c r="AB108" s="91" t="n">
        <f aca="false">IF($K108="",0,1)</f>
        <v>0</v>
      </c>
      <c r="AC108" s="91" t="n">
        <f aca="false">IF($L108="",0,1)</f>
        <v>0</v>
      </c>
      <c r="AD108" s="91" t="n">
        <f aca="false">IF($M108="",0,1)</f>
        <v>0</v>
      </c>
      <c r="AE108" s="91" t="n">
        <f aca="false">IF($Q108&gt;0,$D108,"")</f>
        <v>43</v>
      </c>
      <c r="AF108" s="1"/>
      <c r="AG108" s="1"/>
      <c r="AH108" s="1"/>
      <c r="AI108" s="1"/>
      <c r="AJ108" s="1"/>
      <c r="AK108" s="1"/>
      <c r="AL108" s="1"/>
      <c r="AM108" s="1"/>
      <c r="AN108" s="1"/>
    </row>
    <row r="109" customFormat="false" ht="18" hidden="false" customHeight="true" outlineLevel="0" collapsed="false">
      <c r="A109" s="86" t="n">
        <f aca="false">IF(ISNUMBER('Timeline Estacas'!A109),'Timeline Estacas'!A109,"")</f>
        <v>46260</v>
      </c>
      <c r="B109" s="87" t="n">
        <f aca="false">IF($A109="","",$A109)</f>
        <v>46260</v>
      </c>
      <c r="C109" s="88" t="n">
        <f aca="false">IF(ISNUMBER('Timeline Estacas'!C109),'Timeline Estacas'!C109,"")</f>
        <v>299</v>
      </c>
      <c r="D109" s="88" t="n">
        <f aca="false">IF(ISNUMBER('Timeline Estacas'!D109),'Timeline Estacas'!D109,"")</f>
        <v>43</v>
      </c>
      <c r="E109" s="88" t="str">
        <f aca="false">IF($D109="","","S-"&amp;TEXT($D109,"00"))</f>
        <v>S-43</v>
      </c>
      <c r="F109" s="88" t="n">
        <f aca="false">IF(ISNUMBER('Timeline Estacas'!F109),'Timeline Estacas'!F109,"")</f>
        <v>173</v>
      </c>
      <c r="G109" s="88" t="str">
        <f aca="false">IF($F109="","",IF('Timeline Estacas'!G109&lt;&gt;"",'Timeline Estacas'!G109,'Timeline Estacas'!I109))</f>
        <v>A</v>
      </c>
      <c r="H109" s="88" t="n">
        <f aca="false">IF(ISNUMBER('Timeline Estacas'!H109),'Timeline Estacas'!H109,"")</f>
        <v>63</v>
      </c>
      <c r="I109" s="88" t="str">
        <f aca="false">IF($H109="","",'Timeline Estacas'!I109)</f>
        <v>B</v>
      </c>
      <c r="J109" s="86" t="n">
        <f aca="false">IF(ISNUMBER('Timeline Estacas'!J109),'Timeline Estacas'!J109,"")</f>
        <v>46274</v>
      </c>
      <c r="K109" s="88" t="str">
        <f aca="false">IF('Timeline Estacas'!K109="","",'Timeline Estacas'!K109)</f>
        <v/>
      </c>
      <c r="L109" s="88" t="str">
        <f aca="false">IF('Timeline Estacas'!L109="","",'Timeline Estacas'!L109)</f>
        <v/>
      </c>
      <c r="M109" s="88" t="str">
        <f aca="false">IF('Timeline Estacas'!M109="","",'Timeline Estacas'!M109)</f>
        <v/>
      </c>
      <c r="N109" s="89" t="str">
        <f aca="false">IF('Timeline Estacas'!N109="","",'Timeline Estacas'!N109)</f>
        <v/>
      </c>
      <c r="O109" s="90" t="str">
        <f aca="false">IF(ISNUMBER('Timeline Estacas'!O109),'Timeline Estacas'!O109,"")</f>
        <v/>
      </c>
      <c r="P109" s="91" t="n">
        <f aca="false">IF($Q109&gt;0,1,0)</f>
        <v>1</v>
      </c>
      <c r="Q109" s="91" t="n">
        <f aca="false">IF($F109="",0,1)+IF($H109="",0,1)</f>
        <v>2</v>
      </c>
      <c r="R109" s="91" t="n">
        <f aca="false">IF($N109="",0,1)</f>
        <v>0</v>
      </c>
      <c r="S109" s="91" t="n">
        <f aca="false">IF($F109="",0,1)</f>
        <v>1</v>
      </c>
      <c r="T109" s="91" t="n">
        <f aca="false">IF($H109="",0,1)</f>
        <v>1</v>
      </c>
      <c r="U109" s="91" t="n">
        <f aca="false">IF($J109="",0,1)</f>
        <v>1</v>
      </c>
      <c r="V109" s="91" t="n">
        <f aca="true">IF($J109="",0,IF($J109&lt;=TODAY(),1,0))</f>
        <v>0</v>
      </c>
      <c r="W109" s="92" t="n">
        <f aca="false">IF($O109="",0,$O109)</f>
        <v>0</v>
      </c>
      <c r="X109" s="91" t="str">
        <f aca="false">IF($R109=1,SUM($R$2:$R109),"")</f>
        <v/>
      </c>
      <c r="Y109" s="91" t="n">
        <f aca="false">IF($F109="",0,IF(COUNTIF($F$2:$F109,$F109)+COUNTIF($H$2:$H109,$F109)&gt;1,1,0))+IF($H109="",0,IF(COUNTIF($F$2:$F109,$H109)+COUNTIF($H$2:$H109,$H109)&gt;1,1,0))</f>
        <v>0</v>
      </c>
      <c r="Z109" s="91" t="n">
        <f aca="false">IF($Q109=0,0,IF(COUNTIFS($A$2:$A109,$A109,$Q$2:$Q109,"&gt;0")=1,1,0))</f>
        <v>0</v>
      </c>
      <c r="AA109" s="93" t="n">
        <f aca="false">IF($Q109&gt;0,$A109,"")</f>
        <v>46260</v>
      </c>
      <c r="AB109" s="91" t="n">
        <f aca="false">IF($K109="",0,1)</f>
        <v>0</v>
      </c>
      <c r="AC109" s="91" t="n">
        <f aca="false">IF($L109="",0,1)</f>
        <v>0</v>
      </c>
      <c r="AD109" s="91" t="n">
        <f aca="false">IF($M109="",0,1)</f>
        <v>0</v>
      </c>
      <c r="AE109" s="91" t="n">
        <f aca="false">IF($Q109&gt;0,$D109,"")</f>
        <v>43</v>
      </c>
      <c r="AF109" s="1"/>
      <c r="AG109" s="1"/>
      <c r="AH109" s="1"/>
      <c r="AI109" s="1"/>
      <c r="AJ109" s="1"/>
      <c r="AK109" s="1"/>
      <c r="AL109" s="1"/>
      <c r="AM109" s="1"/>
      <c r="AN109" s="1"/>
    </row>
    <row r="110" customFormat="false" ht="18" hidden="false" customHeight="true" outlineLevel="0" collapsed="false">
      <c r="A110" s="86" t="n">
        <f aca="false">IF(ISNUMBER('Timeline Estacas'!A110),'Timeline Estacas'!A110,"")</f>
        <v>46260</v>
      </c>
      <c r="B110" s="87" t="n">
        <f aca="false">IF($A110="","",$A110)</f>
        <v>46260</v>
      </c>
      <c r="C110" s="88" t="n">
        <f aca="false">IF(ISNUMBER('Timeline Estacas'!C110),'Timeline Estacas'!C110,"")</f>
        <v>300</v>
      </c>
      <c r="D110" s="88" t="n">
        <f aca="false">IF(ISNUMBER('Timeline Estacas'!D110),'Timeline Estacas'!D110,"")</f>
        <v>43</v>
      </c>
      <c r="E110" s="88" t="str">
        <f aca="false">IF($D110="","","S-"&amp;TEXT($D110,"00"))</f>
        <v>S-43</v>
      </c>
      <c r="F110" s="88" t="n">
        <f aca="false">IF(ISNUMBER('Timeline Estacas'!F110),'Timeline Estacas'!F110,"")</f>
        <v>186</v>
      </c>
      <c r="G110" s="88" t="str">
        <f aca="false">IF($F110="","",IF('Timeline Estacas'!G110&lt;&gt;"",'Timeline Estacas'!G110,'Timeline Estacas'!I110))</f>
        <v>A</v>
      </c>
      <c r="H110" s="88" t="n">
        <f aca="false">IF(ISNUMBER('Timeline Estacas'!H110),'Timeline Estacas'!H110,"")</f>
        <v>66</v>
      </c>
      <c r="I110" s="88" t="str">
        <f aca="false">IF($H110="","",'Timeline Estacas'!I110)</f>
        <v>B</v>
      </c>
      <c r="J110" s="86" t="n">
        <f aca="false">IF(ISNUMBER('Timeline Estacas'!J110),'Timeline Estacas'!J110,"")</f>
        <v>46274</v>
      </c>
      <c r="K110" s="88" t="str">
        <f aca="false">IF('Timeline Estacas'!K110="","",'Timeline Estacas'!K110)</f>
        <v/>
      </c>
      <c r="L110" s="88" t="str">
        <f aca="false">IF('Timeline Estacas'!L110="","",'Timeline Estacas'!L110)</f>
        <v/>
      </c>
      <c r="M110" s="88" t="str">
        <f aca="false">IF('Timeline Estacas'!M110="","",'Timeline Estacas'!M110)</f>
        <v/>
      </c>
      <c r="N110" s="89" t="str">
        <f aca="false">IF('Timeline Estacas'!N110="","",'Timeline Estacas'!N110)</f>
        <v/>
      </c>
      <c r="O110" s="90" t="str">
        <f aca="false">IF(ISNUMBER('Timeline Estacas'!O110),'Timeline Estacas'!O110,"")</f>
        <v/>
      </c>
      <c r="P110" s="91" t="n">
        <f aca="false">IF($Q110&gt;0,1,0)</f>
        <v>1</v>
      </c>
      <c r="Q110" s="91" t="n">
        <f aca="false">IF($F110="",0,1)+IF($H110="",0,1)</f>
        <v>2</v>
      </c>
      <c r="R110" s="91" t="n">
        <f aca="false">IF($N110="",0,1)</f>
        <v>0</v>
      </c>
      <c r="S110" s="91" t="n">
        <f aca="false">IF($F110="",0,1)</f>
        <v>1</v>
      </c>
      <c r="T110" s="91" t="n">
        <f aca="false">IF($H110="",0,1)</f>
        <v>1</v>
      </c>
      <c r="U110" s="91" t="n">
        <f aca="false">IF($J110="",0,1)</f>
        <v>1</v>
      </c>
      <c r="V110" s="91" t="n">
        <f aca="true">IF($J110="",0,IF($J110&lt;=TODAY(),1,0))</f>
        <v>0</v>
      </c>
      <c r="W110" s="92" t="n">
        <f aca="false">IF($O110="",0,$O110)</f>
        <v>0</v>
      </c>
      <c r="X110" s="91" t="str">
        <f aca="false">IF($R110=1,SUM($R$2:$R110),"")</f>
        <v/>
      </c>
      <c r="Y110" s="91" t="n">
        <f aca="false">IF($F110="",0,IF(COUNTIF($F$2:$F110,$F110)+COUNTIF($H$2:$H110,$F110)&gt;1,1,0))+IF($H110="",0,IF(COUNTIF($F$2:$F110,$H110)+COUNTIF($H$2:$H110,$H110)&gt;1,1,0))</f>
        <v>0</v>
      </c>
      <c r="Z110" s="91" t="n">
        <f aca="false">IF($Q110=0,0,IF(COUNTIFS($A$2:$A110,$A110,$Q$2:$Q110,"&gt;0")=1,1,0))</f>
        <v>0</v>
      </c>
      <c r="AA110" s="93" t="n">
        <f aca="false">IF($Q110&gt;0,$A110,"")</f>
        <v>46260</v>
      </c>
      <c r="AB110" s="91" t="n">
        <f aca="false">IF($K110="",0,1)</f>
        <v>0</v>
      </c>
      <c r="AC110" s="91" t="n">
        <f aca="false">IF($L110="",0,1)</f>
        <v>0</v>
      </c>
      <c r="AD110" s="91" t="n">
        <f aca="false">IF($M110="",0,1)</f>
        <v>0</v>
      </c>
      <c r="AE110" s="91" t="n">
        <f aca="false">IF($Q110&gt;0,$D110,"")</f>
        <v>43</v>
      </c>
      <c r="AF110" s="1"/>
      <c r="AG110" s="1"/>
      <c r="AH110" s="1"/>
      <c r="AI110" s="1"/>
      <c r="AJ110" s="1"/>
      <c r="AK110" s="1"/>
      <c r="AL110" s="1"/>
      <c r="AM110" s="1"/>
      <c r="AN110" s="1"/>
    </row>
    <row r="111" customFormat="false" ht="18" hidden="false" customHeight="true" outlineLevel="0" collapsed="false">
      <c r="A111" s="86" t="n">
        <f aca="false">IF(ISNUMBER('Timeline Estacas'!A111),'Timeline Estacas'!A111,"")</f>
        <v>46260</v>
      </c>
      <c r="B111" s="87" t="n">
        <f aca="false">IF($A111="","",$A111)</f>
        <v>46260</v>
      </c>
      <c r="C111" s="88" t="n">
        <f aca="false">IF(ISNUMBER('Timeline Estacas'!C111),'Timeline Estacas'!C111,"")</f>
        <v>299</v>
      </c>
      <c r="D111" s="88" t="n">
        <f aca="false">IF(ISNUMBER('Timeline Estacas'!D111),'Timeline Estacas'!D111,"")</f>
        <v>43</v>
      </c>
      <c r="E111" s="88" t="str">
        <f aca="false">IF($D111="","","S-"&amp;TEXT($D111,"00"))</f>
        <v>S-43</v>
      </c>
      <c r="F111" s="88" t="n">
        <f aca="false">IF(ISNUMBER('Timeline Estacas'!F111),'Timeline Estacas'!F111,"")</f>
        <v>187</v>
      </c>
      <c r="G111" s="88" t="str">
        <f aca="false">IF($F111="","",IF('Timeline Estacas'!G111&lt;&gt;"",'Timeline Estacas'!G111,'Timeline Estacas'!I111))</f>
        <v>A</v>
      </c>
      <c r="H111" s="88" t="n">
        <f aca="false">IF(ISNUMBER('Timeline Estacas'!H111),'Timeline Estacas'!H111,"")</f>
        <v>67</v>
      </c>
      <c r="I111" s="88" t="str">
        <f aca="false">IF($H111="","",'Timeline Estacas'!I111)</f>
        <v>B</v>
      </c>
      <c r="J111" s="86" t="n">
        <f aca="false">IF(ISNUMBER('Timeline Estacas'!J111),'Timeline Estacas'!J111,"")</f>
        <v>46274</v>
      </c>
      <c r="K111" s="88" t="str">
        <f aca="false">IF('Timeline Estacas'!K111="","",'Timeline Estacas'!K111)</f>
        <v/>
      </c>
      <c r="L111" s="88" t="str">
        <f aca="false">IF('Timeline Estacas'!L111="","",'Timeline Estacas'!L111)</f>
        <v/>
      </c>
      <c r="M111" s="88" t="str">
        <f aca="false">IF('Timeline Estacas'!M111="","",'Timeline Estacas'!M111)</f>
        <v/>
      </c>
      <c r="N111" s="89" t="str">
        <f aca="false">IF('Timeline Estacas'!N111="","",'Timeline Estacas'!N111)</f>
        <v/>
      </c>
      <c r="O111" s="90" t="str">
        <f aca="false">IF(ISNUMBER('Timeline Estacas'!O111),'Timeline Estacas'!O111,"")</f>
        <v/>
      </c>
      <c r="P111" s="91" t="n">
        <f aca="false">IF($Q111&gt;0,1,0)</f>
        <v>1</v>
      </c>
      <c r="Q111" s="91" t="n">
        <f aca="false">IF($F111="",0,1)+IF($H111="",0,1)</f>
        <v>2</v>
      </c>
      <c r="R111" s="91" t="n">
        <f aca="false">IF($N111="",0,1)</f>
        <v>0</v>
      </c>
      <c r="S111" s="91" t="n">
        <f aca="false">IF($F111="",0,1)</f>
        <v>1</v>
      </c>
      <c r="T111" s="91" t="n">
        <f aca="false">IF($H111="",0,1)</f>
        <v>1</v>
      </c>
      <c r="U111" s="91" t="n">
        <f aca="false">IF($J111="",0,1)</f>
        <v>1</v>
      </c>
      <c r="V111" s="91" t="n">
        <f aca="true">IF($J111="",0,IF($J111&lt;=TODAY(),1,0))</f>
        <v>0</v>
      </c>
      <c r="W111" s="92" t="n">
        <f aca="false">IF($O111="",0,$O111)</f>
        <v>0</v>
      </c>
      <c r="X111" s="91" t="str">
        <f aca="false">IF($R111=1,SUM($R$2:$R111),"")</f>
        <v/>
      </c>
      <c r="Y111" s="91" t="n">
        <f aca="false">IF($F111="",0,IF(COUNTIF($F$2:$F111,$F111)+COUNTIF($H$2:$H111,$F111)&gt;1,1,0))+IF($H111="",0,IF(COUNTIF($F$2:$F111,$H111)+COUNTIF($H$2:$H111,$H111)&gt;1,1,0))</f>
        <v>0</v>
      </c>
      <c r="Z111" s="91" t="n">
        <f aca="false">IF($Q111=0,0,IF(COUNTIFS($A$2:$A111,$A111,$Q$2:$Q111,"&gt;0")=1,1,0))</f>
        <v>0</v>
      </c>
      <c r="AA111" s="93" t="n">
        <f aca="false">IF($Q111&gt;0,$A111,"")</f>
        <v>46260</v>
      </c>
      <c r="AB111" s="91" t="n">
        <f aca="false">IF($K111="",0,1)</f>
        <v>0</v>
      </c>
      <c r="AC111" s="91" t="n">
        <f aca="false">IF($L111="",0,1)</f>
        <v>0</v>
      </c>
      <c r="AD111" s="91" t="n">
        <f aca="false">IF($M111="",0,1)</f>
        <v>0</v>
      </c>
      <c r="AE111" s="91" t="n">
        <f aca="false">IF($Q111&gt;0,$D111,"")</f>
        <v>43</v>
      </c>
      <c r="AF111" s="1"/>
      <c r="AG111" s="1"/>
      <c r="AH111" s="1"/>
      <c r="AI111" s="1"/>
      <c r="AJ111" s="1"/>
      <c r="AK111" s="1"/>
      <c r="AL111" s="1"/>
      <c r="AM111" s="1"/>
      <c r="AN111" s="1"/>
    </row>
    <row r="112" customFormat="false" ht="18" hidden="false" customHeight="true" outlineLevel="0" collapsed="false">
      <c r="A112" s="86" t="n">
        <f aca="false">IF(ISNUMBER('Timeline Estacas'!A112),'Timeline Estacas'!A112,"")</f>
        <v>46260</v>
      </c>
      <c r="B112" s="87" t="n">
        <f aca="false">IF($A112="","",$A112)</f>
        <v>46260</v>
      </c>
      <c r="C112" s="88" t="n">
        <f aca="false">IF(ISNUMBER('Timeline Estacas'!C112),'Timeline Estacas'!C112,"")</f>
        <v>299</v>
      </c>
      <c r="D112" s="88" t="n">
        <f aca="false">IF(ISNUMBER('Timeline Estacas'!D112),'Timeline Estacas'!D112,"")</f>
        <v>43</v>
      </c>
      <c r="E112" s="88" t="str">
        <f aca="false">IF($D112="","","S-"&amp;TEXT($D112,"00"))</f>
        <v>S-43</v>
      </c>
      <c r="F112" s="88" t="n">
        <f aca="false">IF(ISNUMBER('Timeline Estacas'!F112),'Timeline Estacas'!F112,"")</f>
        <v>189</v>
      </c>
      <c r="G112" s="88" t="str">
        <f aca="false">IF($F112="","",IF('Timeline Estacas'!G112&lt;&gt;"",'Timeline Estacas'!G112,'Timeline Estacas'!I112))</f>
        <v>A</v>
      </c>
      <c r="H112" s="88" t="str">
        <f aca="false">IF(ISNUMBER('Timeline Estacas'!H112),'Timeline Estacas'!H112,"")</f>
        <v/>
      </c>
      <c r="I112" s="88" t="str">
        <f aca="false">IF($H112="","",'Timeline Estacas'!I112)</f>
        <v/>
      </c>
      <c r="J112" s="86" t="n">
        <f aca="false">IF(ISNUMBER('Timeline Estacas'!J112),'Timeline Estacas'!J112,"")</f>
        <v>46274</v>
      </c>
      <c r="K112" s="88" t="str">
        <f aca="false">IF('Timeline Estacas'!K112="","",'Timeline Estacas'!K112)</f>
        <v/>
      </c>
      <c r="L112" s="88" t="str">
        <f aca="false">IF('Timeline Estacas'!L112="","",'Timeline Estacas'!L112)</f>
        <v/>
      </c>
      <c r="M112" s="88" t="str">
        <f aca="false">IF('Timeline Estacas'!M112="","",'Timeline Estacas'!M112)</f>
        <v/>
      </c>
      <c r="N112" s="89" t="str">
        <f aca="false">IF('Timeline Estacas'!N112="","",'Timeline Estacas'!N112)</f>
        <v/>
      </c>
      <c r="O112" s="90" t="str">
        <f aca="false">IF(ISNUMBER('Timeline Estacas'!O112),'Timeline Estacas'!O112,"")</f>
        <v/>
      </c>
      <c r="P112" s="91" t="n">
        <f aca="false">IF($Q112&gt;0,1,0)</f>
        <v>1</v>
      </c>
      <c r="Q112" s="91" t="n">
        <f aca="false">IF($F112="",0,1)+IF($H112="",0,1)</f>
        <v>1</v>
      </c>
      <c r="R112" s="91" t="n">
        <f aca="false">IF($N112="",0,1)</f>
        <v>0</v>
      </c>
      <c r="S112" s="91" t="n">
        <f aca="false">IF($F112="",0,1)</f>
        <v>1</v>
      </c>
      <c r="T112" s="91" t="n">
        <f aca="false">IF($H112="",0,1)</f>
        <v>0</v>
      </c>
      <c r="U112" s="91" t="n">
        <f aca="false">IF($J112="",0,1)</f>
        <v>1</v>
      </c>
      <c r="V112" s="91" t="n">
        <f aca="true">IF($J112="",0,IF($J112&lt;=TODAY(),1,0))</f>
        <v>0</v>
      </c>
      <c r="W112" s="92" t="n">
        <f aca="false">IF($O112="",0,$O112)</f>
        <v>0</v>
      </c>
      <c r="X112" s="91" t="str">
        <f aca="false">IF($R112=1,SUM($R$2:$R112),"")</f>
        <v/>
      </c>
      <c r="Y112" s="91" t="n">
        <f aca="false">IF($F112="",0,IF(COUNTIF($F$2:$F112,$F112)+COUNTIF($H$2:$H112,$F112)&gt;1,1,0))+IF($H112="",0,IF(COUNTIF($F$2:$F112,$H112)+COUNTIF($H$2:$H112,$H112)&gt;1,1,0))</f>
        <v>0</v>
      </c>
      <c r="Z112" s="91" t="n">
        <f aca="false">IF($Q112=0,0,IF(COUNTIFS($A$2:$A112,$A112,$Q$2:$Q112,"&gt;0")=1,1,0))</f>
        <v>0</v>
      </c>
      <c r="AA112" s="93" t="n">
        <f aca="false">IF($Q112&gt;0,$A112,"")</f>
        <v>46260</v>
      </c>
      <c r="AB112" s="91" t="n">
        <f aca="false">IF($K112="",0,1)</f>
        <v>0</v>
      </c>
      <c r="AC112" s="91" t="n">
        <f aca="false">IF($L112="",0,1)</f>
        <v>0</v>
      </c>
      <c r="AD112" s="91" t="n">
        <f aca="false">IF($M112="",0,1)</f>
        <v>0</v>
      </c>
      <c r="AE112" s="91" t="n">
        <f aca="false">IF($Q112&gt;0,$D112,"")</f>
        <v>43</v>
      </c>
      <c r="AF112" s="1"/>
      <c r="AG112" s="1"/>
      <c r="AH112" s="1"/>
      <c r="AI112" s="1"/>
      <c r="AJ112" s="1"/>
      <c r="AK112" s="1"/>
      <c r="AL112" s="1"/>
      <c r="AM112" s="1"/>
      <c r="AN112" s="1"/>
    </row>
    <row r="113" customFormat="false" ht="18" hidden="false" customHeight="true" outlineLevel="0" collapsed="false">
      <c r="A113" s="86" t="n">
        <f aca="false">IF(ISNUMBER('Timeline Estacas'!A113),'Timeline Estacas'!A113,"")</f>
        <v>46260</v>
      </c>
      <c r="B113" s="87" t="n">
        <f aca="false">IF($A113="","",$A113)</f>
        <v>46260</v>
      </c>
      <c r="C113" s="88" t="n">
        <f aca="false">IF(ISNUMBER('Timeline Estacas'!C113),'Timeline Estacas'!C113,"")</f>
        <v>300</v>
      </c>
      <c r="D113" s="88" t="n">
        <f aca="false">IF(ISNUMBER('Timeline Estacas'!D113),'Timeline Estacas'!D113,"")</f>
        <v>43</v>
      </c>
      <c r="E113" s="88" t="str">
        <f aca="false">IF($D113="","","S-"&amp;TEXT($D113,"00"))</f>
        <v>S-43</v>
      </c>
      <c r="F113" s="88" t="n">
        <f aca="false">IF(ISNUMBER('Timeline Estacas'!F113),'Timeline Estacas'!F113,"")</f>
        <v>191</v>
      </c>
      <c r="G113" s="88" t="str">
        <f aca="false">IF($F113="","",IF('Timeline Estacas'!G113&lt;&gt;"",'Timeline Estacas'!G113,'Timeline Estacas'!I113))</f>
        <v>A</v>
      </c>
      <c r="H113" s="88" t="str">
        <f aca="false">IF(ISNUMBER('Timeline Estacas'!H113),'Timeline Estacas'!H113,"")</f>
        <v/>
      </c>
      <c r="I113" s="88" t="str">
        <f aca="false">IF($H113="","",'Timeline Estacas'!I113)</f>
        <v/>
      </c>
      <c r="J113" s="86" t="n">
        <f aca="false">IF(ISNUMBER('Timeline Estacas'!J113),'Timeline Estacas'!J113,"")</f>
        <v>46274</v>
      </c>
      <c r="K113" s="88" t="str">
        <f aca="false">IF('Timeline Estacas'!K113="","",'Timeline Estacas'!K113)</f>
        <v/>
      </c>
      <c r="L113" s="88" t="str">
        <f aca="false">IF('Timeline Estacas'!L113="","",'Timeline Estacas'!L113)</f>
        <v/>
      </c>
      <c r="M113" s="88" t="str">
        <f aca="false">IF('Timeline Estacas'!M113="","",'Timeline Estacas'!M113)</f>
        <v/>
      </c>
      <c r="N113" s="89" t="str">
        <f aca="false">IF('Timeline Estacas'!N113="","",'Timeline Estacas'!N113)</f>
        <v/>
      </c>
      <c r="O113" s="90" t="str">
        <f aca="false">IF(ISNUMBER('Timeline Estacas'!O113),'Timeline Estacas'!O113,"")</f>
        <v/>
      </c>
      <c r="P113" s="91" t="n">
        <f aca="false">IF($Q113&gt;0,1,0)</f>
        <v>1</v>
      </c>
      <c r="Q113" s="91" t="n">
        <f aca="false">IF($F113="",0,1)+IF($H113="",0,1)</f>
        <v>1</v>
      </c>
      <c r="R113" s="91" t="n">
        <f aca="false">IF($N113="",0,1)</f>
        <v>0</v>
      </c>
      <c r="S113" s="91" t="n">
        <f aca="false">IF($F113="",0,1)</f>
        <v>1</v>
      </c>
      <c r="T113" s="91" t="n">
        <f aca="false">IF($H113="",0,1)</f>
        <v>0</v>
      </c>
      <c r="U113" s="91" t="n">
        <f aca="false">IF($J113="",0,1)</f>
        <v>1</v>
      </c>
      <c r="V113" s="91" t="n">
        <f aca="true">IF($J113="",0,IF($J113&lt;=TODAY(),1,0))</f>
        <v>0</v>
      </c>
      <c r="W113" s="92" t="n">
        <f aca="false">IF($O113="",0,$O113)</f>
        <v>0</v>
      </c>
      <c r="X113" s="91" t="str">
        <f aca="false">IF($R113=1,SUM($R$2:$R113),"")</f>
        <v/>
      </c>
      <c r="Y113" s="91" t="n">
        <f aca="false">IF($F113="",0,IF(COUNTIF($F$2:$F113,$F113)+COUNTIF($H$2:$H113,$F113)&gt;1,1,0))+IF($H113="",0,IF(COUNTIF($F$2:$F113,$H113)+COUNTIF($H$2:$H113,$H113)&gt;1,1,0))</f>
        <v>0</v>
      </c>
      <c r="Z113" s="91" t="n">
        <f aca="false">IF($Q113=0,0,IF(COUNTIFS($A$2:$A113,$A113,$Q$2:$Q113,"&gt;0")=1,1,0))</f>
        <v>0</v>
      </c>
      <c r="AA113" s="93" t="n">
        <f aca="false">IF($Q113&gt;0,$A113,"")</f>
        <v>46260</v>
      </c>
      <c r="AB113" s="91" t="n">
        <f aca="false">IF($K113="",0,1)</f>
        <v>0</v>
      </c>
      <c r="AC113" s="91" t="n">
        <f aca="false">IF($L113="",0,1)</f>
        <v>0</v>
      </c>
      <c r="AD113" s="91" t="n">
        <f aca="false">IF($M113="",0,1)</f>
        <v>0</v>
      </c>
      <c r="AE113" s="91" t="n">
        <f aca="false">IF($Q113&gt;0,$D113,"")</f>
        <v>43</v>
      </c>
      <c r="AF113" s="1"/>
      <c r="AG113" s="1"/>
      <c r="AH113" s="1"/>
      <c r="AI113" s="1"/>
      <c r="AJ113" s="1"/>
      <c r="AK113" s="1"/>
      <c r="AL113" s="1"/>
      <c r="AM113" s="1"/>
      <c r="AN113" s="1"/>
    </row>
    <row r="114" customFormat="false" ht="18" hidden="false" customHeight="true" outlineLevel="0" collapsed="false">
      <c r="A114" s="86" t="n">
        <f aca="false">IF(ISNUMBER('Timeline Estacas'!A114),'Timeline Estacas'!A114,"")</f>
        <v>46260</v>
      </c>
      <c r="B114" s="87" t="n">
        <f aca="false">IF($A114="","",$A114)</f>
        <v>46260</v>
      </c>
      <c r="C114" s="88" t="n">
        <f aca="false">IF(ISNUMBER('Timeline Estacas'!C114),'Timeline Estacas'!C114,"")</f>
        <v>299</v>
      </c>
      <c r="D114" s="88" t="n">
        <f aca="false">IF(ISNUMBER('Timeline Estacas'!D114),'Timeline Estacas'!D114,"")</f>
        <v>43</v>
      </c>
      <c r="E114" s="88" t="str">
        <f aca="false">IF($D114="","","S-"&amp;TEXT($D114,"00"))</f>
        <v>S-43</v>
      </c>
      <c r="F114" s="88" t="n">
        <f aca="false">IF(ISNUMBER('Timeline Estacas'!F114),'Timeline Estacas'!F114,"")</f>
        <v>193</v>
      </c>
      <c r="G114" s="88" t="str">
        <f aca="false">IF($F114="","",IF('Timeline Estacas'!G114&lt;&gt;"",'Timeline Estacas'!G114,'Timeline Estacas'!I114))</f>
        <v>A</v>
      </c>
      <c r="H114" s="88" t="str">
        <f aca="false">IF(ISNUMBER('Timeline Estacas'!H114),'Timeline Estacas'!H114,"")</f>
        <v/>
      </c>
      <c r="I114" s="88" t="str">
        <f aca="false">IF($H114="","",'Timeline Estacas'!I114)</f>
        <v/>
      </c>
      <c r="J114" s="86" t="n">
        <f aca="false">IF(ISNUMBER('Timeline Estacas'!J114),'Timeline Estacas'!J114,"")</f>
        <v>46274</v>
      </c>
      <c r="K114" s="88" t="str">
        <f aca="false">IF('Timeline Estacas'!K114="","",'Timeline Estacas'!K114)</f>
        <v/>
      </c>
      <c r="L114" s="88" t="str">
        <f aca="false">IF('Timeline Estacas'!L114="","",'Timeline Estacas'!L114)</f>
        <v/>
      </c>
      <c r="M114" s="88" t="str">
        <f aca="false">IF('Timeline Estacas'!M114="","",'Timeline Estacas'!M114)</f>
        <v/>
      </c>
      <c r="N114" s="89" t="str">
        <f aca="false">IF('Timeline Estacas'!N114="","",'Timeline Estacas'!N114)</f>
        <v/>
      </c>
      <c r="O114" s="90" t="str">
        <f aca="false">IF(ISNUMBER('Timeline Estacas'!O114),'Timeline Estacas'!O114,"")</f>
        <v/>
      </c>
      <c r="P114" s="91" t="n">
        <f aca="false">IF($Q114&gt;0,1,0)</f>
        <v>1</v>
      </c>
      <c r="Q114" s="91" t="n">
        <f aca="false">IF($F114="",0,1)+IF($H114="",0,1)</f>
        <v>1</v>
      </c>
      <c r="R114" s="91" t="n">
        <f aca="false">IF($N114="",0,1)</f>
        <v>0</v>
      </c>
      <c r="S114" s="91" t="n">
        <f aca="false">IF($F114="",0,1)</f>
        <v>1</v>
      </c>
      <c r="T114" s="91" t="n">
        <f aca="false">IF($H114="",0,1)</f>
        <v>0</v>
      </c>
      <c r="U114" s="91" t="n">
        <f aca="false">IF($J114="",0,1)</f>
        <v>1</v>
      </c>
      <c r="V114" s="91" t="n">
        <f aca="true">IF($J114="",0,IF($J114&lt;=TODAY(),1,0))</f>
        <v>0</v>
      </c>
      <c r="W114" s="92" t="n">
        <f aca="false">IF($O114="",0,$O114)</f>
        <v>0</v>
      </c>
      <c r="X114" s="91" t="str">
        <f aca="false">IF($R114=1,SUM($R$2:$R114),"")</f>
        <v/>
      </c>
      <c r="Y114" s="91" t="n">
        <f aca="false">IF($F114="",0,IF(COUNTIF($F$2:$F114,$F114)+COUNTIF($H$2:$H114,$F114)&gt;1,1,0))+IF($H114="",0,IF(COUNTIF($F$2:$F114,$H114)+COUNTIF($H$2:$H114,$H114)&gt;1,1,0))</f>
        <v>0</v>
      </c>
      <c r="Z114" s="91" t="n">
        <f aca="false">IF($Q114=0,0,IF(COUNTIFS($A$2:$A114,$A114,$Q$2:$Q114,"&gt;0")=1,1,0))</f>
        <v>0</v>
      </c>
      <c r="AA114" s="93" t="n">
        <f aca="false">IF($Q114&gt;0,$A114,"")</f>
        <v>46260</v>
      </c>
      <c r="AB114" s="91" t="n">
        <f aca="false">IF($K114="",0,1)</f>
        <v>0</v>
      </c>
      <c r="AC114" s="91" t="n">
        <f aca="false">IF($L114="",0,1)</f>
        <v>0</v>
      </c>
      <c r="AD114" s="91" t="n">
        <f aca="false">IF($M114="",0,1)</f>
        <v>0</v>
      </c>
      <c r="AE114" s="91" t="n">
        <f aca="false">IF($Q114&gt;0,$D114,"")</f>
        <v>43</v>
      </c>
      <c r="AF114" s="1"/>
      <c r="AG114" s="1"/>
      <c r="AH114" s="1"/>
      <c r="AI114" s="1"/>
      <c r="AJ114" s="1"/>
      <c r="AK114" s="1"/>
      <c r="AL114" s="1"/>
      <c r="AM114" s="1"/>
      <c r="AN114" s="1"/>
    </row>
    <row r="115" customFormat="false" ht="18" hidden="false" customHeight="true" outlineLevel="0" collapsed="false">
      <c r="A115" s="86" t="n">
        <f aca="false">IF(ISNUMBER('Timeline Estacas'!A115),'Timeline Estacas'!A115,"")</f>
        <v>46260</v>
      </c>
      <c r="B115" s="87" t="n">
        <f aca="false">IF($A115="","",$A115)</f>
        <v>46260</v>
      </c>
      <c r="C115" s="88" t="n">
        <f aca="false">IF(ISNUMBER('Timeline Estacas'!C115),'Timeline Estacas'!C115,"")</f>
        <v>299</v>
      </c>
      <c r="D115" s="88" t="n">
        <f aca="false">IF(ISNUMBER('Timeline Estacas'!D115),'Timeline Estacas'!D115,"")</f>
        <v>43</v>
      </c>
      <c r="E115" s="88" t="str">
        <f aca="false">IF($D115="","","S-"&amp;TEXT($D115,"00"))</f>
        <v>S-43</v>
      </c>
      <c r="F115" s="88" t="n">
        <f aca="false">IF(ISNUMBER('Timeline Estacas'!F115),'Timeline Estacas'!F115,"")</f>
        <v>195</v>
      </c>
      <c r="G115" s="88" t="str">
        <f aca="false">IF($F115="","",IF('Timeline Estacas'!G115&lt;&gt;"",'Timeline Estacas'!G115,'Timeline Estacas'!I115))</f>
        <v>A</v>
      </c>
      <c r="H115" s="88" t="str">
        <f aca="false">IF(ISNUMBER('Timeline Estacas'!H115),'Timeline Estacas'!H115,"")</f>
        <v/>
      </c>
      <c r="I115" s="88" t="str">
        <f aca="false">IF($H115="","",'Timeline Estacas'!I115)</f>
        <v/>
      </c>
      <c r="J115" s="86" t="n">
        <f aca="false">IF(ISNUMBER('Timeline Estacas'!J115),'Timeline Estacas'!J115,"")</f>
        <v>46274</v>
      </c>
      <c r="K115" s="88" t="str">
        <f aca="false">IF('Timeline Estacas'!K115="","",'Timeline Estacas'!K115)</f>
        <v/>
      </c>
      <c r="L115" s="88" t="str">
        <f aca="false">IF('Timeline Estacas'!L115="","",'Timeline Estacas'!L115)</f>
        <v/>
      </c>
      <c r="M115" s="88" t="str">
        <f aca="false">IF('Timeline Estacas'!M115="","",'Timeline Estacas'!M115)</f>
        <v/>
      </c>
      <c r="N115" s="89" t="str">
        <f aca="false">IF('Timeline Estacas'!N115="","",'Timeline Estacas'!N115)</f>
        <v/>
      </c>
      <c r="O115" s="90" t="str">
        <f aca="false">IF(ISNUMBER('Timeline Estacas'!O115),'Timeline Estacas'!O115,"")</f>
        <v/>
      </c>
      <c r="P115" s="91" t="n">
        <f aca="false">IF($Q115&gt;0,1,0)</f>
        <v>1</v>
      </c>
      <c r="Q115" s="91" t="n">
        <f aca="false">IF($F115="",0,1)+IF($H115="",0,1)</f>
        <v>1</v>
      </c>
      <c r="R115" s="91" t="n">
        <f aca="false">IF($N115="",0,1)</f>
        <v>0</v>
      </c>
      <c r="S115" s="91" t="n">
        <f aca="false">IF($F115="",0,1)</f>
        <v>1</v>
      </c>
      <c r="T115" s="91" t="n">
        <f aca="false">IF($H115="",0,1)</f>
        <v>0</v>
      </c>
      <c r="U115" s="91" t="n">
        <f aca="false">IF($J115="",0,1)</f>
        <v>1</v>
      </c>
      <c r="V115" s="91" t="n">
        <f aca="true">IF($J115="",0,IF($J115&lt;=TODAY(),1,0))</f>
        <v>0</v>
      </c>
      <c r="W115" s="92" t="n">
        <f aca="false">IF($O115="",0,$O115)</f>
        <v>0</v>
      </c>
      <c r="X115" s="91" t="str">
        <f aca="false">IF($R115=1,SUM($R$2:$R115),"")</f>
        <v/>
      </c>
      <c r="Y115" s="91" t="n">
        <f aca="false">IF($F115="",0,IF(COUNTIF($F$2:$F115,$F115)+COUNTIF($H$2:$H115,$F115)&gt;1,1,0))+IF($H115="",0,IF(COUNTIF($F$2:$F115,$H115)+COUNTIF($H$2:$H115,$H115)&gt;1,1,0))</f>
        <v>0</v>
      </c>
      <c r="Z115" s="91" t="n">
        <f aca="false">IF($Q115=0,0,IF(COUNTIFS($A$2:$A115,$A115,$Q$2:$Q115,"&gt;0")=1,1,0))</f>
        <v>0</v>
      </c>
      <c r="AA115" s="93" t="n">
        <f aca="false">IF($Q115&gt;0,$A115,"")</f>
        <v>46260</v>
      </c>
      <c r="AB115" s="91" t="n">
        <f aca="false">IF($K115="",0,1)</f>
        <v>0</v>
      </c>
      <c r="AC115" s="91" t="n">
        <f aca="false">IF($L115="",0,1)</f>
        <v>0</v>
      </c>
      <c r="AD115" s="91" t="n">
        <f aca="false">IF($M115="",0,1)</f>
        <v>0</v>
      </c>
      <c r="AE115" s="91" t="n">
        <f aca="false">IF($Q115&gt;0,$D115,"")</f>
        <v>43</v>
      </c>
      <c r="AF115" s="1"/>
      <c r="AG115" s="1"/>
      <c r="AH115" s="1"/>
      <c r="AI115" s="1"/>
      <c r="AJ115" s="1"/>
      <c r="AK115" s="1"/>
      <c r="AL115" s="1"/>
      <c r="AM115" s="1"/>
      <c r="AN115" s="1"/>
    </row>
    <row r="116" customFormat="false" ht="18" hidden="false" customHeight="true" outlineLevel="0" collapsed="false">
      <c r="A116" s="86" t="n">
        <f aca="false">IF(ISNUMBER('Timeline Estacas'!A116),'Timeline Estacas'!A116,"")</f>
        <v>46260</v>
      </c>
      <c r="B116" s="87" t="n">
        <f aca="false">IF($A116="","",$A116)</f>
        <v>46260</v>
      </c>
      <c r="C116" s="88" t="n">
        <f aca="false">IF(ISNUMBER('Timeline Estacas'!C116),'Timeline Estacas'!C116,"")</f>
        <v>300</v>
      </c>
      <c r="D116" s="88" t="n">
        <f aca="false">IF(ISNUMBER('Timeline Estacas'!D116),'Timeline Estacas'!D116,"")</f>
        <v>43</v>
      </c>
      <c r="E116" s="88" t="str">
        <f aca="false">IF($D116="","","S-"&amp;TEXT($D116,"00"))</f>
        <v>S-43</v>
      </c>
      <c r="F116" s="88" t="n">
        <f aca="false">IF(ISNUMBER('Timeline Estacas'!F116),'Timeline Estacas'!F116,"")</f>
        <v>197</v>
      </c>
      <c r="G116" s="88" t="str">
        <f aca="false">IF($F116="","",IF('Timeline Estacas'!G116&lt;&gt;"",'Timeline Estacas'!G116,'Timeline Estacas'!I116))</f>
        <v>A</v>
      </c>
      <c r="H116" s="88" t="str">
        <f aca="false">IF(ISNUMBER('Timeline Estacas'!H116),'Timeline Estacas'!H116,"")</f>
        <v/>
      </c>
      <c r="I116" s="88" t="str">
        <f aca="false">IF($H116="","",'Timeline Estacas'!I116)</f>
        <v/>
      </c>
      <c r="J116" s="86" t="n">
        <f aca="false">IF(ISNUMBER('Timeline Estacas'!J116),'Timeline Estacas'!J116,"")</f>
        <v>46274</v>
      </c>
      <c r="K116" s="88" t="str">
        <f aca="false">IF('Timeline Estacas'!K116="","",'Timeline Estacas'!K116)</f>
        <v/>
      </c>
      <c r="L116" s="88" t="str">
        <f aca="false">IF('Timeline Estacas'!L116="","",'Timeline Estacas'!L116)</f>
        <v/>
      </c>
      <c r="M116" s="88" t="str">
        <f aca="false">IF('Timeline Estacas'!M116="","",'Timeline Estacas'!M116)</f>
        <v/>
      </c>
      <c r="N116" s="89" t="str">
        <f aca="false">IF('Timeline Estacas'!N116="","",'Timeline Estacas'!N116)</f>
        <v/>
      </c>
      <c r="O116" s="90" t="str">
        <f aca="false">IF(ISNUMBER('Timeline Estacas'!O116),'Timeline Estacas'!O116,"")</f>
        <v/>
      </c>
      <c r="P116" s="91" t="n">
        <f aca="false">IF($Q116&gt;0,1,0)</f>
        <v>1</v>
      </c>
      <c r="Q116" s="91" t="n">
        <f aca="false">IF($F116="",0,1)+IF($H116="",0,1)</f>
        <v>1</v>
      </c>
      <c r="R116" s="91" t="n">
        <f aca="false">IF($N116="",0,1)</f>
        <v>0</v>
      </c>
      <c r="S116" s="91" t="n">
        <f aca="false">IF($F116="",0,1)</f>
        <v>1</v>
      </c>
      <c r="T116" s="91" t="n">
        <f aca="false">IF($H116="",0,1)</f>
        <v>0</v>
      </c>
      <c r="U116" s="91" t="n">
        <f aca="false">IF($J116="",0,1)</f>
        <v>1</v>
      </c>
      <c r="V116" s="91" t="n">
        <f aca="true">IF($J116="",0,IF($J116&lt;=TODAY(),1,0))</f>
        <v>0</v>
      </c>
      <c r="W116" s="92" t="n">
        <f aca="false">IF($O116="",0,$O116)</f>
        <v>0</v>
      </c>
      <c r="X116" s="91" t="str">
        <f aca="false">IF($R116=1,SUM($R$2:$R116),"")</f>
        <v/>
      </c>
      <c r="Y116" s="91" t="n">
        <f aca="false">IF($F116="",0,IF(COUNTIF($F$2:$F116,$F116)+COUNTIF($H$2:$H116,$F116)&gt;1,1,0))+IF($H116="",0,IF(COUNTIF($F$2:$F116,$H116)+COUNTIF($H$2:$H116,$H116)&gt;1,1,0))</f>
        <v>0</v>
      </c>
      <c r="Z116" s="91" t="n">
        <f aca="false">IF($Q116=0,0,IF(COUNTIFS($A$2:$A116,$A116,$Q$2:$Q116,"&gt;0")=1,1,0))</f>
        <v>0</v>
      </c>
      <c r="AA116" s="93" t="n">
        <f aca="false">IF($Q116&gt;0,$A116,"")</f>
        <v>46260</v>
      </c>
      <c r="AB116" s="91" t="n">
        <f aca="false">IF($K116="",0,1)</f>
        <v>0</v>
      </c>
      <c r="AC116" s="91" t="n">
        <f aca="false">IF($L116="",0,1)</f>
        <v>0</v>
      </c>
      <c r="AD116" s="91" t="n">
        <f aca="false">IF($M116="",0,1)</f>
        <v>0</v>
      </c>
      <c r="AE116" s="91" t="n">
        <f aca="false">IF($Q116&gt;0,$D116,"")</f>
        <v>43</v>
      </c>
      <c r="AF116" s="1"/>
      <c r="AG116" s="1"/>
      <c r="AH116" s="1"/>
      <c r="AI116" s="1"/>
      <c r="AJ116" s="1"/>
      <c r="AK116" s="1"/>
      <c r="AL116" s="1"/>
      <c r="AM116" s="1"/>
      <c r="AN116" s="1"/>
    </row>
    <row r="117" customFormat="false" ht="18" hidden="false" customHeight="true" outlineLevel="0" collapsed="false">
      <c r="A117" s="86" t="n">
        <f aca="false">IF(ISNUMBER('Timeline Estacas'!A117),'Timeline Estacas'!A117,"")</f>
        <v>46261</v>
      </c>
      <c r="B117" s="87" t="n">
        <f aca="false">IF($A117="","",$A117)</f>
        <v>46261</v>
      </c>
      <c r="C117" s="88" t="str">
        <f aca="false">IF(ISNUMBER('Timeline Estacas'!C117),'Timeline Estacas'!C117,"")</f>
        <v/>
      </c>
      <c r="D117" s="88" t="n">
        <f aca="false">IF(ISNUMBER('Timeline Estacas'!D117),'Timeline Estacas'!D117,"")</f>
        <v>43</v>
      </c>
      <c r="E117" s="88" t="str">
        <f aca="false">IF($D117="","","S-"&amp;TEXT($D117,"00"))</f>
        <v>S-43</v>
      </c>
      <c r="F117" s="88" t="str">
        <f aca="false">IF(ISNUMBER('Timeline Estacas'!F117),'Timeline Estacas'!F117,"")</f>
        <v/>
      </c>
      <c r="G117" s="88" t="str">
        <f aca="false">IF($F117="","",IF('Timeline Estacas'!G117&lt;&gt;"",'Timeline Estacas'!G117,'Timeline Estacas'!I117))</f>
        <v/>
      </c>
      <c r="H117" s="88" t="str">
        <f aca="false">IF(ISNUMBER('Timeline Estacas'!H117),'Timeline Estacas'!H117,"")</f>
        <v/>
      </c>
      <c r="I117" s="88" t="str">
        <f aca="false">IF($H117="","",'Timeline Estacas'!I117)</f>
        <v/>
      </c>
      <c r="J117" s="86" t="str">
        <f aca="false">IF(ISNUMBER('Timeline Estacas'!J117),'Timeline Estacas'!J117,"")</f>
        <v/>
      </c>
      <c r="K117" s="88" t="str">
        <f aca="false">IF('Timeline Estacas'!K117="","",'Timeline Estacas'!K117)</f>
        <v/>
      </c>
      <c r="L117" s="88" t="str">
        <f aca="false">IF('Timeline Estacas'!L117="","",'Timeline Estacas'!L117)</f>
        <v/>
      </c>
      <c r="M117" s="88" t="str">
        <f aca="false">IF('Timeline Estacas'!M117="","",'Timeline Estacas'!M117)</f>
        <v/>
      </c>
      <c r="N117" s="89" t="str">
        <f aca="false">IF('Timeline Estacas'!N117="","",'Timeline Estacas'!N117)</f>
        <v/>
      </c>
      <c r="O117" s="90" t="str">
        <f aca="false">IF(ISNUMBER('Timeline Estacas'!O117),'Timeline Estacas'!O117,"")</f>
        <v/>
      </c>
      <c r="P117" s="91" t="n">
        <f aca="false">IF($Q117&gt;0,1,0)</f>
        <v>0</v>
      </c>
      <c r="Q117" s="91" t="n">
        <f aca="false">IF($F117="",0,1)+IF($H117="",0,1)</f>
        <v>0</v>
      </c>
      <c r="R117" s="91" t="n">
        <f aca="false">IF($N117="",0,1)</f>
        <v>0</v>
      </c>
      <c r="S117" s="91" t="n">
        <f aca="false">IF($F117="",0,1)</f>
        <v>0</v>
      </c>
      <c r="T117" s="91" t="n">
        <f aca="false">IF($H117="",0,1)</f>
        <v>0</v>
      </c>
      <c r="U117" s="91" t="n">
        <f aca="false">IF($J117="",0,1)</f>
        <v>0</v>
      </c>
      <c r="V117" s="91" t="n">
        <f aca="true">IF($J117="",0,IF($J117&lt;=TODAY(),1,0))</f>
        <v>0</v>
      </c>
      <c r="W117" s="92" t="n">
        <f aca="false">IF($O117="",0,$O117)</f>
        <v>0</v>
      </c>
      <c r="X117" s="91" t="str">
        <f aca="false">IF($R117=1,SUM($R$2:$R117),"")</f>
        <v/>
      </c>
      <c r="Y117" s="91" t="n">
        <f aca="false">IF($F117="",0,IF(COUNTIF($F$2:$F117,$F117)+COUNTIF($H$2:$H117,$F117)&gt;1,1,0))+IF($H117="",0,IF(COUNTIF($F$2:$F117,$H117)+COUNTIF($H$2:$H117,$H117)&gt;1,1,0))</f>
        <v>0</v>
      </c>
      <c r="Z117" s="91" t="n">
        <f aca="false">IF($Q117=0,0,IF(COUNTIFS($A$2:$A117,$A117,$Q$2:$Q117,"&gt;0")=1,1,0))</f>
        <v>0</v>
      </c>
      <c r="AA117" s="93" t="str">
        <f aca="false">IF($Q117&gt;0,$A117,"")</f>
        <v/>
      </c>
      <c r="AB117" s="91" t="n">
        <f aca="false">IF($K117="",0,1)</f>
        <v>0</v>
      </c>
      <c r="AC117" s="91" t="n">
        <f aca="false">IF($L117="",0,1)</f>
        <v>0</v>
      </c>
      <c r="AD117" s="91" t="n">
        <f aca="false">IF($M117="",0,1)</f>
        <v>0</v>
      </c>
      <c r="AE117" s="91" t="str">
        <f aca="false">IF($Q117&gt;0,$D117,"")</f>
        <v/>
      </c>
      <c r="AF117" s="1"/>
      <c r="AG117" s="1"/>
      <c r="AH117" s="1"/>
      <c r="AI117" s="1"/>
      <c r="AJ117" s="1"/>
      <c r="AK117" s="1"/>
      <c r="AL117" s="1"/>
      <c r="AM117" s="1"/>
      <c r="AN117" s="1"/>
    </row>
    <row r="118" customFormat="false" ht="18" hidden="false" customHeight="true" outlineLevel="0" collapsed="false">
      <c r="A118" s="86" t="n">
        <f aca="false">IF(ISNUMBER('Timeline Estacas'!A118),'Timeline Estacas'!A118,"")</f>
        <v>46262</v>
      </c>
      <c r="B118" s="87" t="n">
        <f aca="false">IF($A118="","",$A118)</f>
        <v>46262</v>
      </c>
      <c r="C118" s="88" t="str">
        <f aca="false">IF(ISNUMBER('Timeline Estacas'!C118),'Timeline Estacas'!C118,"")</f>
        <v/>
      </c>
      <c r="D118" s="88" t="n">
        <f aca="false">IF(ISNUMBER('Timeline Estacas'!D118),'Timeline Estacas'!D118,"")</f>
        <v>44</v>
      </c>
      <c r="E118" s="88" t="str">
        <f aca="false">IF($D118="","","S-"&amp;TEXT($D118,"00"))</f>
        <v>S-44</v>
      </c>
      <c r="F118" s="88" t="str">
        <f aca="false">IF(ISNUMBER('Timeline Estacas'!F118),'Timeline Estacas'!F118,"")</f>
        <v/>
      </c>
      <c r="G118" s="88" t="str">
        <f aca="false">IF($F118="","",IF('Timeline Estacas'!G118&lt;&gt;"",'Timeline Estacas'!G118,'Timeline Estacas'!I118))</f>
        <v/>
      </c>
      <c r="H118" s="88" t="str">
        <f aca="false">IF(ISNUMBER('Timeline Estacas'!H118),'Timeline Estacas'!H118,"")</f>
        <v/>
      </c>
      <c r="I118" s="88" t="str">
        <f aca="false">IF($H118="","",'Timeline Estacas'!I118)</f>
        <v/>
      </c>
      <c r="J118" s="86" t="str">
        <f aca="false">IF(ISNUMBER('Timeline Estacas'!J118),'Timeline Estacas'!J118,"")</f>
        <v/>
      </c>
      <c r="K118" s="88" t="str">
        <f aca="false">IF('Timeline Estacas'!K118="","",'Timeline Estacas'!K118)</f>
        <v/>
      </c>
      <c r="L118" s="88" t="str">
        <f aca="false">IF('Timeline Estacas'!L118="","",'Timeline Estacas'!L118)</f>
        <v/>
      </c>
      <c r="M118" s="88" t="str">
        <f aca="false">IF('Timeline Estacas'!M118="","",'Timeline Estacas'!M118)</f>
        <v/>
      </c>
      <c r="N118" s="89" t="str">
        <f aca="false">IF('Timeline Estacas'!N118="","",'Timeline Estacas'!N118)</f>
        <v/>
      </c>
      <c r="O118" s="90" t="str">
        <f aca="false">IF(ISNUMBER('Timeline Estacas'!O118),'Timeline Estacas'!O118,"")</f>
        <v/>
      </c>
      <c r="P118" s="91" t="n">
        <f aca="false">IF($Q118&gt;0,1,0)</f>
        <v>0</v>
      </c>
      <c r="Q118" s="91" t="n">
        <f aca="false">IF($F118="",0,1)+IF($H118="",0,1)</f>
        <v>0</v>
      </c>
      <c r="R118" s="91" t="n">
        <f aca="false">IF($N118="",0,1)</f>
        <v>0</v>
      </c>
      <c r="S118" s="91" t="n">
        <f aca="false">IF($F118="",0,1)</f>
        <v>0</v>
      </c>
      <c r="T118" s="91" t="n">
        <f aca="false">IF($H118="",0,1)</f>
        <v>0</v>
      </c>
      <c r="U118" s="91" t="n">
        <f aca="false">IF($J118="",0,1)</f>
        <v>0</v>
      </c>
      <c r="V118" s="91" t="n">
        <f aca="true">IF($J118="",0,IF($J118&lt;=TODAY(),1,0))</f>
        <v>0</v>
      </c>
      <c r="W118" s="92" t="n">
        <f aca="false">IF($O118="",0,$O118)</f>
        <v>0</v>
      </c>
      <c r="X118" s="91" t="str">
        <f aca="false">IF($R118=1,SUM($R$2:$R118),"")</f>
        <v/>
      </c>
      <c r="Y118" s="91" t="n">
        <f aca="false">IF($F118="",0,IF(COUNTIF($F$2:$F118,$F118)+COUNTIF($H$2:$H118,$F118)&gt;1,1,0))+IF($H118="",0,IF(COUNTIF($F$2:$F118,$H118)+COUNTIF($H$2:$H118,$H118)&gt;1,1,0))</f>
        <v>0</v>
      </c>
      <c r="Z118" s="91" t="n">
        <f aca="false">IF($Q118=0,0,IF(COUNTIFS($A$2:$A118,$A118,$Q$2:$Q118,"&gt;0")=1,1,0))</f>
        <v>0</v>
      </c>
      <c r="AA118" s="93" t="str">
        <f aca="false">IF($Q118&gt;0,$A118,"")</f>
        <v/>
      </c>
      <c r="AB118" s="91" t="n">
        <f aca="false">IF($K118="",0,1)</f>
        <v>0</v>
      </c>
      <c r="AC118" s="91" t="n">
        <f aca="false">IF($L118="",0,1)</f>
        <v>0</v>
      </c>
      <c r="AD118" s="91" t="n">
        <f aca="false">IF($M118="",0,1)</f>
        <v>0</v>
      </c>
      <c r="AE118" s="91" t="str">
        <f aca="false">IF($Q118&gt;0,$D118,"")</f>
        <v/>
      </c>
      <c r="AF118" s="1"/>
      <c r="AG118" s="1"/>
      <c r="AH118" s="1"/>
      <c r="AI118" s="1"/>
      <c r="AJ118" s="1"/>
      <c r="AK118" s="1"/>
      <c r="AL118" s="1"/>
      <c r="AM118" s="1"/>
      <c r="AN118" s="1"/>
    </row>
    <row r="119" customFormat="false" ht="18" hidden="false" customHeight="true" outlineLevel="0" collapsed="false">
      <c r="A119" s="86" t="n">
        <f aca="false">IF(ISNUMBER('Timeline Estacas'!A119),'Timeline Estacas'!A119,"")</f>
        <v>46263</v>
      </c>
      <c r="B119" s="87" t="n">
        <f aca="false">IF($A119="","",$A119)</f>
        <v>46263</v>
      </c>
      <c r="C119" s="88" t="n">
        <f aca="false">IF(ISNUMBER('Timeline Estacas'!C119),'Timeline Estacas'!C119,"")</f>
        <v>302</v>
      </c>
      <c r="D119" s="88" t="n">
        <f aca="false">IF(ISNUMBER('Timeline Estacas'!D119),'Timeline Estacas'!D119,"")</f>
        <v>44</v>
      </c>
      <c r="E119" s="88" t="str">
        <f aca="false">IF($D119="","","S-"&amp;TEXT($D119,"00"))</f>
        <v>S-44</v>
      </c>
      <c r="F119" s="88" t="str">
        <f aca="false">IF(ISNUMBER('Timeline Estacas'!F119),'Timeline Estacas'!F119,"")</f>
        <v/>
      </c>
      <c r="G119" s="88" t="str">
        <f aca="false">IF($F119="","",IF('Timeline Estacas'!G119&lt;&gt;"",'Timeline Estacas'!G119,'Timeline Estacas'!I119))</f>
        <v/>
      </c>
      <c r="H119" s="88" t="str">
        <f aca="false">IF(ISNUMBER('Timeline Estacas'!H119),'Timeline Estacas'!H119,"")</f>
        <v/>
      </c>
      <c r="I119" s="88" t="str">
        <f aca="false">IF($H119="","",'Timeline Estacas'!I119)</f>
        <v/>
      </c>
      <c r="J119" s="86" t="str">
        <f aca="false">IF(ISNUMBER('Timeline Estacas'!J119),'Timeline Estacas'!J119,"")</f>
        <v/>
      </c>
      <c r="K119" s="88" t="str">
        <f aca="false">IF('Timeline Estacas'!K119="","",'Timeline Estacas'!K119)</f>
        <v/>
      </c>
      <c r="L119" s="88" t="str">
        <f aca="false">IF('Timeline Estacas'!L119="","",'Timeline Estacas'!L119)</f>
        <v/>
      </c>
      <c r="M119" s="88" t="str">
        <f aca="false">IF('Timeline Estacas'!M119="","",'Timeline Estacas'!M119)</f>
        <v/>
      </c>
      <c r="N119" s="89" t="str">
        <f aca="false">IF('Timeline Estacas'!N119="","",'Timeline Estacas'!N119)</f>
        <v/>
      </c>
      <c r="O119" s="90" t="str">
        <f aca="false">IF(ISNUMBER('Timeline Estacas'!O119),'Timeline Estacas'!O119,"")</f>
        <v/>
      </c>
      <c r="P119" s="91" t="n">
        <f aca="false">IF($Q119&gt;0,1,0)</f>
        <v>0</v>
      </c>
      <c r="Q119" s="91" t="n">
        <f aca="false">IF($F119="",0,1)+IF($H119="",0,1)</f>
        <v>0</v>
      </c>
      <c r="R119" s="91" t="n">
        <f aca="false">IF($N119="",0,1)</f>
        <v>0</v>
      </c>
      <c r="S119" s="91" t="n">
        <f aca="false">IF($F119="",0,1)</f>
        <v>0</v>
      </c>
      <c r="T119" s="91" t="n">
        <f aca="false">IF($H119="",0,1)</f>
        <v>0</v>
      </c>
      <c r="U119" s="91" t="n">
        <f aca="false">IF($J119="",0,1)</f>
        <v>0</v>
      </c>
      <c r="V119" s="91" t="n">
        <f aca="true">IF($J119="",0,IF($J119&lt;=TODAY(),1,0))</f>
        <v>0</v>
      </c>
      <c r="W119" s="92" t="n">
        <f aca="false">IF($O119="",0,$O119)</f>
        <v>0</v>
      </c>
      <c r="X119" s="91" t="str">
        <f aca="false">IF($R119=1,SUM($R$2:$R119),"")</f>
        <v/>
      </c>
      <c r="Y119" s="91" t="n">
        <f aca="false">IF($F119="",0,IF(COUNTIF($F$2:$F119,$F119)+COUNTIF($H$2:$H119,$F119)&gt;1,1,0))+IF($H119="",0,IF(COUNTIF($F$2:$F119,$H119)+COUNTIF($H$2:$H119,$H119)&gt;1,1,0))</f>
        <v>0</v>
      </c>
      <c r="Z119" s="91" t="n">
        <f aca="false">IF($Q119=0,0,IF(COUNTIFS($A$2:$A119,$A119,$Q$2:$Q119,"&gt;0")=1,1,0))</f>
        <v>0</v>
      </c>
      <c r="AA119" s="93" t="str">
        <f aca="false">IF($Q119&gt;0,$A119,"")</f>
        <v/>
      </c>
      <c r="AB119" s="91" t="n">
        <f aca="false">IF($K119="",0,1)</f>
        <v>0</v>
      </c>
      <c r="AC119" s="91" t="n">
        <f aca="false">IF($L119="",0,1)</f>
        <v>0</v>
      </c>
      <c r="AD119" s="91" t="n">
        <f aca="false">IF($M119="",0,1)</f>
        <v>0</v>
      </c>
      <c r="AE119" s="91" t="str">
        <f aca="false">IF($Q119&gt;0,$D119,"")</f>
        <v/>
      </c>
      <c r="AF119" s="1"/>
      <c r="AG119" s="1"/>
      <c r="AH119" s="1"/>
      <c r="AI119" s="1"/>
      <c r="AJ119" s="1"/>
      <c r="AK119" s="1"/>
      <c r="AL119" s="1"/>
      <c r="AM119" s="1"/>
      <c r="AN119" s="1"/>
    </row>
    <row r="120" customFormat="false" ht="18" hidden="false" customHeight="true" outlineLevel="0" collapsed="false">
      <c r="A120" s="86" t="n">
        <f aca="false">IF(ISNUMBER('Timeline Estacas'!A120),'Timeline Estacas'!A120,"")</f>
        <v>46264</v>
      </c>
      <c r="B120" s="87" t="n">
        <f aca="false">IF($A120="","",$A120)</f>
        <v>46264</v>
      </c>
      <c r="C120" s="88" t="n">
        <f aca="false">IF(ISNUMBER('Timeline Estacas'!C120),'Timeline Estacas'!C120,"")</f>
        <v>303</v>
      </c>
      <c r="D120" s="88" t="n">
        <f aca="false">IF(ISNUMBER('Timeline Estacas'!D120),'Timeline Estacas'!D120,"")</f>
        <v>44</v>
      </c>
      <c r="E120" s="88" t="str">
        <f aca="false">IF($D120="","","S-"&amp;TEXT($D120,"00"))</f>
        <v>S-44</v>
      </c>
      <c r="F120" s="88" t="str">
        <f aca="false">IF(ISNUMBER('Timeline Estacas'!F120),'Timeline Estacas'!F120,"")</f>
        <v/>
      </c>
      <c r="G120" s="88" t="str">
        <f aca="false">IF($F120="","",IF('Timeline Estacas'!G120&lt;&gt;"",'Timeline Estacas'!G120,'Timeline Estacas'!I120))</f>
        <v/>
      </c>
      <c r="H120" s="88" t="str">
        <f aca="false">IF(ISNUMBER('Timeline Estacas'!H120),'Timeline Estacas'!H120,"")</f>
        <v/>
      </c>
      <c r="I120" s="88" t="str">
        <f aca="false">IF($H120="","",'Timeline Estacas'!I120)</f>
        <v/>
      </c>
      <c r="J120" s="86" t="str">
        <f aca="false">IF(ISNUMBER('Timeline Estacas'!J120),'Timeline Estacas'!J120,"")</f>
        <v/>
      </c>
      <c r="K120" s="88" t="str">
        <f aca="false">IF('Timeline Estacas'!K120="","",'Timeline Estacas'!K120)</f>
        <v/>
      </c>
      <c r="L120" s="88" t="str">
        <f aca="false">IF('Timeline Estacas'!L120="","",'Timeline Estacas'!L120)</f>
        <v/>
      </c>
      <c r="M120" s="88" t="str">
        <f aca="false">IF('Timeline Estacas'!M120="","",'Timeline Estacas'!M120)</f>
        <v/>
      </c>
      <c r="N120" s="89" t="str">
        <f aca="false">IF('Timeline Estacas'!N120="","",'Timeline Estacas'!N120)</f>
        <v/>
      </c>
      <c r="O120" s="90" t="str">
        <f aca="false">IF(ISNUMBER('Timeline Estacas'!O120),'Timeline Estacas'!O120,"")</f>
        <v/>
      </c>
      <c r="P120" s="91" t="n">
        <f aca="false">IF($Q120&gt;0,1,0)</f>
        <v>0</v>
      </c>
      <c r="Q120" s="91" t="n">
        <f aca="false">IF($F120="",0,1)+IF($H120="",0,1)</f>
        <v>0</v>
      </c>
      <c r="R120" s="91" t="n">
        <f aca="false">IF($N120="",0,1)</f>
        <v>0</v>
      </c>
      <c r="S120" s="91" t="n">
        <f aca="false">IF($F120="",0,1)</f>
        <v>0</v>
      </c>
      <c r="T120" s="91" t="n">
        <f aca="false">IF($H120="",0,1)</f>
        <v>0</v>
      </c>
      <c r="U120" s="91" t="n">
        <f aca="false">IF($J120="",0,1)</f>
        <v>0</v>
      </c>
      <c r="V120" s="91" t="n">
        <f aca="true">IF($J120="",0,IF($J120&lt;=TODAY(),1,0))</f>
        <v>0</v>
      </c>
      <c r="W120" s="92" t="n">
        <f aca="false">IF($O120="",0,$O120)</f>
        <v>0</v>
      </c>
      <c r="X120" s="91" t="str">
        <f aca="false">IF($R120=1,SUM($R$2:$R120),"")</f>
        <v/>
      </c>
      <c r="Y120" s="91" t="n">
        <f aca="false">IF($F120="",0,IF(COUNTIF($F$2:$F120,$F120)+COUNTIF($H$2:$H120,$F120)&gt;1,1,0))+IF($H120="",0,IF(COUNTIF($F$2:$F120,$H120)+COUNTIF($H$2:$H120,$H120)&gt;1,1,0))</f>
        <v>0</v>
      </c>
      <c r="Z120" s="91" t="n">
        <f aca="false">IF($Q120=0,0,IF(COUNTIFS($A$2:$A120,$A120,$Q$2:$Q120,"&gt;0")=1,1,0))</f>
        <v>0</v>
      </c>
      <c r="AA120" s="93" t="str">
        <f aca="false">IF($Q120&gt;0,$A120,"")</f>
        <v/>
      </c>
      <c r="AB120" s="91" t="n">
        <f aca="false">IF($K120="",0,1)</f>
        <v>0</v>
      </c>
      <c r="AC120" s="91" t="n">
        <f aca="false">IF($L120="",0,1)</f>
        <v>0</v>
      </c>
      <c r="AD120" s="91" t="n">
        <f aca="false">IF($M120="",0,1)</f>
        <v>0</v>
      </c>
      <c r="AE120" s="91" t="str">
        <f aca="false">IF($Q120&gt;0,$D120,"")</f>
        <v/>
      </c>
      <c r="AF120" s="1"/>
      <c r="AG120" s="1"/>
      <c r="AH120" s="1"/>
      <c r="AI120" s="1"/>
      <c r="AJ120" s="1"/>
      <c r="AK120" s="1"/>
      <c r="AL120" s="1"/>
      <c r="AM120" s="1"/>
      <c r="AN120" s="1"/>
    </row>
    <row r="121" customFormat="false" ht="18" hidden="false" customHeight="true" outlineLevel="0" collapsed="false">
      <c r="A121" s="86" t="n">
        <f aca="false">IF(ISNUMBER('Timeline Estacas'!A121),'Timeline Estacas'!A121,"")</f>
        <v>46265</v>
      </c>
      <c r="B121" s="87" t="n">
        <f aca="false">IF($A121="","",$A121)</f>
        <v>46265</v>
      </c>
      <c r="C121" s="88" t="n">
        <f aca="false">IF(ISNUMBER('Timeline Estacas'!C121),'Timeline Estacas'!C121,"")</f>
        <v>304</v>
      </c>
      <c r="D121" s="88" t="n">
        <f aca="false">IF(ISNUMBER('Timeline Estacas'!D121),'Timeline Estacas'!D121,"")</f>
        <v>44</v>
      </c>
      <c r="E121" s="88" t="str">
        <f aca="false">IF($D121="","","S-"&amp;TEXT($D121,"00"))</f>
        <v>S-44</v>
      </c>
      <c r="F121" s="88" t="str">
        <f aca="false">IF(ISNUMBER('Timeline Estacas'!F121),'Timeline Estacas'!F121,"")</f>
        <v/>
      </c>
      <c r="G121" s="88" t="str">
        <f aca="false">IF($F121="","",IF('Timeline Estacas'!G121&lt;&gt;"",'Timeline Estacas'!G121,'Timeline Estacas'!I121))</f>
        <v/>
      </c>
      <c r="H121" s="88" t="str">
        <f aca="false">IF(ISNUMBER('Timeline Estacas'!H121),'Timeline Estacas'!H121,"")</f>
        <v/>
      </c>
      <c r="I121" s="88" t="str">
        <f aca="false">IF($H121="","",'Timeline Estacas'!I121)</f>
        <v/>
      </c>
      <c r="J121" s="86" t="str">
        <f aca="false">IF(ISNUMBER('Timeline Estacas'!J121),'Timeline Estacas'!J121,"")</f>
        <v/>
      </c>
      <c r="K121" s="88" t="str">
        <f aca="false">IF('Timeline Estacas'!K121="","",'Timeline Estacas'!K121)</f>
        <v/>
      </c>
      <c r="L121" s="88" t="str">
        <f aca="false">IF('Timeline Estacas'!L121="","",'Timeline Estacas'!L121)</f>
        <v/>
      </c>
      <c r="M121" s="88" t="str">
        <f aca="false">IF('Timeline Estacas'!M121="","",'Timeline Estacas'!M121)</f>
        <v/>
      </c>
      <c r="N121" s="89" t="str">
        <f aca="false">IF('Timeline Estacas'!N121="","",'Timeline Estacas'!N121)</f>
        <v/>
      </c>
      <c r="O121" s="90" t="str">
        <f aca="false">IF(ISNUMBER('Timeline Estacas'!O121),'Timeline Estacas'!O121,"")</f>
        <v/>
      </c>
      <c r="P121" s="91" t="n">
        <f aca="false">IF($Q121&gt;0,1,0)</f>
        <v>0</v>
      </c>
      <c r="Q121" s="91" t="n">
        <f aca="false">IF($F121="",0,1)+IF($H121="",0,1)</f>
        <v>0</v>
      </c>
      <c r="R121" s="91" t="n">
        <f aca="false">IF($N121="",0,1)</f>
        <v>0</v>
      </c>
      <c r="S121" s="91" t="n">
        <f aca="false">IF($F121="",0,1)</f>
        <v>0</v>
      </c>
      <c r="T121" s="91" t="n">
        <f aca="false">IF($H121="",0,1)</f>
        <v>0</v>
      </c>
      <c r="U121" s="91" t="n">
        <f aca="false">IF($J121="",0,1)</f>
        <v>0</v>
      </c>
      <c r="V121" s="91" t="n">
        <f aca="true">IF($J121="",0,IF($J121&lt;=TODAY(),1,0))</f>
        <v>0</v>
      </c>
      <c r="W121" s="92" t="n">
        <f aca="false">IF($O121="",0,$O121)</f>
        <v>0</v>
      </c>
      <c r="X121" s="91" t="str">
        <f aca="false">IF($R121=1,SUM($R$2:$R121),"")</f>
        <v/>
      </c>
      <c r="Y121" s="91" t="n">
        <f aca="false">IF($F121="",0,IF(COUNTIF($F$2:$F121,$F121)+COUNTIF($H$2:$H121,$F121)&gt;1,1,0))+IF($H121="",0,IF(COUNTIF($F$2:$F121,$H121)+COUNTIF($H$2:$H121,$H121)&gt;1,1,0))</f>
        <v>0</v>
      </c>
      <c r="Z121" s="91" t="n">
        <f aca="false">IF($Q121=0,0,IF(COUNTIFS($A$2:$A121,$A121,$Q$2:$Q121,"&gt;0")=1,1,0))</f>
        <v>0</v>
      </c>
      <c r="AA121" s="93" t="str">
        <f aca="false">IF($Q121&gt;0,$A121,"")</f>
        <v/>
      </c>
      <c r="AB121" s="91" t="n">
        <f aca="false">IF($K121="",0,1)</f>
        <v>0</v>
      </c>
      <c r="AC121" s="91" t="n">
        <f aca="false">IF($L121="",0,1)</f>
        <v>0</v>
      </c>
      <c r="AD121" s="91" t="n">
        <f aca="false">IF($M121="",0,1)</f>
        <v>0</v>
      </c>
      <c r="AE121" s="91" t="str">
        <f aca="false">IF($Q121&gt;0,$D121,"")</f>
        <v/>
      </c>
      <c r="AF121" s="1"/>
      <c r="AG121" s="1"/>
      <c r="AH121" s="1"/>
      <c r="AI121" s="1"/>
      <c r="AJ121" s="1"/>
      <c r="AK121" s="1"/>
      <c r="AL121" s="1"/>
      <c r="AM121" s="1"/>
      <c r="AN121" s="1"/>
    </row>
    <row r="122" customFormat="false" ht="18" hidden="false" customHeight="true" outlineLevel="0" collapsed="false">
      <c r="A122" s="86" t="n">
        <f aca="false">IF(ISNUMBER('Timeline Estacas'!A122),'Timeline Estacas'!A122,"")</f>
        <v>46266</v>
      </c>
      <c r="B122" s="87" t="n">
        <f aca="false">IF($A122="","",$A122)</f>
        <v>46266</v>
      </c>
      <c r="C122" s="88" t="n">
        <f aca="false">IF(ISNUMBER('Timeline Estacas'!C122),'Timeline Estacas'!C122,"")</f>
        <v>305</v>
      </c>
      <c r="D122" s="88" t="n">
        <f aca="false">IF(ISNUMBER('Timeline Estacas'!D122),'Timeline Estacas'!D122,"")</f>
        <v>44</v>
      </c>
      <c r="E122" s="88" t="str">
        <f aca="false">IF($D122="","","S-"&amp;TEXT($D122,"00"))</f>
        <v>S-44</v>
      </c>
      <c r="F122" s="88" t="str">
        <f aca="false">IF(ISNUMBER('Timeline Estacas'!F122),'Timeline Estacas'!F122,"")</f>
        <v/>
      </c>
      <c r="G122" s="88" t="str">
        <f aca="false">IF($F122="","",IF('Timeline Estacas'!G122&lt;&gt;"",'Timeline Estacas'!G122,'Timeline Estacas'!I122))</f>
        <v/>
      </c>
      <c r="H122" s="88" t="str">
        <f aca="false">IF(ISNUMBER('Timeline Estacas'!H122),'Timeline Estacas'!H122,"")</f>
        <v/>
      </c>
      <c r="I122" s="88" t="str">
        <f aca="false">IF($H122="","",'Timeline Estacas'!I122)</f>
        <v/>
      </c>
      <c r="J122" s="86" t="str">
        <f aca="false">IF(ISNUMBER('Timeline Estacas'!J122),'Timeline Estacas'!J122,"")</f>
        <v/>
      </c>
      <c r="K122" s="88" t="str">
        <f aca="false">IF('Timeline Estacas'!K122="","",'Timeline Estacas'!K122)</f>
        <v/>
      </c>
      <c r="L122" s="88" t="str">
        <f aca="false">IF('Timeline Estacas'!L122="","",'Timeline Estacas'!L122)</f>
        <v/>
      </c>
      <c r="M122" s="88" t="str">
        <f aca="false">IF('Timeline Estacas'!M122="","",'Timeline Estacas'!M122)</f>
        <v/>
      </c>
      <c r="N122" s="89" t="str">
        <f aca="false">IF('Timeline Estacas'!N122="","",'Timeline Estacas'!N122)</f>
        <v/>
      </c>
      <c r="O122" s="90" t="str">
        <f aca="false">IF(ISNUMBER('Timeline Estacas'!O122),'Timeline Estacas'!O122,"")</f>
        <v/>
      </c>
      <c r="P122" s="91" t="n">
        <f aca="false">IF($Q122&gt;0,1,0)</f>
        <v>0</v>
      </c>
      <c r="Q122" s="91" t="n">
        <f aca="false">IF($F122="",0,1)+IF($H122="",0,1)</f>
        <v>0</v>
      </c>
      <c r="R122" s="91" t="n">
        <f aca="false">IF($N122="",0,1)</f>
        <v>0</v>
      </c>
      <c r="S122" s="91" t="n">
        <f aca="false">IF($F122="",0,1)</f>
        <v>0</v>
      </c>
      <c r="T122" s="91" t="n">
        <f aca="false">IF($H122="",0,1)</f>
        <v>0</v>
      </c>
      <c r="U122" s="91" t="n">
        <f aca="false">IF($J122="",0,1)</f>
        <v>0</v>
      </c>
      <c r="V122" s="91" t="n">
        <f aca="true">IF($J122="",0,IF($J122&lt;=TODAY(),1,0))</f>
        <v>0</v>
      </c>
      <c r="W122" s="92" t="n">
        <f aca="false">IF($O122="",0,$O122)</f>
        <v>0</v>
      </c>
      <c r="X122" s="91" t="str">
        <f aca="false">IF($R122=1,SUM($R$2:$R122),"")</f>
        <v/>
      </c>
      <c r="Y122" s="91" t="n">
        <f aca="false">IF($F122="",0,IF(COUNTIF($F$2:$F122,$F122)+COUNTIF($H$2:$H122,$F122)&gt;1,1,0))+IF($H122="",0,IF(COUNTIF($F$2:$F122,$H122)+COUNTIF($H$2:$H122,$H122)&gt;1,1,0))</f>
        <v>0</v>
      </c>
      <c r="Z122" s="91" t="n">
        <f aca="false">IF($Q122=0,0,IF(COUNTIFS($A$2:$A122,$A122,$Q$2:$Q122,"&gt;0")=1,1,0))</f>
        <v>0</v>
      </c>
      <c r="AA122" s="93" t="str">
        <f aca="false">IF($Q122&gt;0,$A122,"")</f>
        <v/>
      </c>
      <c r="AB122" s="91" t="n">
        <f aca="false">IF($K122="",0,1)</f>
        <v>0</v>
      </c>
      <c r="AC122" s="91" t="n">
        <f aca="false">IF($L122="",0,1)</f>
        <v>0</v>
      </c>
      <c r="AD122" s="91" t="n">
        <f aca="false">IF($M122="",0,1)</f>
        <v>0</v>
      </c>
      <c r="AE122" s="91" t="str">
        <f aca="false">IF($Q122&gt;0,$D122,"")</f>
        <v/>
      </c>
      <c r="AF122" s="1"/>
      <c r="AG122" s="1"/>
      <c r="AH122" s="1"/>
      <c r="AI122" s="1"/>
      <c r="AJ122" s="1"/>
      <c r="AK122" s="1"/>
      <c r="AL122" s="1"/>
      <c r="AM122" s="1"/>
      <c r="AN122" s="1"/>
    </row>
    <row r="123" customFormat="false" ht="18" hidden="false" customHeight="true" outlineLevel="0" collapsed="false">
      <c r="A123" s="86" t="n">
        <f aca="false">IF(ISNUMBER('Timeline Estacas'!A123),'Timeline Estacas'!A123,"")</f>
        <v>46267</v>
      </c>
      <c r="B123" s="87" t="n">
        <f aca="false">IF($A123="","",$A123)</f>
        <v>46267</v>
      </c>
      <c r="C123" s="88" t="n">
        <f aca="false">IF(ISNUMBER('Timeline Estacas'!C123),'Timeline Estacas'!C123,"")</f>
        <v>306</v>
      </c>
      <c r="D123" s="88" t="n">
        <f aca="false">IF(ISNUMBER('Timeline Estacas'!D123),'Timeline Estacas'!D123,"")</f>
        <v>44</v>
      </c>
      <c r="E123" s="88" t="str">
        <f aca="false">IF($D123="","","S-"&amp;TEXT($D123,"00"))</f>
        <v>S-44</v>
      </c>
      <c r="F123" s="88" t="str">
        <f aca="false">IF(ISNUMBER('Timeline Estacas'!F123),'Timeline Estacas'!F123,"")</f>
        <v/>
      </c>
      <c r="G123" s="88" t="str">
        <f aca="false">IF($F123="","",IF('Timeline Estacas'!G123&lt;&gt;"",'Timeline Estacas'!G123,'Timeline Estacas'!I123))</f>
        <v/>
      </c>
      <c r="H123" s="88" t="str">
        <f aca="false">IF(ISNUMBER('Timeline Estacas'!H123),'Timeline Estacas'!H123,"")</f>
        <v/>
      </c>
      <c r="I123" s="88" t="str">
        <f aca="false">IF($H123="","",'Timeline Estacas'!I123)</f>
        <v/>
      </c>
      <c r="J123" s="86" t="str">
        <f aca="false">IF(ISNUMBER('Timeline Estacas'!J123),'Timeline Estacas'!J123,"")</f>
        <v/>
      </c>
      <c r="K123" s="88" t="str">
        <f aca="false">IF('Timeline Estacas'!K123="","",'Timeline Estacas'!K123)</f>
        <v/>
      </c>
      <c r="L123" s="88" t="str">
        <f aca="false">IF('Timeline Estacas'!L123="","",'Timeline Estacas'!L123)</f>
        <v/>
      </c>
      <c r="M123" s="88" t="str">
        <f aca="false">IF('Timeline Estacas'!M123="","",'Timeline Estacas'!M123)</f>
        <v/>
      </c>
      <c r="N123" s="89" t="str">
        <f aca="false">IF('Timeline Estacas'!N123="","",'Timeline Estacas'!N123)</f>
        <v/>
      </c>
      <c r="O123" s="90" t="str">
        <f aca="false">IF(ISNUMBER('Timeline Estacas'!O123),'Timeline Estacas'!O123,"")</f>
        <v/>
      </c>
      <c r="P123" s="91" t="n">
        <f aca="false">IF($Q123&gt;0,1,0)</f>
        <v>0</v>
      </c>
      <c r="Q123" s="91" t="n">
        <f aca="false">IF($F123="",0,1)+IF($H123="",0,1)</f>
        <v>0</v>
      </c>
      <c r="R123" s="91" t="n">
        <f aca="false">IF($N123="",0,1)</f>
        <v>0</v>
      </c>
      <c r="S123" s="91" t="n">
        <f aca="false">IF($F123="",0,1)</f>
        <v>0</v>
      </c>
      <c r="T123" s="91" t="n">
        <f aca="false">IF($H123="",0,1)</f>
        <v>0</v>
      </c>
      <c r="U123" s="91" t="n">
        <f aca="false">IF($J123="",0,1)</f>
        <v>0</v>
      </c>
      <c r="V123" s="91" t="n">
        <f aca="true">IF($J123="",0,IF($J123&lt;=TODAY(),1,0))</f>
        <v>0</v>
      </c>
      <c r="W123" s="92" t="n">
        <f aca="false">IF($O123="",0,$O123)</f>
        <v>0</v>
      </c>
      <c r="X123" s="91" t="str">
        <f aca="false">IF($R123=1,SUM($R$2:$R123),"")</f>
        <v/>
      </c>
      <c r="Y123" s="91" t="n">
        <f aca="false">IF($F123="",0,IF(COUNTIF($F$2:$F123,$F123)+COUNTIF($H$2:$H123,$F123)&gt;1,1,0))+IF($H123="",0,IF(COUNTIF($F$2:$F123,$H123)+COUNTIF($H$2:$H123,$H123)&gt;1,1,0))</f>
        <v>0</v>
      </c>
      <c r="Z123" s="91" t="n">
        <f aca="false">IF($Q123=0,0,IF(COUNTIFS($A$2:$A123,$A123,$Q$2:$Q123,"&gt;0")=1,1,0))</f>
        <v>0</v>
      </c>
      <c r="AA123" s="93" t="str">
        <f aca="false">IF($Q123&gt;0,$A123,"")</f>
        <v/>
      </c>
      <c r="AB123" s="91" t="n">
        <f aca="false">IF($K123="",0,1)</f>
        <v>0</v>
      </c>
      <c r="AC123" s="91" t="n">
        <f aca="false">IF($L123="",0,1)</f>
        <v>0</v>
      </c>
      <c r="AD123" s="91" t="n">
        <f aca="false">IF($M123="",0,1)</f>
        <v>0</v>
      </c>
      <c r="AE123" s="91" t="str">
        <f aca="false">IF($Q123&gt;0,$D123,"")</f>
        <v/>
      </c>
      <c r="AF123" s="1"/>
      <c r="AG123" s="1"/>
      <c r="AH123" s="1"/>
      <c r="AI123" s="1"/>
      <c r="AJ123" s="1"/>
      <c r="AK123" s="1"/>
      <c r="AL123" s="1"/>
      <c r="AM123" s="1"/>
      <c r="AN123" s="1"/>
    </row>
    <row r="124" customFormat="false" ht="18" hidden="false" customHeight="true" outlineLevel="0" collapsed="false">
      <c r="A124" s="86" t="n">
        <f aca="false">IF(ISNUMBER('Timeline Estacas'!A124),'Timeline Estacas'!A124,"")</f>
        <v>46268</v>
      </c>
      <c r="B124" s="87" t="n">
        <f aca="false">IF($A124="","",$A124)</f>
        <v>46268</v>
      </c>
      <c r="C124" s="88" t="n">
        <f aca="false">IF(ISNUMBER('Timeline Estacas'!C124),'Timeline Estacas'!C124,"")</f>
        <v>307</v>
      </c>
      <c r="D124" s="88" t="n">
        <f aca="false">IF(ISNUMBER('Timeline Estacas'!D124),'Timeline Estacas'!D124,"")</f>
        <v>44</v>
      </c>
      <c r="E124" s="88" t="str">
        <f aca="false">IF($D124="","","S-"&amp;TEXT($D124,"00"))</f>
        <v>S-44</v>
      </c>
      <c r="F124" s="88" t="str">
        <f aca="false">IF(ISNUMBER('Timeline Estacas'!F124),'Timeline Estacas'!F124,"")</f>
        <v/>
      </c>
      <c r="G124" s="88" t="str">
        <f aca="false">IF($F124="","",IF('Timeline Estacas'!G124&lt;&gt;"",'Timeline Estacas'!G124,'Timeline Estacas'!I124))</f>
        <v/>
      </c>
      <c r="H124" s="88" t="str">
        <f aca="false">IF(ISNUMBER('Timeline Estacas'!H124),'Timeline Estacas'!H124,"")</f>
        <v/>
      </c>
      <c r="I124" s="88" t="str">
        <f aca="false">IF($H124="","",'Timeline Estacas'!I124)</f>
        <v/>
      </c>
      <c r="J124" s="86" t="str">
        <f aca="false">IF(ISNUMBER('Timeline Estacas'!J124),'Timeline Estacas'!J124,"")</f>
        <v/>
      </c>
      <c r="K124" s="88" t="str">
        <f aca="false">IF('Timeline Estacas'!K124="","",'Timeline Estacas'!K124)</f>
        <v/>
      </c>
      <c r="L124" s="88" t="str">
        <f aca="false">IF('Timeline Estacas'!L124="","",'Timeline Estacas'!L124)</f>
        <v/>
      </c>
      <c r="M124" s="88" t="str">
        <f aca="false">IF('Timeline Estacas'!M124="","",'Timeline Estacas'!M124)</f>
        <v/>
      </c>
      <c r="N124" s="89" t="str">
        <f aca="false">IF('Timeline Estacas'!N124="","",'Timeline Estacas'!N124)</f>
        <v/>
      </c>
      <c r="O124" s="90" t="str">
        <f aca="false">IF(ISNUMBER('Timeline Estacas'!O124),'Timeline Estacas'!O124,"")</f>
        <v/>
      </c>
      <c r="P124" s="91" t="n">
        <f aca="false">IF($Q124&gt;0,1,0)</f>
        <v>0</v>
      </c>
      <c r="Q124" s="91" t="n">
        <f aca="false">IF($F124="",0,1)+IF($H124="",0,1)</f>
        <v>0</v>
      </c>
      <c r="R124" s="91" t="n">
        <f aca="false">IF($N124="",0,1)</f>
        <v>0</v>
      </c>
      <c r="S124" s="91" t="n">
        <f aca="false">IF($F124="",0,1)</f>
        <v>0</v>
      </c>
      <c r="T124" s="91" t="n">
        <f aca="false">IF($H124="",0,1)</f>
        <v>0</v>
      </c>
      <c r="U124" s="91" t="n">
        <f aca="false">IF($J124="",0,1)</f>
        <v>0</v>
      </c>
      <c r="V124" s="91" t="n">
        <f aca="true">IF($J124="",0,IF($J124&lt;=TODAY(),1,0))</f>
        <v>0</v>
      </c>
      <c r="W124" s="92" t="n">
        <f aca="false">IF($O124="",0,$O124)</f>
        <v>0</v>
      </c>
      <c r="X124" s="91" t="str">
        <f aca="false">IF($R124=1,SUM($R$2:$R124),"")</f>
        <v/>
      </c>
      <c r="Y124" s="91" t="n">
        <f aca="false">IF($F124="",0,IF(COUNTIF($F$2:$F124,$F124)+COUNTIF($H$2:$H124,$F124)&gt;1,1,0))+IF($H124="",0,IF(COUNTIF($F$2:$F124,$H124)+COUNTIF($H$2:$H124,$H124)&gt;1,1,0))</f>
        <v>0</v>
      </c>
      <c r="Z124" s="91" t="n">
        <f aca="false">IF($Q124=0,0,IF(COUNTIFS($A$2:$A124,$A124,$Q$2:$Q124,"&gt;0")=1,1,0))</f>
        <v>0</v>
      </c>
      <c r="AA124" s="93" t="str">
        <f aca="false">IF($Q124&gt;0,$A124,"")</f>
        <v/>
      </c>
      <c r="AB124" s="91" t="n">
        <f aca="false">IF($K124="",0,1)</f>
        <v>0</v>
      </c>
      <c r="AC124" s="91" t="n">
        <f aca="false">IF($L124="",0,1)</f>
        <v>0</v>
      </c>
      <c r="AD124" s="91" t="n">
        <f aca="false">IF($M124="",0,1)</f>
        <v>0</v>
      </c>
      <c r="AE124" s="91" t="str">
        <f aca="false">IF($Q124&gt;0,$D124,"")</f>
        <v/>
      </c>
      <c r="AF124" s="1"/>
      <c r="AG124" s="1"/>
      <c r="AH124" s="1"/>
      <c r="AI124" s="1"/>
      <c r="AJ124" s="1"/>
      <c r="AK124" s="1"/>
      <c r="AL124" s="1"/>
      <c r="AM124" s="1"/>
      <c r="AN124" s="1"/>
    </row>
    <row r="125" customFormat="false" ht="18" hidden="false" customHeight="true" outlineLevel="0" collapsed="false">
      <c r="A125" s="86" t="n">
        <f aca="false">IF(ISNUMBER('Timeline Estacas'!A125),'Timeline Estacas'!A125,"")</f>
        <v>46269</v>
      </c>
      <c r="B125" s="87" t="n">
        <f aca="false">IF($A125="","",$A125)</f>
        <v>46269</v>
      </c>
      <c r="C125" s="88" t="n">
        <f aca="false">IF(ISNUMBER('Timeline Estacas'!C125),'Timeline Estacas'!C125,"")</f>
        <v>308</v>
      </c>
      <c r="D125" s="88" t="n">
        <f aca="false">IF(ISNUMBER('Timeline Estacas'!D125),'Timeline Estacas'!D125,"")</f>
        <v>45</v>
      </c>
      <c r="E125" s="88" t="str">
        <f aca="false">IF($D125="","","S-"&amp;TEXT($D125,"00"))</f>
        <v>S-45</v>
      </c>
      <c r="F125" s="88" t="str">
        <f aca="false">IF(ISNUMBER('Timeline Estacas'!F125),'Timeline Estacas'!F125,"")</f>
        <v/>
      </c>
      <c r="G125" s="88" t="str">
        <f aca="false">IF($F125="","",IF('Timeline Estacas'!G125&lt;&gt;"",'Timeline Estacas'!G125,'Timeline Estacas'!I125))</f>
        <v/>
      </c>
      <c r="H125" s="88" t="str">
        <f aca="false">IF(ISNUMBER('Timeline Estacas'!H125),'Timeline Estacas'!H125,"")</f>
        <v/>
      </c>
      <c r="I125" s="88" t="str">
        <f aca="false">IF($H125="","",'Timeline Estacas'!I125)</f>
        <v/>
      </c>
      <c r="J125" s="86" t="str">
        <f aca="false">IF(ISNUMBER('Timeline Estacas'!J125),'Timeline Estacas'!J125,"")</f>
        <v/>
      </c>
      <c r="K125" s="88" t="str">
        <f aca="false">IF('Timeline Estacas'!K125="","",'Timeline Estacas'!K125)</f>
        <v/>
      </c>
      <c r="L125" s="88" t="str">
        <f aca="false">IF('Timeline Estacas'!L125="","",'Timeline Estacas'!L125)</f>
        <v/>
      </c>
      <c r="M125" s="88" t="str">
        <f aca="false">IF('Timeline Estacas'!M125="","",'Timeline Estacas'!M125)</f>
        <v/>
      </c>
      <c r="N125" s="89" t="str">
        <f aca="false">IF('Timeline Estacas'!N125="","",'Timeline Estacas'!N125)</f>
        <v/>
      </c>
      <c r="O125" s="90" t="str">
        <f aca="false">IF(ISNUMBER('Timeline Estacas'!O125),'Timeline Estacas'!O125,"")</f>
        <v/>
      </c>
      <c r="P125" s="91" t="n">
        <f aca="false">IF($Q125&gt;0,1,0)</f>
        <v>0</v>
      </c>
      <c r="Q125" s="91" t="n">
        <f aca="false">IF($F125="",0,1)+IF($H125="",0,1)</f>
        <v>0</v>
      </c>
      <c r="R125" s="91" t="n">
        <f aca="false">IF($N125="",0,1)</f>
        <v>0</v>
      </c>
      <c r="S125" s="91" t="n">
        <f aca="false">IF($F125="",0,1)</f>
        <v>0</v>
      </c>
      <c r="T125" s="91" t="n">
        <f aca="false">IF($H125="",0,1)</f>
        <v>0</v>
      </c>
      <c r="U125" s="91" t="n">
        <f aca="false">IF($J125="",0,1)</f>
        <v>0</v>
      </c>
      <c r="V125" s="91" t="n">
        <f aca="true">IF($J125="",0,IF($J125&lt;=TODAY(),1,0))</f>
        <v>0</v>
      </c>
      <c r="W125" s="92" t="n">
        <f aca="false">IF($O125="",0,$O125)</f>
        <v>0</v>
      </c>
      <c r="X125" s="91" t="str">
        <f aca="false">IF($R125=1,SUM($R$2:$R125),"")</f>
        <v/>
      </c>
      <c r="Y125" s="91" t="n">
        <f aca="false">IF($F125="",0,IF(COUNTIF($F$2:$F125,$F125)+COUNTIF($H$2:$H125,$F125)&gt;1,1,0))+IF($H125="",0,IF(COUNTIF($F$2:$F125,$H125)+COUNTIF($H$2:$H125,$H125)&gt;1,1,0))</f>
        <v>0</v>
      </c>
      <c r="Z125" s="91" t="n">
        <f aca="false">IF($Q125=0,0,IF(COUNTIFS($A$2:$A125,$A125,$Q$2:$Q125,"&gt;0")=1,1,0))</f>
        <v>0</v>
      </c>
      <c r="AA125" s="93" t="str">
        <f aca="false">IF($Q125&gt;0,$A125,"")</f>
        <v/>
      </c>
      <c r="AB125" s="91" t="n">
        <f aca="false">IF($K125="",0,1)</f>
        <v>0</v>
      </c>
      <c r="AC125" s="91" t="n">
        <f aca="false">IF($L125="",0,1)</f>
        <v>0</v>
      </c>
      <c r="AD125" s="91" t="n">
        <f aca="false">IF($M125="",0,1)</f>
        <v>0</v>
      </c>
      <c r="AE125" s="91" t="str">
        <f aca="false">IF($Q125&gt;0,$D125,"")</f>
        <v/>
      </c>
      <c r="AF125" s="1"/>
      <c r="AG125" s="1"/>
      <c r="AH125" s="1"/>
      <c r="AI125" s="1"/>
      <c r="AJ125" s="1"/>
      <c r="AK125" s="1"/>
      <c r="AL125" s="1"/>
      <c r="AM125" s="1"/>
      <c r="AN125" s="1"/>
    </row>
    <row r="126" customFormat="false" ht="18" hidden="false" customHeight="true" outlineLevel="0" collapsed="false">
      <c r="A126" s="86" t="n">
        <f aca="false">IF(ISNUMBER('Timeline Estacas'!A126),'Timeline Estacas'!A126,"")</f>
        <v>46270</v>
      </c>
      <c r="B126" s="87" t="n">
        <f aca="false">IF($A126="","",$A126)</f>
        <v>46270</v>
      </c>
      <c r="C126" s="88" t="n">
        <f aca="false">IF(ISNUMBER('Timeline Estacas'!C126),'Timeline Estacas'!C126,"")</f>
        <v>309</v>
      </c>
      <c r="D126" s="88" t="n">
        <f aca="false">IF(ISNUMBER('Timeline Estacas'!D126),'Timeline Estacas'!D126,"")</f>
        <v>45</v>
      </c>
      <c r="E126" s="88" t="str">
        <f aca="false">IF($D126="","","S-"&amp;TEXT($D126,"00"))</f>
        <v>S-45</v>
      </c>
      <c r="F126" s="88" t="str">
        <f aca="false">IF(ISNUMBER('Timeline Estacas'!F126),'Timeline Estacas'!F126,"")</f>
        <v/>
      </c>
      <c r="G126" s="88" t="str">
        <f aca="false">IF($F126="","",IF('Timeline Estacas'!G126&lt;&gt;"",'Timeline Estacas'!G126,'Timeline Estacas'!I126))</f>
        <v/>
      </c>
      <c r="H126" s="88" t="str">
        <f aca="false">IF(ISNUMBER('Timeline Estacas'!H126),'Timeline Estacas'!H126,"")</f>
        <v/>
      </c>
      <c r="I126" s="88" t="str">
        <f aca="false">IF($H126="","",'Timeline Estacas'!I126)</f>
        <v/>
      </c>
      <c r="J126" s="86" t="str">
        <f aca="false">IF(ISNUMBER('Timeline Estacas'!J126),'Timeline Estacas'!J126,"")</f>
        <v/>
      </c>
      <c r="K126" s="88" t="str">
        <f aca="false">IF('Timeline Estacas'!K126="","",'Timeline Estacas'!K126)</f>
        <v/>
      </c>
      <c r="L126" s="88" t="str">
        <f aca="false">IF('Timeline Estacas'!L126="","",'Timeline Estacas'!L126)</f>
        <v/>
      </c>
      <c r="M126" s="88" t="str">
        <f aca="false">IF('Timeline Estacas'!M126="","",'Timeline Estacas'!M126)</f>
        <v/>
      </c>
      <c r="N126" s="89" t="str">
        <f aca="false">IF('Timeline Estacas'!N126="","",'Timeline Estacas'!N126)</f>
        <v/>
      </c>
      <c r="O126" s="90" t="str">
        <f aca="false">IF(ISNUMBER('Timeline Estacas'!O126),'Timeline Estacas'!O126,"")</f>
        <v/>
      </c>
      <c r="P126" s="91" t="n">
        <f aca="false">IF($Q126&gt;0,1,0)</f>
        <v>0</v>
      </c>
      <c r="Q126" s="91" t="n">
        <f aca="false">IF($F126="",0,1)+IF($H126="",0,1)</f>
        <v>0</v>
      </c>
      <c r="R126" s="91" t="n">
        <f aca="false">IF($N126="",0,1)</f>
        <v>0</v>
      </c>
      <c r="S126" s="91" t="n">
        <f aca="false">IF($F126="",0,1)</f>
        <v>0</v>
      </c>
      <c r="T126" s="91" t="n">
        <f aca="false">IF($H126="",0,1)</f>
        <v>0</v>
      </c>
      <c r="U126" s="91" t="n">
        <f aca="false">IF($J126="",0,1)</f>
        <v>0</v>
      </c>
      <c r="V126" s="91" t="n">
        <f aca="true">IF($J126="",0,IF($J126&lt;=TODAY(),1,0))</f>
        <v>0</v>
      </c>
      <c r="W126" s="92" t="n">
        <f aca="false">IF($O126="",0,$O126)</f>
        <v>0</v>
      </c>
      <c r="X126" s="91" t="str">
        <f aca="false">IF($R126=1,SUM($R$2:$R126),"")</f>
        <v/>
      </c>
      <c r="Y126" s="91" t="n">
        <f aca="false">IF($F126="",0,IF(COUNTIF($F$2:$F126,$F126)+COUNTIF($H$2:$H126,$F126)&gt;1,1,0))+IF($H126="",0,IF(COUNTIF($F$2:$F126,$H126)+COUNTIF($H$2:$H126,$H126)&gt;1,1,0))</f>
        <v>0</v>
      </c>
      <c r="Z126" s="91" t="n">
        <f aca="false">IF($Q126=0,0,IF(COUNTIFS($A$2:$A126,$A126,$Q$2:$Q126,"&gt;0")=1,1,0))</f>
        <v>0</v>
      </c>
      <c r="AA126" s="93" t="str">
        <f aca="false">IF($Q126&gt;0,$A126,"")</f>
        <v/>
      </c>
      <c r="AB126" s="91" t="n">
        <f aca="false">IF($K126="",0,1)</f>
        <v>0</v>
      </c>
      <c r="AC126" s="91" t="n">
        <f aca="false">IF($L126="",0,1)</f>
        <v>0</v>
      </c>
      <c r="AD126" s="91" t="n">
        <f aca="false">IF($M126="",0,1)</f>
        <v>0</v>
      </c>
      <c r="AE126" s="91" t="str">
        <f aca="false">IF($Q126&gt;0,$D126,"")</f>
        <v/>
      </c>
      <c r="AF126" s="1"/>
      <c r="AG126" s="1"/>
      <c r="AH126" s="1"/>
      <c r="AI126" s="1"/>
      <c r="AJ126" s="1"/>
      <c r="AK126" s="1"/>
      <c r="AL126" s="1"/>
      <c r="AM126" s="1"/>
      <c r="AN126" s="1"/>
    </row>
    <row r="127" customFormat="false" ht="18" hidden="false" customHeight="true" outlineLevel="0" collapsed="false">
      <c r="A127" s="86" t="n">
        <f aca="false">IF(ISNUMBER('Timeline Estacas'!A127),'Timeline Estacas'!A127,"")</f>
        <v>46271</v>
      </c>
      <c r="B127" s="87" t="n">
        <f aca="false">IF($A127="","",$A127)</f>
        <v>46271</v>
      </c>
      <c r="C127" s="88" t="n">
        <f aca="false">IF(ISNUMBER('Timeline Estacas'!C127),'Timeline Estacas'!C127,"")</f>
        <v>310</v>
      </c>
      <c r="D127" s="88" t="n">
        <f aca="false">IF(ISNUMBER('Timeline Estacas'!D127),'Timeline Estacas'!D127,"")</f>
        <v>45</v>
      </c>
      <c r="E127" s="88" t="str">
        <f aca="false">IF($D127="","","S-"&amp;TEXT($D127,"00"))</f>
        <v>S-45</v>
      </c>
      <c r="F127" s="88" t="str">
        <f aca="false">IF(ISNUMBER('Timeline Estacas'!F127),'Timeline Estacas'!F127,"")</f>
        <v/>
      </c>
      <c r="G127" s="88" t="str">
        <f aca="false">IF($F127="","",IF('Timeline Estacas'!G127&lt;&gt;"",'Timeline Estacas'!G127,'Timeline Estacas'!I127))</f>
        <v/>
      </c>
      <c r="H127" s="88" t="str">
        <f aca="false">IF(ISNUMBER('Timeline Estacas'!H127),'Timeline Estacas'!H127,"")</f>
        <v/>
      </c>
      <c r="I127" s="88" t="str">
        <f aca="false">IF($H127="","",'Timeline Estacas'!I127)</f>
        <v/>
      </c>
      <c r="J127" s="86" t="str">
        <f aca="false">IF(ISNUMBER('Timeline Estacas'!J127),'Timeline Estacas'!J127,"")</f>
        <v/>
      </c>
      <c r="K127" s="88" t="str">
        <f aca="false">IF('Timeline Estacas'!K127="","",'Timeline Estacas'!K127)</f>
        <v/>
      </c>
      <c r="L127" s="88" t="str">
        <f aca="false">IF('Timeline Estacas'!L127="","",'Timeline Estacas'!L127)</f>
        <v/>
      </c>
      <c r="M127" s="88" t="str">
        <f aca="false">IF('Timeline Estacas'!M127="","",'Timeline Estacas'!M127)</f>
        <v/>
      </c>
      <c r="N127" s="89" t="str">
        <f aca="false">IF('Timeline Estacas'!N127="","",'Timeline Estacas'!N127)</f>
        <v/>
      </c>
      <c r="O127" s="90" t="str">
        <f aca="false">IF(ISNUMBER('Timeline Estacas'!O127),'Timeline Estacas'!O127,"")</f>
        <v/>
      </c>
      <c r="P127" s="91" t="n">
        <f aca="false">IF($Q127&gt;0,1,0)</f>
        <v>0</v>
      </c>
      <c r="Q127" s="91" t="n">
        <f aca="false">IF($F127="",0,1)+IF($H127="",0,1)</f>
        <v>0</v>
      </c>
      <c r="R127" s="91" t="n">
        <f aca="false">IF($N127="",0,1)</f>
        <v>0</v>
      </c>
      <c r="S127" s="91" t="n">
        <f aca="false">IF($F127="",0,1)</f>
        <v>0</v>
      </c>
      <c r="T127" s="91" t="n">
        <f aca="false">IF($H127="",0,1)</f>
        <v>0</v>
      </c>
      <c r="U127" s="91" t="n">
        <f aca="false">IF($J127="",0,1)</f>
        <v>0</v>
      </c>
      <c r="V127" s="91" t="n">
        <f aca="true">IF($J127="",0,IF($J127&lt;=TODAY(),1,0))</f>
        <v>0</v>
      </c>
      <c r="W127" s="92" t="n">
        <f aca="false">IF($O127="",0,$O127)</f>
        <v>0</v>
      </c>
      <c r="X127" s="91" t="str">
        <f aca="false">IF($R127=1,SUM($R$2:$R127),"")</f>
        <v/>
      </c>
      <c r="Y127" s="91" t="n">
        <f aca="false">IF($F127="",0,IF(COUNTIF($F$2:$F127,$F127)+COUNTIF($H$2:$H127,$F127)&gt;1,1,0))+IF($H127="",0,IF(COUNTIF($F$2:$F127,$H127)+COUNTIF($H$2:$H127,$H127)&gt;1,1,0))</f>
        <v>0</v>
      </c>
      <c r="Z127" s="91" t="n">
        <f aca="false">IF($Q127=0,0,IF(COUNTIFS($A$2:$A127,$A127,$Q$2:$Q127,"&gt;0")=1,1,0))</f>
        <v>0</v>
      </c>
      <c r="AA127" s="93" t="str">
        <f aca="false">IF($Q127&gt;0,$A127,"")</f>
        <v/>
      </c>
      <c r="AB127" s="91" t="n">
        <f aca="false">IF($K127="",0,1)</f>
        <v>0</v>
      </c>
      <c r="AC127" s="91" t="n">
        <f aca="false">IF($L127="",0,1)</f>
        <v>0</v>
      </c>
      <c r="AD127" s="91" t="n">
        <f aca="false">IF($M127="",0,1)</f>
        <v>0</v>
      </c>
      <c r="AE127" s="91" t="str">
        <f aca="false">IF($Q127&gt;0,$D127,"")</f>
        <v/>
      </c>
      <c r="AF127" s="1"/>
      <c r="AG127" s="1"/>
      <c r="AH127" s="1"/>
      <c r="AI127" s="1"/>
      <c r="AJ127" s="1"/>
      <c r="AK127" s="1"/>
      <c r="AL127" s="1"/>
      <c r="AM127" s="1"/>
      <c r="AN127" s="1"/>
    </row>
    <row r="128" customFormat="false" ht="18" hidden="false" customHeight="true" outlineLevel="0" collapsed="false">
      <c r="A128" s="86" t="n">
        <f aca="false">IF(ISNUMBER('Timeline Estacas'!A128),'Timeline Estacas'!A128,"")</f>
        <v>46272</v>
      </c>
      <c r="B128" s="87" t="n">
        <f aca="false">IF($A128="","",$A128)</f>
        <v>46272</v>
      </c>
      <c r="C128" s="88" t="n">
        <f aca="false">IF(ISNUMBER('Timeline Estacas'!C128),'Timeline Estacas'!C128,"")</f>
        <v>311</v>
      </c>
      <c r="D128" s="88" t="n">
        <f aca="false">IF(ISNUMBER('Timeline Estacas'!D128),'Timeline Estacas'!D128,"")</f>
        <v>45</v>
      </c>
      <c r="E128" s="88" t="str">
        <f aca="false">IF($D128="","","S-"&amp;TEXT($D128,"00"))</f>
        <v>S-45</v>
      </c>
      <c r="F128" s="88" t="str">
        <f aca="false">IF(ISNUMBER('Timeline Estacas'!F128),'Timeline Estacas'!F128,"")</f>
        <v/>
      </c>
      <c r="G128" s="88" t="str">
        <f aca="false">IF($F128="","",IF('Timeline Estacas'!G128&lt;&gt;"",'Timeline Estacas'!G128,'Timeline Estacas'!I128))</f>
        <v/>
      </c>
      <c r="H128" s="88" t="str">
        <f aca="false">IF(ISNUMBER('Timeline Estacas'!H128),'Timeline Estacas'!H128,"")</f>
        <v/>
      </c>
      <c r="I128" s="88" t="str">
        <f aca="false">IF($H128="","",'Timeline Estacas'!I128)</f>
        <v/>
      </c>
      <c r="J128" s="86" t="str">
        <f aca="false">IF(ISNUMBER('Timeline Estacas'!J128),'Timeline Estacas'!J128,"")</f>
        <v/>
      </c>
      <c r="K128" s="88" t="str">
        <f aca="false">IF('Timeline Estacas'!K128="","",'Timeline Estacas'!K128)</f>
        <v/>
      </c>
      <c r="L128" s="88" t="str">
        <f aca="false">IF('Timeline Estacas'!L128="","",'Timeline Estacas'!L128)</f>
        <v/>
      </c>
      <c r="M128" s="88" t="str">
        <f aca="false">IF('Timeline Estacas'!M128="","",'Timeline Estacas'!M128)</f>
        <v/>
      </c>
      <c r="N128" s="89" t="str">
        <f aca="false">IF('Timeline Estacas'!N128="","",'Timeline Estacas'!N128)</f>
        <v/>
      </c>
      <c r="O128" s="90" t="str">
        <f aca="false">IF(ISNUMBER('Timeline Estacas'!O128),'Timeline Estacas'!O128,"")</f>
        <v/>
      </c>
      <c r="P128" s="91" t="n">
        <f aca="false">IF($Q128&gt;0,1,0)</f>
        <v>0</v>
      </c>
      <c r="Q128" s="91" t="n">
        <f aca="false">IF($F128="",0,1)+IF($H128="",0,1)</f>
        <v>0</v>
      </c>
      <c r="R128" s="91" t="n">
        <f aca="false">IF($N128="",0,1)</f>
        <v>0</v>
      </c>
      <c r="S128" s="91" t="n">
        <f aca="false">IF($F128="",0,1)</f>
        <v>0</v>
      </c>
      <c r="T128" s="91" t="n">
        <f aca="false">IF($H128="",0,1)</f>
        <v>0</v>
      </c>
      <c r="U128" s="91" t="n">
        <f aca="false">IF($J128="",0,1)</f>
        <v>0</v>
      </c>
      <c r="V128" s="91" t="n">
        <f aca="true">IF($J128="",0,IF($J128&lt;=TODAY(),1,0))</f>
        <v>0</v>
      </c>
      <c r="W128" s="92" t="n">
        <f aca="false">IF($O128="",0,$O128)</f>
        <v>0</v>
      </c>
      <c r="X128" s="91" t="str">
        <f aca="false">IF($R128=1,SUM($R$2:$R128),"")</f>
        <v/>
      </c>
      <c r="Y128" s="91" t="n">
        <f aca="false">IF($F128="",0,IF(COUNTIF($F$2:$F128,$F128)+COUNTIF($H$2:$H128,$F128)&gt;1,1,0))+IF($H128="",0,IF(COUNTIF($F$2:$F128,$H128)+COUNTIF($H$2:$H128,$H128)&gt;1,1,0))</f>
        <v>0</v>
      </c>
      <c r="Z128" s="91" t="n">
        <f aca="false">IF($Q128=0,0,IF(COUNTIFS($A$2:$A128,$A128,$Q$2:$Q128,"&gt;0")=1,1,0))</f>
        <v>0</v>
      </c>
      <c r="AA128" s="93" t="str">
        <f aca="false">IF($Q128&gt;0,$A128,"")</f>
        <v/>
      </c>
      <c r="AB128" s="91" t="n">
        <f aca="false">IF($K128="",0,1)</f>
        <v>0</v>
      </c>
      <c r="AC128" s="91" t="n">
        <f aca="false">IF($L128="",0,1)</f>
        <v>0</v>
      </c>
      <c r="AD128" s="91" t="n">
        <f aca="false">IF($M128="",0,1)</f>
        <v>0</v>
      </c>
      <c r="AE128" s="91" t="str">
        <f aca="false">IF($Q128&gt;0,$D128,"")</f>
        <v/>
      </c>
      <c r="AF128" s="1"/>
      <c r="AG128" s="1"/>
      <c r="AH128" s="1"/>
      <c r="AI128" s="1"/>
      <c r="AJ128" s="1"/>
      <c r="AK128" s="1"/>
      <c r="AL128" s="1"/>
      <c r="AM128" s="1"/>
      <c r="AN128" s="1"/>
    </row>
    <row r="129" customFormat="false" ht="18" hidden="false" customHeight="true" outlineLevel="0" collapsed="false">
      <c r="A129" s="86" t="n">
        <f aca="false">IF(ISNUMBER('Timeline Estacas'!A129),'Timeline Estacas'!A129,"")</f>
        <v>46273</v>
      </c>
      <c r="B129" s="87" t="n">
        <f aca="false">IF($A129="","",$A129)</f>
        <v>46273</v>
      </c>
      <c r="C129" s="88" t="n">
        <f aca="false">IF(ISNUMBER('Timeline Estacas'!C129),'Timeline Estacas'!C129,"")</f>
        <v>312</v>
      </c>
      <c r="D129" s="88" t="n">
        <f aca="false">IF(ISNUMBER('Timeline Estacas'!D129),'Timeline Estacas'!D129,"")</f>
        <v>45</v>
      </c>
      <c r="E129" s="88" t="str">
        <f aca="false">IF($D129="","","S-"&amp;TEXT($D129,"00"))</f>
        <v>S-45</v>
      </c>
      <c r="F129" s="88" t="str">
        <f aca="false">IF(ISNUMBER('Timeline Estacas'!F129),'Timeline Estacas'!F129,"")</f>
        <v/>
      </c>
      <c r="G129" s="88" t="str">
        <f aca="false">IF($F129="","",IF('Timeline Estacas'!G129&lt;&gt;"",'Timeline Estacas'!G129,'Timeline Estacas'!I129))</f>
        <v/>
      </c>
      <c r="H129" s="88" t="str">
        <f aca="false">IF(ISNUMBER('Timeline Estacas'!H129),'Timeline Estacas'!H129,"")</f>
        <v/>
      </c>
      <c r="I129" s="88" t="str">
        <f aca="false">IF($H129="","",'Timeline Estacas'!I129)</f>
        <v/>
      </c>
      <c r="J129" s="86" t="str">
        <f aca="false">IF(ISNUMBER('Timeline Estacas'!J129),'Timeline Estacas'!J129,"")</f>
        <v/>
      </c>
      <c r="K129" s="88" t="str">
        <f aca="false">IF('Timeline Estacas'!K129="","",'Timeline Estacas'!K129)</f>
        <v/>
      </c>
      <c r="L129" s="88" t="str">
        <f aca="false">IF('Timeline Estacas'!L129="","",'Timeline Estacas'!L129)</f>
        <v/>
      </c>
      <c r="M129" s="88" t="str">
        <f aca="false">IF('Timeline Estacas'!M129="","",'Timeline Estacas'!M129)</f>
        <v/>
      </c>
      <c r="N129" s="89" t="str">
        <f aca="false">IF('Timeline Estacas'!N129="","",'Timeline Estacas'!N129)</f>
        <v/>
      </c>
      <c r="O129" s="90" t="str">
        <f aca="false">IF(ISNUMBER('Timeline Estacas'!O129),'Timeline Estacas'!O129,"")</f>
        <v/>
      </c>
      <c r="P129" s="91" t="n">
        <f aca="false">IF($Q129&gt;0,1,0)</f>
        <v>0</v>
      </c>
      <c r="Q129" s="91" t="n">
        <f aca="false">IF($F129="",0,1)+IF($H129="",0,1)</f>
        <v>0</v>
      </c>
      <c r="R129" s="91" t="n">
        <f aca="false">IF($N129="",0,1)</f>
        <v>0</v>
      </c>
      <c r="S129" s="91" t="n">
        <f aca="false">IF($F129="",0,1)</f>
        <v>0</v>
      </c>
      <c r="T129" s="91" t="n">
        <f aca="false">IF($H129="",0,1)</f>
        <v>0</v>
      </c>
      <c r="U129" s="91" t="n">
        <f aca="false">IF($J129="",0,1)</f>
        <v>0</v>
      </c>
      <c r="V129" s="91" t="n">
        <f aca="true">IF($J129="",0,IF($J129&lt;=TODAY(),1,0))</f>
        <v>0</v>
      </c>
      <c r="W129" s="92" t="n">
        <f aca="false">IF($O129="",0,$O129)</f>
        <v>0</v>
      </c>
      <c r="X129" s="91" t="str">
        <f aca="false">IF($R129=1,SUM($R$2:$R129),"")</f>
        <v/>
      </c>
      <c r="Y129" s="91" t="n">
        <f aca="false">IF($F129="",0,IF(COUNTIF($F$2:$F129,$F129)+COUNTIF($H$2:$H129,$F129)&gt;1,1,0))+IF($H129="",0,IF(COUNTIF($F$2:$F129,$H129)+COUNTIF($H$2:$H129,$H129)&gt;1,1,0))</f>
        <v>0</v>
      </c>
      <c r="Z129" s="91" t="n">
        <f aca="false">IF($Q129=0,0,IF(COUNTIFS($A$2:$A129,$A129,$Q$2:$Q129,"&gt;0")=1,1,0))</f>
        <v>0</v>
      </c>
      <c r="AA129" s="93" t="str">
        <f aca="false">IF($Q129&gt;0,$A129,"")</f>
        <v/>
      </c>
      <c r="AB129" s="91" t="n">
        <f aca="false">IF($K129="",0,1)</f>
        <v>0</v>
      </c>
      <c r="AC129" s="91" t="n">
        <f aca="false">IF($L129="",0,1)</f>
        <v>0</v>
      </c>
      <c r="AD129" s="91" t="n">
        <f aca="false">IF($M129="",0,1)</f>
        <v>0</v>
      </c>
      <c r="AE129" s="91" t="str">
        <f aca="false">IF($Q129&gt;0,$D129,"")</f>
        <v/>
      </c>
      <c r="AF129" s="1"/>
      <c r="AG129" s="1"/>
      <c r="AH129" s="1"/>
      <c r="AI129" s="1"/>
      <c r="AJ129" s="1"/>
      <c r="AK129" s="1"/>
      <c r="AL129" s="1"/>
      <c r="AM129" s="1"/>
      <c r="AN129" s="1"/>
    </row>
    <row r="130" customFormat="false" ht="18" hidden="false" customHeight="true" outlineLevel="0" collapsed="false">
      <c r="A130" s="86" t="n">
        <f aca="false">IF(ISNUMBER('Timeline Estacas'!A130),'Timeline Estacas'!A130,"")</f>
        <v>46274</v>
      </c>
      <c r="B130" s="87" t="n">
        <f aca="false">IF($A130="","",$A130)</f>
        <v>46274</v>
      </c>
      <c r="C130" s="88" t="n">
        <f aca="false">IF(ISNUMBER('Timeline Estacas'!C130),'Timeline Estacas'!C130,"")</f>
        <v>313</v>
      </c>
      <c r="D130" s="88" t="n">
        <f aca="false">IF(ISNUMBER('Timeline Estacas'!D130),'Timeline Estacas'!D130,"")</f>
        <v>45</v>
      </c>
      <c r="E130" s="88" t="str">
        <f aca="false">IF($D130="","","S-"&amp;TEXT($D130,"00"))</f>
        <v>S-45</v>
      </c>
      <c r="F130" s="88" t="str">
        <f aca="false">IF(ISNUMBER('Timeline Estacas'!F130),'Timeline Estacas'!F130,"")</f>
        <v/>
      </c>
      <c r="G130" s="88" t="str">
        <f aca="false">IF($F130="","",IF('Timeline Estacas'!G130&lt;&gt;"",'Timeline Estacas'!G130,'Timeline Estacas'!I130))</f>
        <v/>
      </c>
      <c r="H130" s="88" t="str">
        <f aca="false">IF(ISNUMBER('Timeline Estacas'!H130),'Timeline Estacas'!H130,"")</f>
        <v/>
      </c>
      <c r="I130" s="88" t="str">
        <f aca="false">IF($H130="","",'Timeline Estacas'!I130)</f>
        <v/>
      </c>
      <c r="J130" s="86" t="str">
        <f aca="false">IF(ISNUMBER('Timeline Estacas'!J130),'Timeline Estacas'!J130,"")</f>
        <v/>
      </c>
      <c r="K130" s="88" t="str">
        <f aca="false">IF('Timeline Estacas'!K130="","",'Timeline Estacas'!K130)</f>
        <v/>
      </c>
      <c r="L130" s="88" t="str">
        <f aca="false">IF('Timeline Estacas'!L130="","",'Timeline Estacas'!L130)</f>
        <v/>
      </c>
      <c r="M130" s="88" t="str">
        <f aca="false">IF('Timeline Estacas'!M130="","",'Timeline Estacas'!M130)</f>
        <v/>
      </c>
      <c r="N130" s="89" t="str">
        <f aca="false">IF('Timeline Estacas'!N130="","",'Timeline Estacas'!N130)</f>
        <v/>
      </c>
      <c r="O130" s="90" t="str">
        <f aca="false">IF(ISNUMBER('Timeline Estacas'!O130),'Timeline Estacas'!O130,"")</f>
        <v/>
      </c>
      <c r="P130" s="91" t="n">
        <f aca="false">IF($Q130&gt;0,1,0)</f>
        <v>0</v>
      </c>
      <c r="Q130" s="91" t="n">
        <f aca="false">IF($F130="",0,1)+IF($H130="",0,1)</f>
        <v>0</v>
      </c>
      <c r="R130" s="91" t="n">
        <f aca="false">IF($N130="",0,1)</f>
        <v>0</v>
      </c>
      <c r="S130" s="91" t="n">
        <f aca="false">IF($F130="",0,1)</f>
        <v>0</v>
      </c>
      <c r="T130" s="91" t="n">
        <f aca="false">IF($H130="",0,1)</f>
        <v>0</v>
      </c>
      <c r="U130" s="91" t="n">
        <f aca="false">IF($J130="",0,1)</f>
        <v>0</v>
      </c>
      <c r="V130" s="91" t="n">
        <f aca="true">IF($J130="",0,IF($J130&lt;=TODAY(),1,0))</f>
        <v>0</v>
      </c>
      <c r="W130" s="92" t="n">
        <f aca="false">IF($O130="",0,$O130)</f>
        <v>0</v>
      </c>
      <c r="X130" s="91" t="str">
        <f aca="false">IF($R130=1,SUM($R$2:$R130),"")</f>
        <v/>
      </c>
      <c r="Y130" s="91" t="n">
        <f aca="false">IF($F130="",0,IF(COUNTIF($F$2:$F130,$F130)+COUNTIF($H$2:$H130,$F130)&gt;1,1,0))+IF($H130="",0,IF(COUNTIF($F$2:$F130,$H130)+COUNTIF($H$2:$H130,$H130)&gt;1,1,0))</f>
        <v>0</v>
      </c>
      <c r="Z130" s="91" t="n">
        <f aca="false">IF($Q130=0,0,IF(COUNTIFS($A$2:$A130,$A130,$Q$2:$Q130,"&gt;0")=1,1,0))</f>
        <v>0</v>
      </c>
      <c r="AA130" s="93" t="str">
        <f aca="false">IF($Q130&gt;0,$A130,"")</f>
        <v/>
      </c>
      <c r="AB130" s="91" t="n">
        <f aca="false">IF($K130="",0,1)</f>
        <v>0</v>
      </c>
      <c r="AC130" s="91" t="n">
        <f aca="false">IF($L130="",0,1)</f>
        <v>0</v>
      </c>
      <c r="AD130" s="91" t="n">
        <f aca="false">IF($M130="",0,1)</f>
        <v>0</v>
      </c>
      <c r="AE130" s="91" t="str">
        <f aca="false">IF($Q130&gt;0,$D130,"")</f>
        <v/>
      </c>
      <c r="AF130" s="1"/>
      <c r="AG130" s="1"/>
      <c r="AH130" s="1"/>
      <c r="AI130" s="1"/>
      <c r="AJ130" s="1"/>
      <c r="AK130" s="1"/>
      <c r="AL130" s="1"/>
      <c r="AM130" s="1"/>
      <c r="AN130" s="1"/>
    </row>
    <row r="131" customFormat="false" ht="18" hidden="false" customHeight="true" outlineLevel="0" collapsed="false">
      <c r="A131" s="86" t="n">
        <f aca="false">IF(ISNUMBER('Timeline Estacas'!A131),'Timeline Estacas'!A131,"")</f>
        <v>46275</v>
      </c>
      <c r="B131" s="87" t="n">
        <f aca="false">IF($A131="","",$A131)</f>
        <v>46275</v>
      </c>
      <c r="C131" s="88" t="n">
        <f aca="false">IF(ISNUMBER('Timeline Estacas'!C131),'Timeline Estacas'!C131,"")</f>
        <v>314</v>
      </c>
      <c r="D131" s="88" t="n">
        <f aca="false">IF(ISNUMBER('Timeline Estacas'!D131),'Timeline Estacas'!D131,"")</f>
        <v>45</v>
      </c>
      <c r="E131" s="88" t="str">
        <f aca="false">IF($D131="","","S-"&amp;TEXT($D131,"00"))</f>
        <v>S-45</v>
      </c>
      <c r="F131" s="88" t="str">
        <f aca="false">IF(ISNUMBER('Timeline Estacas'!F131),'Timeline Estacas'!F131,"")</f>
        <v/>
      </c>
      <c r="G131" s="88" t="str">
        <f aca="false">IF($F131="","",IF('Timeline Estacas'!G131&lt;&gt;"",'Timeline Estacas'!G131,'Timeline Estacas'!I131))</f>
        <v/>
      </c>
      <c r="H131" s="88" t="str">
        <f aca="false">IF(ISNUMBER('Timeline Estacas'!H131),'Timeline Estacas'!H131,"")</f>
        <v/>
      </c>
      <c r="I131" s="88" t="str">
        <f aca="false">IF($H131="","",'Timeline Estacas'!I131)</f>
        <v/>
      </c>
      <c r="J131" s="86" t="str">
        <f aca="false">IF(ISNUMBER('Timeline Estacas'!J131),'Timeline Estacas'!J131,"")</f>
        <v/>
      </c>
      <c r="K131" s="88" t="str">
        <f aca="false">IF('Timeline Estacas'!K131="","",'Timeline Estacas'!K131)</f>
        <v/>
      </c>
      <c r="L131" s="88" t="str">
        <f aca="false">IF('Timeline Estacas'!L131="","",'Timeline Estacas'!L131)</f>
        <v/>
      </c>
      <c r="M131" s="88" t="str">
        <f aca="false">IF('Timeline Estacas'!M131="","",'Timeline Estacas'!M131)</f>
        <v/>
      </c>
      <c r="N131" s="89" t="str">
        <f aca="false">IF('Timeline Estacas'!N131="","",'Timeline Estacas'!N131)</f>
        <v/>
      </c>
      <c r="O131" s="90" t="str">
        <f aca="false">IF(ISNUMBER('Timeline Estacas'!O131),'Timeline Estacas'!O131,"")</f>
        <v/>
      </c>
      <c r="P131" s="91" t="n">
        <f aca="false">IF($Q131&gt;0,1,0)</f>
        <v>0</v>
      </c>
      <c r="Q131" s="91" t="n">
        <f aca="false">IF($F131="",0,1)+IF($H131="",0,1)</f>
        <v>0</v>
      </c>
      <c r="R131" s="91" t="n">
        <f aca="false">IF($N131="",0,1)</f>
        <v>0</v>
      </c>
      <c r="S131" s="91" t="n">
        <f aca="false">IF($F131="",0,1)</f>
        <v>0</v>
      </c>
      <c r="T131" s="91" t="n">
        <f aca="false">IF($H131="",0,1)</f>
        <v>0</v>
      </c>
      <c r="U131" s="91" t="n">
        <f aca="false">IF($J131="",0,1)</f>
        <v>0</v>
      </c>
      <c r="V131" s="91" t="n">
        <f aca="true">IF($J131="",0,IF($J131&lt;=TODAY(),1,0))</f>
        <v>0</v>
      </c>
      <c r="W131" s="92" t="n">
        <f aca="false">IF($O131="",0,$O131)</f>
        <v>0</v>
      </c>
      <c r="X131" s="91" t="str">
        <f aca="false">IF($R131=1,SUM($R$2:$R131),"")</f>
        <v/>
      </c>
      <c r="Y131" s="91" t="n">
        <f aca="false">IF($F131="",0,IF(COUNTIF($F$2:$F131,$F131)+COUNTIF($H$2:$H131,$F131)&gt;1,1,0))+IF($H131="",0,IF(COUNTIF($F$2:$F131,$H131)+COUNTIF($H$2:$H131,$H131)&gt;1,1,0))</f>
        <v>0</v>
      </c>
      <c r="Z131" s="91" t="n">
        <f aca="false">IF($Q131=0,0,IF(COUNTIFS($A$2:$A131,$A131,$Q$2:$Q131,"&gt;0")=1,1,0))</f>
        <v>0</v>
      </c>
      <c r="AA131" s="93" t="str">
        <f aca="false">IF($Q131&gt;0,$A131,"")</f>
        <v/>
      </c>
      <c r="AB131" s="91" t="n">
        <f aca="false">IF($K131="",0,1)</f>
        <v>0</v>
      </c>
      <c r="AC131" s="91" t="n">
        <f aca="false">IF($L131="",0,1)</f>
        <v>0</v>
      </c>
      <c r="AD131" s="91" t="n">
        <f aca="false">IF($M131="",0,1)</f>
        <v>0</v>
      </c>
      <c r="AE131" s="91" t="str">
        <f aca="false">IF($Q131&gt;0,$D131,"")</f>
        <v/>
      </c>
      <c r="AF131" s="1"/>
      <c r="AG131" s="1"/>
      <c r="AH131" s="1"/>
      <c r="AI131" s="1"/>
      <c r="AJ131" s="1"/>
      <c r="AK131" s="1"/>
      <c r="AL131" s="1"/>
      <c r="AM131" s="1"/>
      <c r="AN131" s="1"/>
    </row>
    <row r="132" customFormat="false" ht="18" hidden="false" customHeight="true" outlineLevel="0" collapsed="false">
      <c r="A132" s="86" t="n">
        <f aca="false">IF(ISNUMBER('Timeline Estacas'!A132),'Timeline Estacas'!A132,"")</f>
        <v>46276</v>
      </c>
      <c r="B132" s="87" t="n">
        <f aca="false">IF($A132="","",$A132)</f>
        <v>46276</v>
      </c>
      <c r="C132" s="88" t="n">
        <f aca="false">IF(ISNUMBER('Timeline Estacas'!C132),'Timeline Estacas'!C132,"")</f>
        <v>315</v>
      </c>
      <c r="D132" s="88" t="n">
        <f aca="false">IF(ISNUMBER('Timeline Estacas'!D132),'Timeline Estacas'!D132,"")</f>
        <v>46</v>
      </c>
      <c r="E132" s="88" t="str">
        <f aca="false">IF($D132="","","S-"&amp;TEXT($D132,"00"))</f>
        <v>S-46</v>
      </c>
      <c r="F132" s="88" t="str">
        <f aca="false">IF(ISNUMBER('Timeline Estacas'!F132),'Timeline Estacas'!F132,"")</f>
        <v/>
      </c>
      <c r="G132" s="88" t="str">
        <f aca="false">IF($F132="","",IF('Timeline Estacas'!G132&lt;&gt;"",'Timeline Estacas'!G132,'Timeline Estacas'!I132))</f>
        <v/>
      </c>
      <c r="H132" s="88" t="str">
        <f aca="false">IF(ISNUMBER('Timeline Estacas'!H132),'Timeline Estacas'!H132,"")</f>
        <v/>
      </c>
      <c r="I132" s="88" t="str">
        <f aca="false">IF($H132="","",'Timeline Estacas'!I132)</f>
        <v/>
      </c>
      <c r="J132" s="86" t="str">
        <f aca="false">IF(ISNUMBER('Timeline Estacas'!J132),'Timeline Estacas'!J132,"")</f>
        <v/>
      </c>
      <c r="K132" s="88" t="str">
        <f aca="false">IF('Timeline Estacas'!K132="","",'Timeline Estacas'!K132)</f>
        <v/>
      </c>
      <c r="L132" s="88" t="str">
        <f aca="false">IF('Timeline Estacas'!L132="","",'Timeline Estacas'!L132)</f>
        <v/>
      </c>
      <c r="M132" s="88" t="str">
        <f aca="false">IF('Timeline Estacas'!M132="","",'Timeline Estacas'!M132)</f>
        <v/>
      </c>
      <c r="N132" s="89" t="str">
        <f aca="false">IF('Timeline Estacas'!N132="","",'Timeline Estacas'!N132)</f>
        <v/>
      </c>
      <c r="O132" s="90" t="str">
        <f aca="false">IF(ISNUMBER('Timeline Estacas'!O132),'Timeline Estacas'!O132,"")</f>
        <v/>
      </c>
      <c r="P132" s="91" t="n">
        <f aca="false">IF($Q132&gt;0,1,0)</f>
        <v>0</v>
      </c>
      <c r="Q132" s="91" t="n">
        <f aca="false">IF($F132="",0,1)+IF($H132="",0,1)</f>
        <v>0</v>
      </c>
      <c r="R132" s="91" t="n">
        <f aca="false">IF($N132="",0,1)</f>
        <v>0</v>
      </c>
      <c r="S132" s="91" t="n">
        <f aca="false">IF($F132="",0,1)</f>
        <v>0</v>
      </c>
      <c r="T132" s="91" t="n">
        <f aca="false">IF($H132="",0,1)</f>
        <v>0</v>
      </c>
      <c r="U132" s="91" t="n">
        <f aca="false">IF($J132="",0,1)</f>
        <v>0</v>
      </c>
      <c r="V132" s="91" t="n">
        <f aca="true">IF($J132="",0,IF($J132&lt;=TODAY(),1,0))</f>
        <v>0</v>
      </c>
      <c r="W132" s="92" t="n">
        <f aca="false">IF($O132="",0,$O132)</f>
        <v>0</v>
      </c>
      <c r="X132" s="91" t="str">
        <f aca="false">IF($R132=1,SUM($R$2:$R132),"")</f>
        <v/>
      </c>
      <c r="Y132" s="91" t="n">
        <f aca="false">IF($F132="",0,IF(COUNTIF($F$2:$F132,$F132)+COUNTIF($H$2:$H132,$F132)&gt;1,1,0))+IF($H132="",0,IF(COUNTIF($F$2:$F132,$H132)+COUNTIF($H$2:$H132,$H132)&gt;1,1,0))</f>
        <v>0</v>
      </c>
      <c r="Z132" s="91" t="n">
        <f aca="false">IF($Q132=0,0,IF(COUNTIFS($A$2:$A132,$A132,$Q$2:$Q132,"&gt;0")=1,1,0))</f>
        <v>0</v>
      </c>
      <c r="AA132" s="93" t="str">
        <f aca="false">IF($Q132&gt;0,$A132,"")</f>
        <v/>
      </c>
      <c r="AB132" s="91" t="n">
        <f aca="false">IF($K132="",0,1)</f>
        <v>0</v>
      </c>
      <c r="AC132" s="91" t="n">
        <f aca="false">IF($L132="",0,1)</f>
        <v>0</v>
      </c>
      <c r="AD132" s="91" t="n">
        <f aca="false">IF($M132="",0,1)</f>
        <v>0</v>
      </c>
      <c r="AE132" s="91" t="str">
        <f aca="false">IF($Q132&gt;0,$D132,"")</f>
        <v/>
      </c>
      <c r="AF132" s="1"/>
      <c r="AG132" s="1"/>
      <c r="AH132" s="1"/>
      <c r="AI132" s="1"/>
      <c r="AJ132" s="1"/>
      <c r="AK132" s="1"/>
      <c r="AL132" s="1"/>
      <c r="AM132" s="1"/>
      <c r="AN132" s="1"/>
    </row>
    <row r="133" customFormat="false" ht="18" hidden="false" customHeight="true" outlineLevel="0" collapsed="false">
      <c r="A133" s="86" t="n">
        <f aca="false">IF(ISNUMBER('Timeline Estacas'!A133),'Timeline Estacas'!A133,"")</f>
        <v>46277</v>
      </c>
      <c r="B133" s="87" t="n">
        <f aca="false">IF($A133="","",$A133)</f>
        <v>46277</v>
      </c>
      <c r="C133" s="88" t="n">
        <f aca="false">IF(ISNUMBER('Timeline Estacas'!C133),'Timeline Estacas'!C133,"")</f>
        <v>316</v>
      </c>
      <c r="D133" s="88" t="n">
        <f aca="false">IF(ISNUMBER('Timeline Estacas'!D133),'Timeline Estacas'!D133,"")</f>
        <v>46</v>
      </c>
      <c r="E133" s="88" t="str">
        <f aca="false">IF($D133="","","S-"&amp;TEXT($D133,"00"))</f>
        <v>S-46</v>
      </c>
      <c r="F133" s="88" t="str">
        <f aca="false">IF(ISNUMBER('Timeline Estacas'!F133),'Timeline Estacas'!F133,"")</f>
        <v/>
      </c>
      <c r="G133" s="88" t="str">
        <f aca="false">IF($F133="","",IF('Timeline Estacas'!G133&lt;&gt;"",'Timeline Estacas'!G133,'Timeline Estacas'!I133))</f>
        <v/>
      </c>
      <c r="H133" s="88" t="str">
        <f aca="false">IF(ISNUMBER('Timeline Estacas'!H133),'Timeline Estacas'!H133,"")</f>
        <v/>
      </c>
      <c r="I133" s="88" t="str">
        <f aca="false">IF($H133="","",'Timeline Estacas'!I133)</f>
        <v/>
      </c>
      <c r="J133" s="86" t="str">
        <f aca="false">IF(ISNUMBER('Timeline Estacas'!J133),'Timeline Estacas'!J133,"")</f>
        <v/>
      </c>
      <c r="K133" s="88" t="str">
        <f aca="false">IF('Timeline Estacas'!K133="","",'Timeline Estacas'!K133)</f>
        <v/>
      </c>
      <c r="L133" s="88" t="str">
        <f aca="false">IF('Timeline Estacas'!L133="","",'Timeline Estacas'!L133)</f>
        <v/>
      </c>
      <c r="M133" s="88" t="str">
        <f aca="false">IF('Timeline Estacas'!M133="","",'Timeline Estacas'!M133)</f>
        <v/>
      </c>
      <c r="N133" s="89" t="str">
        <f aca="false">IF('Timeline Estacas'!N133="","",'Timeline Estacas'!N133)</f>
        <v/>
      </c>
      <c r="O133" s="90" t="str">
        <f aca="false">IF(ISNUMBER('Timeline Estacas'!O133),'Timeline Estacas'!O133,"")</f>
        <v/>
      </c>
      <c r="P133" s="91" t="n">
        <f aca="false">IF($Q133&gt;0,1,0)</f>
        <v>0</v>
      </c>
      <c r="Q133" s="91" t="n">
        <f aca="false">IF($F133="",0,1)+IF($H133="",0,1)</f>
        <v>0</v>
      </c>
      <c r="R133" s="91" t="n">
        <f aca="false">IF($N133="",0,1)</f>
        <v>0</v>
      </c>
      <c r="S133" s="91" t="n">
        <f aca="false">IF($F133="",0,1)</f>
        <v>0</v>
      </c>
      <c r="T133" s="91" t="n">
        <f aca="false">IF($H133="",0,1)</f>
        <v>0</v>
      </c>
      <c r="U133" s="91" t="n">
        <f aca="false">IF($J133="",0,1)</f>
        <v>0</v>
      </c>
      <c r="V133" s="91" t="n">
        <f aca="true">IF($J133="",0,IF($J133&lt;=TODAY(),1,0))</f>
        <v>0</v>
      </c>
      <c r="W133" s="92" t="n">
        <f aca="false">IF($O133="",0,$O133)</f>
        <v>0</v>
      </c>
      <c r="X133" s="91" t="str">
        <f aca="false">IF($R133=1,SUM($R$2:$R133),"")</f>
        <v/>
      </c>
      <c r="Y133" s="91" t="n">
        <f aca="false">IF($F133="",0,IF(COUNTIF($F$2:$F133,$F133)+COUNTIF($H$2:$H133,$F133)&gt;1,1,0))+IF($H133="",0,IF(COUNTIF($F$2:$F133,$H133)+COUNTIF($H$2:$H133,$H133)&gt;1,1,0))</f>
        <v>0</v>
      </c>
      <c r="Z133" s="91" t="n">
        <f aca="false">IF($Q133=0,0,IF(COUNTIFS($A$2:$A133,$A133,$Q$2:$Q133,"&gt;0")=1,1,0))</f>
        <v>0</v>
      </c>
      <c r="AA133" s="93" t="str">
        <f aca="false">IF($Q133&gt;0,$A133,"")</f>
        <v/>
      </c>
      <c r="AB133" s="91" t="n">
        <f aca="false">IF($K133="",0,1)</f>
        <v>0</v>
      </c>
      <c r="AC133" s="91" t="n">
        <f aca="false">IF($L133="",0,1)</f>
        <v>0</v>
      </c>
      <c r="AD133" s="91" t="n">
        <f aca="false">IF($M133="",0,1)</f>
        <v>0</v>
      </c>
      <c r="AE133" s="91" t="str">
        <f aca="false">IF($Q133&gt;0,$D133,"")</f>
        <v/>
      </c>
      <c r="AF133" s="1"/>
      <c r="AG133" s="1"/>
      <c r="AH133" s="1"/>
      <c r="AI133" s="1"/>
      <c r="AJ133" s="1"/>
      <c r="AK133" s="1"/>
      <c r="AL133" s="1"/>
      <c r="AM133" s="1"/>
      <c r="AN133" s="1"/>
    </row>
    <row r="134" customFormat="false" ht="18" hidden="false" customHeight="true" outlineLevel="0" collapsed="false">
      <c r="A134" s="86" t="n">
        <f aca="false">IF(ISNUMBER('Timeline Estacas'!A134),'Timeline Estacas'!A134,"")</f>
        <v>46278</v>
      </c>
      <c r="B134" s="87" t="n">
        <f aca="false">IF($A134="","",$A134)</f>
        <v>46278</v>
      </c>
      <c r="C134" s="88" t="n">
        <f aca="false">IF(ISNUMBER('Timeline Estacas'!C134),'Timeline Estacas'!C134,"")</f>
        <v>317</v>
      </c>
      <c r="D134" s="88" t="n">
        <f aca="false">IF(ISNUMBER('Timeline Estacas'!D134),'Timeline Estacas'!D134,"")</f>
        <v>46</v>
      </c>
      <c r="E134" s="88" t="str">
        <f aca="false">IF($D134="","","S-"&amp;TEXT($D134,"00"))</f>
        <v>S-46</v>
      </c>
      <c r="F134" s="88" t="str">
        <f aca="false">IF(ISNUMBER('Timeline Estacas'!F134),'Timeline Estacas'!F134,"")</f>
        <v/>
      </c>
      <c r="G134" s="88" t="str">
        <f aca="false">IF($F134="","",IF('Timeline Estacas'!G134&lt;&gt;"",'Timeline Estacas'!G134,'Timeline Estacas'!I134))</f>
        <v/>
      </c>
      <c r="H134" s="88" t="str">
        <f aca="false">IF(ISNUMBER('Timeline Estacas'!H134),'Timeline Estacas'!H134,"")</f>
        <v/>
      </c>
      <c r="I134" s="88" t="str">
        <f aca="false">IF($H134="","",'Timeline Estacas'!I134)</f>
        <v/>
      </c>
      <c r="J134" s="86" t="str">
        <f aca="false">IF(ISNUMBER('Timeline Estacas'!J134),'Timeline Estacas'!J134,"")</f>
        <v/>
      </c>
      <c r="K134" s="88" t="str">
        <f aca="false">IF('Timeline Estacas'!K134="","",'Timeline Estacas'!K134)</f>
        <v/>
      </c>
      <c r="L134" s="88" t="str">
        <f aca="false">IF('Timeline Estacas'!L134="","",'Timeline Estacas'!L134)</f>
        <v/>
      </c>
      <c r="M134" s="88" t="str">
        <f aca="false">IF('Timeline Estacas'!M134="","",'Timeline Estacas'!M134)</f>
        <v/>
      </c>
      <c r="N134" s="89" t="str">
        <f aca="false">IF('Timeline Estacas'!N134="","",'Timeline Estacas'!N134)</f>
        <v/>
      </c>
      <c r="O134" s="90" t="str">
        <f aca="false">IF(ISNUMBER('Timeline Estacas'!O134),'Timeline Estacas'!O134,"")</f>
        <v/>
      </c>
      <c r="P134" s="91" t="n">
        <f aca="false">IF($Q134&gt;0,1,0)</f>
        <v>0</v>
      </c>
      <c r="Q134" s="91" t="n">
        <f aca="false">IF($F134="",0,1)+IF($H134="",0,1)</f>
        <v>0</v>
      </c>
      <c r="R134" s="91" t="n">
        <f aca="false">IF($N134="",0,1)</f>
        <v>0</v>
      </c>
      <c r="S134" s="91" t="n">
        <f aca="false">IF($F134="",0,1)</f>
        <v>0</v>
      </c>
      <c r="T134" s="91" t="n">
        <f aca="false">IF($H134="",0,1)</f>
        <v>0</v>
      </c>
      <c r="U134" s="91" t="n">
        <f aca="false">IF($J134="",0,1)</f>
        <v>0</v>
      </c>
      <c r="V134" s="91" t="n">
        <f aca="true">IF($J134="",0,IF($J134&lt;=TODAY(),1,0))</f>
        <v>0</v>
      </c>
      <c r="W134" s="92" t="n">
        <f aca="false">IF($O134="",0,$O134)</f>
        <v>0</v>
      </c>
      <c r="X134" s="91" t="str">
        <f aca="false">IF($R134=1,SUM($R$2:$R134),"")</f>
        <v/>
      </c>
      <c r="Y134" s="91" t="n">
        <f aca="false">IF($F134="",0,IF(COUNTIF($F$2:$F134,$F134)+COUNTIF($H$2:$H134,$F134)&gt;1,1,0))+IF($H134="",0,IF(COUNTIF($F$2:$F134,$H134)+COUNTIF($H$2:$H134,$H134)&gt;1,1,0))</f>
        <v>0</v>
      </c>
      <c r="Z134" s="91" t="n">
        <f aca="false">IF($Q134=0,0,IF(COUNTIFS($A$2:$A134,$A134,$Q$2:$Q134,"&gt;0")=1,1,0))</f>
        <v>0</v>
      </c>
      <c r="AA134" s="93" t="str">
        <f aca="false">IF($Q134&gt;0,$A134,"")</f>
        <v/>
      </c>
      <c r="AB134" s="91" t="n">
        <f aca="false">IF($K134="",0,1)</f>
        <v>0</v>
      </c>
      <c r="AC134" s="91" t="n">
        <f aca="false">IF($L134="",0,1)</f>
        <v>0</v>
      </c>
      <c r="AD134" s="91" t="n">
        <f aca="false">IF($M134="",0,1)</f>
        <v>0</v>
      </c>
      <c r="AE134" s="91" t="str">
        <f aca="false">IF($Q134&gt;0,$D134,"")</f>
        <v/>
      </c>
      <c r="AF134" s="1"/>
      <c r="AG134" s="1"/>
      <c r="AH134" s="1"/>
      <c r="AI134" s="1"/>
      <c r="AJ134" s="1"/>
      <c r="AK134" s="1"/>
      <c r="AL134" s="1"/>
      <c r="AM134" s="1"/>
      <c r="AN134" s="1"/>
    </row>
    <row r="135" customFormat="false" ht="18" hidden="false" customHeight="true" outlineLevel="0" collapsed="false">
      <c r="A135" s="86" t="n">
        <f aca="false">IF(ISNUMBER('Timeline Estacas'!A135),'Timeline Estacas'!A135,"")</f>
        <v>46279</v>
      </c>
      <c r="B135" s="87" t="n">
        <f aca="false">IF($A135="","",$A135)</f>
        <v>46279</v>
      </c>
      <c r="C135" s="88" t="n">
        <f aca="false">IF(ISNUMBER('Timeline Estacas'!C135),'Timeline Estacas'!C135,"")</f>
        <v>318</v>
      </c>
      <c r="D135" s="88" t="n">
        <f aca="false">IF(ISNUMBER('Timeline Estacas'!D135),'Timeline Estacas'!D135,"")</f>
        <v>46</v>
      </c>
      <c r="E135" s="88" t="str">
        <f aca="false">IF($D135="","","S-"&amp;TEXT($D135,"00"))</f>
        <v>S-46</v>
      </c>
      <c r="F135" s="88" t="str">
        <f aca="false">IF(ISNUMBER('Timeline Estacas'!F135),'Timeline Estacas'!F135,"")</f>
        <v/>
      </c>
      <c r="G135" s="88" t="str">
        <f aca="false">IF($F135="","",IF('Timeline Estacas'!G135&lt;&gt;"",'Timeline Estacas'!G135,'Timeline Estacas'!I135))</f>
        <v/>
      </c>
      <c r="H135" s="88" t="str">
        <f aca="false">IF(ISNUMBER('Timeline Estacas'!H135),'Timeline Estacas'!H135,"")</f>
        <v/>
      </c>
      <c r="I135" s="88" t="str">
        <f aca="false">IF($H135="","",'Timeline Estacas'!I135)</f>
        <v/>
      </c>
      <c r="J135" s="86" t="str">
        <f aca="false">IF(ISNUMBER('Timeline Estacas'!J135),'Timeline Estacas'!J135,"")</f>
        <v/>
      </c>
      <c r="K135" s="88" t="str">
        <f aca="false">IF('Timeline Estacas'!K135="","",'Timeline Estacas'!K135)</f>
        <v/>
      </c>
      <c r="L135" s="88" t="str">
        <f aca="false">IF('Timeline Estacas'!L135="","",'Timeline Estacas'!L135)</f>
        <v/>
      </c>
      <c r="M135" s="88" t="str">
        <f aca="false">IF('Timeline Estacas'!M135="","",'Timeline Estacas'!M135)</f>
        <v/>
      </c>
      <c r="N135" s="89" t="str">
        <f aca="false">IF('Timeline Estacas'!N135="","",'Timeline Estacas'!N135)</f>
        <v/>
      </c>
      <c r="O135" s="90" t="str">
        <f aca="false">IF(ISNUMBER('Timeline Estacas'!O135),'Timeline Estacas'!O135,"")</f>
        <v/>
      </c>
      <c r="P135" s="91" t="n">
        <f aca="false">IF($Q135&gt;0,1,0)</f>
        <v>0</v>
      </c>
      <c r="Q135" s="91" t="n">
        <f aca="false">IF($F135="",0,1)+IF($H135="",0,1)</f>
        <v>0</v>
      </c>
      <c r="R135" s="91" t="n">
        <f aca="false">IF($N135="",0,1)</f>
        <v>0</v>
      </c>
      <c r="S135" s="91" t="n">
        <f aca="false">IF($F135="",0,1)</f>
        <v>0</v>
      </c>
      <c r="T135" s="91" t="n">
        <f aca="false">IF($H135="",0,1)</f>
        <v>0</v>
      </c>
      <c r="U135" s="91" t="n">
        <f aca="false">IF($J135="",0,1)</f>
        <v>0</v>
      </c>
      <c r="V135" s="91" t="n">
        <f aca="true">IF($J135="",0,IF($J135&lt;=TODAY(),1,0))</f>
        <v>0</v>
      </c>
      <c r="W135" s="92" t="n">
        <f aca="false">IF($O135="",0,$O135)</f>
        <v>0</v>
      </c>
      <c r="X135" s="91" t="str">
        <f aca="false">IF($R135=1,SUM($R$2:$R135),"")</f>
        <v/>
      </c>
      <c r="Y135" s="91" t="n">
        <f aca="false">IF($F135="",0,IF(COUNTIF($F$2:$F135,$F135)+COUNTIF($H$2:$H135,$F135)&gt;1,1,0))+IF($H135="",0,IF(COUNTIF($F$2:$F135,$H135)+COUNTIF($H$2:$H135,$H135)&gt;1,1,0))</f>
        <v>0</v>
      </c>
      <c r="Z135" s="91" t="n">
        <f aca="false">IF($Q135=0,0,IF(COUNTIFS($A$2:$A135,$A135,$Q$2:$Q135,"&gt;0")=1,1,0))</f>
        <v>0</v>
      </c>
      <c r="AA135" s="93" t="str">
        <f aca="false">IF($Q135&gt;0,$A135,"")</f>
        <v/>
      </c>
      <c r="AB135" s="91" t="n">
        <f aca="false">IF($K135="",0,1)</f>
        <v>0</v>
      </c>
      <c r="AC135" s="91" t="n">
        <f aca="false">IF($L135="",0,1)</f>
        <v>0</v>
      </c>
      <c r="AD135" s="91" t="n">
        <f aca="false">IF($M135="",0,1)</f>
        <v>0</v>
      </c>
      <c r="AE135" s="91" t="str">
        <f aca="false">IF($Q135&gt;0,$D135,"")</f>
        <v/>
      </c>
      <c r="AF135" s="1"/>
      <c r="AG135" s="1"/>
      <c r="AH135" s="1"/>
      <c r="AI135" s="1"/>
      <c r="AJ135" s="1"/>
      <c r="AK135" s="1"/>
      <c r="AL135" s="1"/>
      <c r="AM135" s="1"/>
      <c r="AN135" s="1"/>
    </row>
    <row r="136" customFormat="false" ht="18" hidden="false" customHeight="true" outlineLevel="0" collapsed="false">
      <c r="A136" s="86" t="n">
        <f aca="false">IF(ISNUMBER('Timeline Estacas'!A136),'Timeline Estacas'!A136,"")</f>
        <v>46280</v>
      </c>
      <c r="B136" s="87" t="n">
        <f aca="false">IF($A136="","",$A136)</f>
        <v>46280</v>
      </c>
      <c r="C136" s="88" t="n">
        <f aca="false">IF(ISNUMBER('Timeline Estacas'!C136),'Timeline Estacas'!C136,"")</f>
        <v>319</v>
      </c>
      <c r="D136" s="88" t="n">
        <f aca="false">IF(ISNUMBER('Timeline Estacas'!D136),'Timeline Estacas'!D136,"")</f>
        <v>46</v>
      </c>
      <c r="E136" s="88" t="str">
        <f aca="false">IF($D136="","","S-"&amp;TEXT($D136,"00"))</f>
        <v>S-46</v>
      </c>
      <c r="F136" s="88" t="str">
        <f aca="false">IF(ISNUMBER('Timeline Estacas'!F136),'Timeline Estacas'!F136,"")</f>
        <v/>
      </c>
      <c r="G136" s="88" t="str">
        <f aca="false">IF($F136="","",IF('Timeline Estacas'!G136&lt;&gt;"",'Timeline Estacas'!G136,'Timeline Estacas'!I136))</f>
        <v/>
      </c>
      <c r="H136" s="88" t="str">
        <f aca="false">IF(ISNUMBER('Timeline Estacas'!H136),'Timeline Estacas'!H136,"")</f>
        <v/>
      </c>
      <c r="I136" s="88" t="str">
        <f aca="false">IF($H136="","",'Timeline Estacas'!I136)</f>
        <v/>
      </c>
      <c r="J136" s="86" t="str">
        <f aca="false">IF(ISNUMBER('Timeline Estacas'!J136),'Timeline Estacas'!J136,"")</f>
        <v/>
      </c>
      <c r="K136" s="88" t="str">
        <f aca="false">IF('Timeline Estacas'!K136="","",'Timeline Estacas'!K136)</f>
        <v/>
      </c>
      <c r="L136" s="88" t="str">
        <f aca="false">IF('Timeline Estacas'!L136="","",'Timeline Estacas'!L136)</f>
        <v/>
      </c>
      <c r="M136" s="88" t="str">
        <f aca="false">IF('Timeline Estacas'!M136="","",'Timeline Estacas'!M136)</f>
        <v/>
      </c>
      <c r="N136" s="89" t="str">
        <f aca="false">IF('Timeline Estacas'!N136="","",'Timeline Estacas'!N136)</f>
        <v/>
      </c>
      <c r="O136" s="90" t="str">
        <f aca="false">IF(ISNUMBER('Timeline Estacas'!O136),'Timeline Estacas'!O136,"")</f>
        <v/>
      </c>
      <c r="P136" s="91" t="n">
        <f aca="false">IF($Q136&gt;0,1,0)</f>
        <v>0</v>
      </c>
      <c r="Q136" s="91" t="n">
        <f aca="false">IF($F136="",0,1)+IF($H136="",0,1)</f>
        <v>0</v>
      </c>
      <c r="R136" s="91" t="n">
        <f aca="false">IF($N136="",0,1)</f>
        <v>0</v>
      </c>
      <c r="S136" s="91" t="n">
        <f aca="false">IF($F136="",0,1)</f>
        <v>0</v>
      </c>
      <c r="T136" s="91" t="n">
        <f aca="false">IF($H136="",0,1)</f>
        <v>0</v>
      </c>
      <c r="U136" s="91" t="n">
        <f aca="false">IF($J136="",0,1)</f>
        <v>0</v>
      </c>
      <c r="V136" s="91" t="n">
        <f aca="true">IF($J136="",0,IF($J136&lt;=TODAY(),1,0))</f>
        <v>0</v>
      </c>
      <c r="W136" s="92" t="n">
        <f aca="false">IF($O136="",0,$O136)</f>
        <v>0</v>
      </c>
      <c r="X136" s="91" t="str">
        <f aca="false">IF($R136=1,SUM($R$2:$R136),"")</f>
        <v/>
      </c>
      <c r="Y136" s="91" t="n">
        <f aca="false">IF($F136="",0,IF(COUNTIF($F$2:$F136,$F136)+COUNTIF($H$2:$H136,$F136)&gt;1,1,0))+IF($H136="",0,IF(COUNTIF($F$2:$F136,$H136)+COUNTIF($H$2:$H136,$H136)&gt;1,1,0))</f>
        <v>0</v>
      </c>
      <c r="Z136" s="91" t="n">
        <f aca="false">IF($Q136=0,0,IF(COUNTIFS($A$2:$A136,$A136,$Q$2:$Q136,"&gt;0")=1,1,0))</f>
        <v>0</v>
      </c>
      <c r="AA136" s="93" t="str">
        <f aca="false">IF($Q136&gt;0,$A136,"")</f>
        <v/>
      </c>
      <c r="AB136" s="91" t="n">
        <f aca="false">IF($K136="",0,1)</f>
        <v>0</v>
      </c>
      <c r="AC136" s="91" t="n">
        <f aca="false">IF($L136="",0,1)</f>
        <v>0</v>
      </c>
      <c r="AD136" s="91" t="n">
        <f aca="false">IF($M136="",0,1)</f>
        <v>0</v>
      </c>
      <c r="AE136" s="91" t="str">
        <f aca="false">IF($Q136&gt;0,$D136,"")</f>
        <v/>
      </c>
      <c r="AF136" s="1"/>
      <c r="AG136" s="1"/>
      <c r="AH136" s="1"/>
      <c r="AI136" s="1"/>
      <c r="AJ136" s="1"/>
      <c r="AK136" s="1"/>
      <c r="AL136" s="1"/>
      <c r="AM136" s="1"/>
      <c r="AN136" s="1"/>
    </row>
    <row r="137" customFormat="false" ht="18" hidden="false" customHeight="true" outlineLevel="0" collapsed="false">
      <c r="A137" s="86" t="n">
        <f aca="false">IF(ISNUMBER('Timeline Estacas'!A137),'Timeline Estacas'!A137,"")</f>
        <v>46281</v>
      </c>
      <c r="B137" s="87" t="n">
        <f aca="false">IF($A137="","",$A137)</f>
        <v>46281</v>
      </c>
      <c r="C137" s="88" t="n">
        <f aca="false">IF(ISNUMBER('Timeline Estacas'!C137),'Timeline Estacas'!C137,"")</f>
        <v>320</v>
      </c>
      <c r="D137" s="88" t="n">
        <f aca="false">IF(ISNUMBER('Timeline Estacas'!D137),'Timeline Estacas'!D137,"")</f>
        <v>46</v>
      </c>
      <c r="E137" s="88" t="str">
        <f aca="false">IF($D137="","","S-"&amp;TEXT($D137,"00"))</f>
        <v>S-46</v>
      </c>
      <c r="F137" s="88" t="str">
        <f aca="false">IF(ISNUMBER('Timeline Estacas'!F137),'Timeline Estacas'!F137,"")</f>
        <v/>
      </c>
      <c r="G137" s="88" t="str">
        <f aca="false">IF($F137="","",IF('Timeline Estacas'!G137&lt;&gt;"",'Timeline Estacas'!G137,'Timeline Estacas'!I137))</f>
        <v/>
      </c>
      <c r="H137" s="88" t="str">
        <f aca="false">IF(ISNUMBER('Timeline Estacas'!H137),'Timeline Estacas'!H137,"")</f>
        <v/>
      </c>
      <c r="I137" s="88" t="str">
        <f aca="false">IF($H137="","",'Timeline Estacas'!I137)</f>
        <v/>
      </c>
      <c r="J137" s="86" t="str">
        <f aca="false">IF(ISNUMBER('Timeline Estacas'!J137),'Timeline Estacas'!J137,"")</f>
        <v/>
      </c>
      <c r="K137" s="88" t="str">
        <f aca="false">IF('Timeline Estacas'!K137="","",'Timeline Estacas'!K137)</f>
        <v/>
      </c>
      <c r="L137" s="88" t="str">
        <f aca="false">IF('Timeline Estacas'!L137="","",'Timeline Estacas'!L137)</f>
        <v/>
      </c>
      <c r="M137" s="88" t="str">
        <f aca="false">IF('Timeline Estacas'!M137="","",'Timeline Estacas'!M137)</f>
        <v/>
      </c>
      <c r="N137" s="89" t="str">
        <f aca="false">IF('Timeline Estacas'!N137="","",'Timeline Estacas'!N137)</f>
        <v/>
      </c>
      <c r="O137" s="90" t="str">
        <f aca="false">IF(ISNUMBER('Timeline Estacas'!O137),'Timeline Estacas'!O137,"")</f>
        <v/>
      </c>
      <c r="P137" s="91" t="n">
        <f aca="false">IF($Q137&gt;0,1,0)</f>
        <v>0</v>
      </c>
      <c r="Q137" s="91" t="n">
        <f aca="false">IF($F137="",0,1)+IF($H137="",0,1)</f>
        <v>0</v>
      </c>
      <c r="R137" s="91" t="n">
        <f aca="false">IF($N137="",0,1)</f>
        <v>0</v>
      </c>
      <c r="S137" s="91" t="n">
        <f aca="false">IF($F137="",0,1)</f>
        <v>0</v>
      </c>
      <c r="T137" s="91" t="n">
        <f aca="false">IF($H137="",0,1)</f>
        <v>0</v>
      </c>
      <c r="U137" s="91" t="n">
        <f aca="false">IF($J137="",0,1)</f>
        <v>0</v>
      </c>
      <c r="V137" s="91" t="n">
        <f aca="true">IF($J137="",0,IF($J137&lt;=TODAY(),1,0))</f>
        <v>0</v>
      </c>
      <c r="W137" s="92" t="n">
        <f aca="false">IF($O137="",0,$O137)</f>
        <v>0</v>
      </c>
      <c r="X137" s="91" t="str">
        <f aca="false">IF($R137=1,SUM($R$2:$R137),"")</f>
        <v/>
      </c>
      <c r="Y137" s="91" t="n">
        <f aca="false">IF($F137="",0,IF(COUNTIF($F$2:$F137,$F137)+COUNTIF($H$2:$H137,$F137)&gt;1,1,0))+IF($H137="",0,IF(COUNTIF($F$2:$F137,$H137)+COUNTIF($H$2:$H137,$H137)&gt;1,1,0))</f>
        <v>0</v>
      </c>
      <c r="Z137" s="91" t="n">
        <f aca="false">IF($Q137=0,0,IF(COUNTIFS($A$2:$A137,$A137,$Q$2:$Q137,"&gt;0")=1,1,0))</f>
        <v>0</v>
      </c>
      <c r="AA137" s="93" t="str">
        <f aca="false">IF($Q137&gt;0,$A137,"")</f>
        <v/>
      </c>
      <c r="AB137" s="91" t="n">
        <f aca="false">IF($K137="",0,1)</f>
        <v>0</v>
      </c>
      <c r="AC137" s="91" t="n">
        <f aca="false">IF($L137="",0,1)</f>
        <v>0</v>
      </c>
      <c r="AD137" s="91" t="n">
        <f aca="false">IF($M137="",0,1)</f>
        <v>0</v>
      </c>
      <c r="AE137" s="91" t="str">
        <f aca="false">IF($Q137&gt;0,$D137,"")</f>
        <v/>
      </c>
      <c r="AF137" s="1"/>
      <c r="AG137" s="1"/>
      <c r="AH137" s="1"/>
      <c r="AI137" s="1"/>
      <c r="AJ137" s="1"/>
      <c r="AK137" s="1"/>
      <c r="AL137" s="1"/>
      <c r="AM137" s="1"/>
      <c r="AN137" s="1"/>
    </row>
    <row r="138" customFormat="false" ht="18" hidden="false" customHeight="true" outlineLevel="0" collapsed="false">
      <c r="A138" s="86" t="n">
        <f aca="false">IF(ISNUMBER('Timeline Estacas'!A138),'Timeline Estacas'!A138,"")</f>
        <v>46282</v>
      </c>
      <c r="B138" s="87" t="n">
        <f aca="false">IF($A138="","",$A138)</f>
        <v>46282</v>
      </c>
      <c r="C138" s="88" t="n">
        <f aca="false">IF(ISNUMBER('Timeline Estacas'!C138),'Timeline Estacas'!C138,"")</f>
        <v>321</v>
      </c>
      <c r="D138" s="88" t="n">
        <f aca="false">IF(ISNUMBER('Timeline Estacas'!D138),'Timeline Estacas'!D138,"")</f>
        <v>46</v>
      </c>
      <c r="E138" s="88" t="str">
        <f aca="false">IF($D138="","","S-"&amp;TEXT($D138,"00"))</f>
        <v>S-46</v>
      </c>
      <c r="F138" s="88" t="str">
        <f aca="false">IF(ISNUMBER('Timeline Estacas'!F138),'Timeline Estacas'!F138,"")</f>
        <v/>
      </c>
      <c r="G138" s="88" t="str">
        <f aca="false">IF($F138="","",IF('Timeline Estacas'!G138&lt;&gt;"",'Timeline Estacas'!G138,'Timeline Estacas'!I138))</f>
        <v/>
      </c>
      <c r="H138" s="88" t="str">
        <f aca="false">IF(ISNUMBER('Timeline Estacas'!H138),'Timeline Estacas'!H138,"")</f>
        <v/>
      </c>
      <c r="I138" s="88" t="str">
        <f aca="false">IF($H138="","",'Timeline Estacas'!I138)</f>
        <v/>
      </c>
      <c r="J138" s="86" t="str">
        <f aca="false">IF(ISNUMBER('Timeline Estacas'!J138),'Timeline Estacas'!J138,"")</f>
        <v/>
      </c>
      <c r="K138" s="88" t="str">
        <f aca="false">IF('Timeline Estacas'!K138="","",'Timeline Estacas'!K138)</f>
        <v/>
      </c>
      <c r="L138" s="88" t="str">
        <f aca="false">IF('Timeline Estacas'!L138="","",'Timeline Estacas'!L138)</f>
        <v/>
      </c>
      <c r="M138" s="88" t="str">
        <f aca="false">IF('Timeline Estacas'!M138="","",'Timeline Estacas'!M138)</f>
        <v/>
      </c>
      <c r="N138" s="89" t="str">
        <f aca="false">IF('Timeline Estacas'!N138="","",'Timeline Estacas'!N138)</f>
        <v/>
      </c>
      <c r="O138" s="90" t="str">
        <f aca="false">IF(ISNUMBER('Timeline Estacas'!O138),'Timeline Estacas'!O138,"")</f>
        <v/>
      </c>
      <c r="P138" s="91" t="n">
        <f aca="false">IF($Q138&gt;0,1,0)</f>
        <v>0</v>
      </c>
      <c r="Q138" s="91" t="n">
        <f aca="false">IF($F138="",0,1)+IF($H138="",0,1)</f>
        <v>0</v>
      </c>
      <c r="R138" s="91" t="n">
        <f aca="false">IF($N138="",0,1)</f>
        <v>0</v>
      </c>
      <c r="S138" s="91" t="n">
        <f aca="false">IF($F138="",0,1)</f>
        <v>0</v>
      </c>
      <c r="T138" s="91" t="n">
        <f aca="false">IF($H138="",0,1)</f>
        <v>0</v>
      </c>
      <c r="U138" s="91" t="n">
        <f aca="false">IF($J138="",0,1)</f>
        <v>0</v>
      </c>
      <c r="V138" s="91" t="n">
        <f aca="true">IF($J138="",0,IF($J138&lt;=TODAY(),1,0))</f>
        <v>0</v>
      </c>
      <c r="W138" s="92" t="n">
        <f aca="false">IF($O138="",0,$O138)</f>
        <v>0</v>
      </c>
      <c r="X138" s="91" t="str">
        <f aca="false">IF($R138=1,SUM($R$2:$R138),"")</f>
        <v/>
      </c>
      <c r="Y138" s="91" t="n">
        <f aca="false">IF($F138="",0,IF(COUNTIF($F$2:$F138,$F138)+COUNTIF($H$2:$H138,$F138)&gt;1,1,0))+IF($H138="",0,IF(COUNTIF($F$2:$F138,$H138)+COUNTIF($H$2:$H138,$H138)&gt;1,1,0))</f>
        <v>0</v>
      </c>
      <c r="Z138" s="91" t="n">
        <f aca="false">IF($Q138=0,0,IF(COUNTIFS($A$2:$A138,$A138,$Q$2:$Q138,"&gt;0")=1,1,0))</f>
        <v>0</v>
      </c>
      <c r="AA138" s="93" t="str">
        <f aca="false">IF($Q138&gt;0,$A138,"")</f>
        <v/>
      </c>
      <c r="AB138" s="91" t="n">
        <f aca="false">IF($K138="",0,1)</f>
        <v>0</v>
      </c>
      <c r="AC138" s="91" t="n">
        <f aca="false">IF($L138="",0,1)</f>
        <v>0</v>
      </c>
      <c r="AD138" s="91" t="n">
        <f aca="false">IF($M138="",0,1)</f>
        <v>0</v>
      </c>
      <c r="AE138" s="91" t="str">
        <f aca="false">IF($Q138&gt;0,$D138,"")</f>
        <v/>
      </c>
      <c r="AF138" s="1"/>
      <c r="AG138" s="1"/>
      <c r="AH138" s="1"/>
      <c r="AI138" s="1"/>
      <c r="AJ138" s="1"/>
      <c r="AK138" s="1"/>
      <c r="AL138" s="1"/>
      <c r="AM138" s="1"/>
      <c r="AN138" s="1"/>
    </row>
    <row r="139" customFormat="false" ht="18" hidden="false" customHeight="true" outlineLevel="0" collapsed="false">
      <c r="A139" s="86" t="n">
        <f aca="false">IF(ISNUMBER('Timeline Estacas'!A139),'Timeline Estacas'!A139,"")</f>
        <v>46283</v>
      </c>
      <c r="B139" s="87" t="n">
        <f aca="false">IF($A139="","",$A139)</f>
        <v>46283</v>
      </c>
      <c r="C139" s="88" t="n">
        <f aca="false">IF(ISNUMBER('Timeline Estacas'!C139),'Timeline Estacas'!C139,"")</f>
        <v>322</v>
      </c>
      <c r="D139" s="88" t="n">
        <f aca="false">IF(ISNUMBER('Timeline Estacas'!D139),'Timeline Estacas'!D139,"")</f>
        <v>47</v>
      </c>
      <c r="E139" s="88" t="str">
        <f aca="false">IF($D139="","","S-"&amp;TEXT($D139,"00"))</f>
        <v>S-47</v>
      </c>
      <c r="F139" s="88" t="str">
        <f aca="false">IF(ISNUMBER('Timeline Estacas'!F139),'Timeline Estacas'!F139,"")</f>
        <v/>
      </c>
      <c r="G139" s="88" t="str">
        <f aca="false">IF($F139="","",IF('Timeline Estacas'!G139&lt;&gt;"",'Timeline Estacas'!G139,'Timeline Estacas'!I139))</f>
        <v/>
      </c>
      <c r="H139" s="88" t="str">
        <f aca="false">IF(ISNUMBER('Timeline Estacas'!H139),'Timeline Estacas'!H139,"")</f>
        <v/>
      </c>
      <c r="I139" s="88" t="str">
        <f aca="false">IF($H139="","",'Timeline Estacas'!I139)</f>
        <v/>
      </c>
      <c r="J139" s="86" t="str">
        <f aca="false">IF(ISNUMBER('Timeline Estacas'!J139),'Timeline Estacas'!J139,"")</f>
        <v/>
      </c>
      <c r="K139" s="88" t="str">
        <f aca="false">IF('Timeline Estacas'!K139="","",'Timeline Estacas'!K139)</f>
        <v/>
      </c>
      <c r="L139" s="88" t="str">
        <f aca="false">IF('Timeline Estacas'!L139="","",'Timeline Estacas'!L139)</f>
        <v/>
      </c>
      <c r="M139" s="88" t="str">
        <f aca="false">IF('Timeline Estacas'!M139="","",'Timeline Estacas'!M139)</f>
        <v/>
      </c>
      <c r="N139" s="89" t="str">
        <f aca="false">IF('Timeline Estacas'!N139="","",'Timeline Estacas'!N139)</f>
        <v/>
      </c>
      <c r="O139" s="90" t="str">
        <f aca="false">IF(ISNUMBER('Timeline Estacas'!O139),'Timeline Estacas'!O139,"")</f>
        <v/>
      </c>
      <c r="P139" s="91" t="n">
        <f aca="false">IF($Q139&gt;0,1,0)</f>
        <v>0</v>
      </c>
      <c r="Q139" s="91" t="n">
        <f aca="false">IF($F139="",0,1)+IF($H139="",0,1)</f>
        <v>0</v>
      </c>
      <c r="R139" s="91" t="n">
        <f aca="false">IF($N139="",0,1)</f>
        <v>0</v>
      </c>
      <c r="S139" s="91" t="n">
        <f aca="false">IF($F139="",0,1)</f>
        <v>0</v>
      </c>
      <c r="T139" s="91" t="n">
        <f aca="false">IF($H139="",0,1)</f>
        <v>0</v>
      </c>
      <c r="U139" s="91" t="n">
        <f aca="false">IF($J139="",0,1)</f>
        <v>0</v>
      </c>
      <c r="V139" s="91" t="n">
        <f aca="true">IF($J139="",0,IF($J139&lt;=TODAY(),1,0))</f>
        <v>0</v>
      </c>
      <c r="W139" s="92" t="n">
        <f aca="false">IF($O139="",0,$O139)</f>
        <v>0</v>
      </c>
      <c r="X139" s="91" t="str">
        <f aca="false">IF($R139=1,SUM($R$2:$R139),"")</f>
        <v/>
      </c>
      <c r="Y139" s="91" t="n">
        <f aca="false">IF($F139="",0,IF(COUNTIF($F$2:$F139,$F139)+COUNTIF($H$2:$H139,$F139)&gt;1,1,0))+IF($H139="",0,IF(COUNTIF($F$2:$F139,$H139)+COUNTIF($H$2:$H139,$H139)&gt;1,1,0))</f>
        <v>0</v>
      </c>
      <c r="Z139" s="91" t="n">
        <f aca="false">IF($Q139=0,0,IF(COUNTIFS($A$2:$A139,$A139,$Q$2:$Q139,"&gt;0")=1,1,0))</f>
        <v>0</v>
      </c>
      <c r="AA139" s="93" t="str">
        <f aca="false">IF($Q139&gt;0,$A139,"")</f>
        <v/>
      </c>
      <c r="AB139" s="91" t="n">
        <f aca="false">IF($K139="",0,1)</f>
        <v>0</v>
      </c>
      <c r="AC139" s="91" t="n">
        <f aca="false">IF($L139="",0,1)</f>
        <v>0</v>
      </c>
      <c r="AD139" s="91" t="n">
        <f aca="false">IF($M139="",0,1)</f>
        <v>0</v>
      </c>
      <c r="AE139" s="91" t="str">
        <f aca="false">IF($Q139&gt;0,$D139,"")</f>
        <v/>
      </c>
      <c r="AF139" s="1"/>
      <c r="AG139" s="1"/>
      <c r="AH139" s="1"/>
      <c r="AI139" s="1"/>
      <c r="AJ139" s="1"/>
      <c r="AK139" s="1"/>
      <c r="AL139" s="1"/>
      <c r="AM139" s="1"/>
      <c r="AN139" s="1"/>
    </row>
    <row r="140" customFormat="false" ht="18" hidden="false" customHeight="true" outlineLevel="0" collapsed="false">
      <c r="A140" s="86" t="n">
        <f aca="false">IF(ISNUMBER('Timeline Estacas'!A140),'Timeline Estacas'!A140,"")</f>
        <v>46284</v>
      </c>
      <c r="B140" s="87" t="n">
        <f aca="false">IF($A140="","",$A140)</f>
        <v>46284</v>
      </c>
      <c r="C140" s="88" t="n">
        <f aca="false">IF(ISNUMBER('Timeline Estacas'!C140),'Timeline Estacas'!C140,"")</f>
        <v>323</v>
      </c>
      <c r="D140" s="88" t="n">
        <f aca="false">IF(ISNUMBER('Timeline Estacas'!D140),'Timeline Estacas'!D140,"")</f>
        <v>47</v>
      </c>
      <c r="E140" s="88" t="str">
        <f aca="false">IF($D140="","","S-"&amp;TEXT($D140,"00"))</f>
        <v>S-47</v>
      </c>
      <c r="F140" s="88" t="str">
        <f aca="false">IF(ISNUMBER('Timeline Estacas'!F140),'Timeline Estacas'!F140,"")</f>
        <v/>
      </c>
      <c r="G140" s="88" t="str">
        <f aca="false">IF($F140="","",IF('Timeline Estacas'!G140&lt;&gt;"",'Timeline Estacas'!G140,'Timeline Estacas'!I140))</f>
        <v/>
      </c>
      <c r="H140" s="88" t="str">
        <f aca="false">IF(ISNUMBER('Timeline Estacas'!H140),'Timeline Estacas'!H140,"")</f>
        <v/>
      </c>
      <c r="I140" s="88" t="str">
        <f aca="false">IF($H140="","",'Timeline Estacas'!I140)</f>
        <v/>
      </c>
      <c r="J140" s="86" t="str">
        <f aca="false">IF(ISNUMBER('Timeline Estacas'!J140),'Timeline Estacas'!J140,"")</f>
        <v/>
      </c>
      <c r="K140" s="88" t="str">
        <f aca="false">IF('Timeline Estacas'!K140="","",'Timeline Estacas'!K140)</f>
        <v/>
      </c>
      <c r="L140" s="88" t="str">
        <f aca="false">IF('Timeline Estacas'!L140="","",'Timeline Estacas'!L140)</f>
        <v/>
      </c>
      <c r="M140" s="88" t="str">
        <f aca="false">IF('Timeline Estacas'!M140="","",'Timeline Estacas'!M140)</f>
        <v/>
      </c>
      <c r="N140" s="89" t="str">
        <f aca="false">IF('Timeline Estacas'!N140="","",'Timeline Estacas'!N140)</f>
        <v/>
      </c>
      <c r="O140" s="90" t="str">
        <f aca="false">IF(ISNUMBER('Timeline Estacas'!O140),'Timeline Estacas'!O140,"")</f>
        <v/>
      </c>
      <c r="P140" s="91" t="n">
        <f aca="false">IF($Q140&gt;0,1,0)</f>
        <v>0</v>
      </c>
      <c r="Q140" s="91" t="n">
        <f aca="false">IF($F140="",0,1)+IF($H140="",0,1)</f>
        <v>0</v>
      </c>
      <c r="R140" s="91" t="n">
        <f aca="false">IF($N140="",0,1)</f>
        <v>0</v>
      </c>
      <c r="S140" s="91" t="n">
        <f aca="false">IF($F140="",0,1)</f>
        <v>0</v>
      </c>
      <c r="T140" s="91" t="n">
        <f aca="false">IF($H140="",0,1)</f>
        <v>0</v>
      </c>
      <c r="U140" s="91" t="n">
        <f aca="false">IF($J140="",0,1)</f>
        <v>0</v>
      </c>
      <c r="V140" s="91" t="n">
        <f aca="true">IF($J140="",0,IF($J140&lt;=TODAY(),1,0))</f>
        <v>0</v>
      </c>
      <c r="W140" s="92" t="n">
        <f aca="false">IF($O140="",0,$O140)</f>
        <v>0</v>
      </c>
      <c r="X140" s="91" t="str">
        <f aca="false">IF($R140=1,SUM($R$2:$R140),"")</f>
        <v/>
      </c>
      <c r="Y140" s="91" t="n">
        <f aca="false">IF($F140="",0,IF(COUNTIF($F$2:$F140,$F140)+COUNTIF($H$2:$H140,$F140)&gt;1,1,0))+IF($H140="",0,IF(COUNTIF($F$2:$F140,$H140)+COUNTIF($H$2:$H140,$H140)&gt;1,1,0))</f>
        <v>0</v>
      </c>
      <c r="Z140" s="91" t="n">
        <f aca="false">IF($Q140=0,0,IF(COUNTIFS($A$2:$A140,$A140,$Q$2:$Q140,"&gt;0")=1,1,0))</f>
        <v>0</v>
      </c>
      <c r="AA140" s="93" t="str">
        <f aca="false">IF($Q140&gt;0,$A140,"")</f>
        <v/>
      </c>
      <c r="AB140" s="91" t="n">
        <f aca="false">IF($K140="",0,1)</f>
        <v>0</v>
      </c>
      <c r="AC140" s="91" t="n">
        <f aca="false">IF($L140="",0,1)</f>
        <v>0</v>
      </c>
      <c r="AD140" s="91" t="n">
        <f aca="false">IF($M140="",0,1)</f>
        <v>0</v>
      </c>
      <c r="AE140" s="91" t="str">
        <f aca="false">IF($Q140&gt;0,$D140,"")</f>
        <v/>
      </c>
      <c r="AF140" s="1"/>
      <c r="AG140" s="1"/>
      <c r="AH140" s="1"/>
      <c r="AI140" s="1"/>
      <c r="AJ140" s="1"/>
      <c r="AK140" s="1"/>
      <c r="AL140" s="1"/>
      <c r="AM140" s="1"/>
      <c r="AN140" s="1"/>
    </row>
    <row r="141" customFormat="false" ht="18" hidden="false" customHeight="true" outlineLevel="0" collapsed="false">
      <c r="A141" s="86" t="n">
        <f aca="false">IF(ISNUMBER('Timeline Estacas'!A141),'Timeline Estacas'!A141,"")</f>
        <v>46285</v>
      </c>
      <c r="B141" s="87" t="n">
        <f aca="false">IF($A141="","",$A141)</f>
        <v>46285</v>
      </c>
      <c r="C141" s="88" t="n">
        <f aca="false">IF(ISNUMBER('Timeline Estacas'!C141),'Timeline Estacas'!C141,"")</f>
        <v>324</v>
      </c>
      <c r="D141" s="88" t="n">
        <f aca="false">IF(ISNUMBER('Timeline Estacas'!D141),'Timeline Estacas'!D141,"")</f>
        <v>47</v>
      </c>
      <c r="E141" s="88" t="str">
        <f aca="false">IF($D141="","","S-"&amp;TEXT($D141,"00"))</f>
        <v>S-47</v>
      </c>
      <c r="F141" s="88" t="str">
        <f aca="false">IF(ISNUMBER('Timeline Estacas'!F141),'Timeline Estacas'!F141,"")</f>
        <v/>
      </c>
      <c r="G141" s="88" t="str">
        <f aca="false">IF($F141="","",IF('Timeline Estacas'!G141&lt;&gt;"",'Timeline Estacas'!G141,'Timeline Estacas'!I141))</f>
        <v/>
      </c>
      <c r="H141" s="88" t="str">
        <f aca="false">IF(ISNUMBER('Timeline Estacas'!H141),'Timeline Estacas'!H141,"")</f>
        <v/>
      </c>
      <c r="I141" s="88" t="str">
        <f aca="false">IF($H141="","",'Timeline Estacas'!I141)</f>
        <v/>
      </c>
      <c r="J141" s="86" t="str">
        <f aca="false">IF(ISNUMBER('Timeline Estacas'!J141),'Timeline Estacas'!J141,"")</f>
        <v/>
      </c>
      <c r="K141" s="88" t="str">
        <f aca="false">IF('Timeline Estacas'!K141="","",'Timeline Estacas'!K141)</f>
        <v/>
      </c>
      <c r="L141" s="88" t="str">
        <f aca="false">IF('Timeline Estacas'!L141="","",'Timeline Estacas'!L141)</f>
        <v/>
      </c>
      <c r="M141" s="88" t="str">
        <f aca="false">IF('Timeline Estacas'!M141="","",'Timeline Estacas'!M141)</f>
        <v/>
      </c>
      <c r="N141" s="89" t="str">
        <f aca="false">IF('Timeline Estacas'!N141="","",'Timeline Estacas'!N141)</f>
        <v/>
      </c>
      <c r="O141" s="90" t="str">
        <f aca="false">IF(ISNUMBER('Timeline Estacas'!O141),'Timeline Estacas'!O141,"")</f>
        <v/>
      </c>
      <c r="P141" s="91" t="n">
        <f aca="false">IF($Q141&gt;0,1,0)</f>
        <v>0</v>
      </c>
      <c r="Q141" s="91" t="n">
        <f aca="false">IF($F141="",0,1)+IF($H141="",0,1)</f>
        <v>0</v>
      </c>
      <c r="R141" s="91" t="n">
        <f aca="false">IF($N141="",0,1)</f>
        <v>0</v>
      </c>
      <c r="S141" s="91" t="n">
        <f aca="false">IF($F141="",0,1)</f>
        <v>0</v>
      </c>
      <c r="T141" s="91" t="n">
        <f aca="false">IF($H141="",0,1)</f>
        <v>0</v>
      </c>
      <c r="U141" s="91" t="n">
        <f aca="false">IF($J141="",0,1)</f>
        <v>0</v>
      </c>
      <c r="V141" s="91" t="n">
        <f aca="true">IF($J141="",0,IF($J141&lt;=TODAY(),1,0))</f>
        <v>0</v>
      </c>
      <c r="W141" s="92" t="n">
        <f aca="false">IF($O141="",0,$O141)</f>
        <v>0</v>
      </c>
      <c r="X141" s="91" t="str">
        <f aca="false">IF($R141=1,SUM($R$2:$R141),"")</f>
        <v/>
      </c>
      <c r="Y141" s="91" t="n">
        <f aca="false">IF($F141="",0,IF(COUNTIF($F$2:$F141,$F141)+COUNTIF($H$2:$H141,$F141)&gt;1,1,0))+IF($H141="",0,IF(COUNTIF($F$2:$F141,$H141)+COUNTIF($H$2:$H141,$H141)&gt;1,1,0))</f>
        <v>0</v>
      </c>
      <c r="Z141" s="91" t="n">
        <f aca="false">IF($Q141=0,0,IF(COUNTIFS($A$2:$A141,$A141,$Q$2:$Q141,"&gt;0")=1,1,0))</f>
        <v>0</v>
      </c>
      <c r="AA141" s="93" t="str">
        <f aca="false">IF($Q141&gt;0,$A141,"")</f>
        <v/>
      </c>
      <c r="AB141" s="91" t="n">
        <f aca="false">IF($K141="",0,1)</f>
        <v>0</v>
      </c>
      <c r="AC141" s="91" t="n">
        <f aca="false">IF($L141="",0,1)</f>
        <v>0</v>
      </c>
      <c r="AD141" s="91" t="n">
        <f aca="false">IF($M141="",0,1)</f>
        <v>0</v>
      </c>
      <c r="AE141" s="91" t="str">
        <f aca="false">IF($Q141&gt;0,$D141,"")</f>
        <v/>
      </c>
      <c r="AF141" s="1"/>
      <c r="AG141" s="1"/>
      <c r="AH141" s="1"/>
      <c r="AI141" s="1"/>
      <c r="AJ141" s="1"/>
      <c r="AK141" s="1"/>
      <c r="AL141" s="1"/>
      <c r="AM141" s="1"/>
      <c r="AN141" s="1"/>
    </row>
    <row r="142" customFormat="false" ht="18" hidden="false" customHeight="true" outlineLevel="0" collapsed="false">
      <c r="A142" s="86" t="n">
        <f aca="false">IF(ISNUMBER('Timeline Estacas'!A142),'Timeline Estacas'!A142,"")</f>
        <v>46286</v>
      </c>
      <c r="B142" s="87" t="n">
        <f aca="false">IF($A142="","",$A142)</f>
        <v>46286</v>
      </c>
      <c r="C142" s="88" t="n">
        <f aca="false">IF(ISNUMBER('Timeline Estacas'!C142),'Timeline Estacas'!C142,"")</f>
        <v>325</v>
      </c>
      <c r="D142" s="88" t="n">
        <f aca="false">IF(ISNUMBER('Timeline Estacas'!D142),'Timeline Estacas'!D142,"")</f>
        <v>47</v>
      </c>
      <c r="E142" s="88" t="str">
        <f aca="false">IF($D142="","","S-"&amp;TEXT($D142,"00"))</f>
        <v>S-47</v>
      </c>
      <c r="F142" s="88" t="str">
        <f aca="false">IF(ISNUMBER('Timeline Estacas'!F142),'Timeline Estacas'!F142,"")</f>
        <v/>
      </c>
      <c r="G142" s="88" t="str">
        <f aca="false">IF($F142="","",IF('Timeline Estacas'!G142&lt;&gt;"",'Timeline Estacas'!G142,'Timeline Estacas'!I142))</f>
        <v/>
      </c>
      <c r="H142" s="88" t="str">
        <f aca="false">IF(ISNUMBER('Timeline Estacas'!H142),'Timeline Estacas'!H142,"")</f>
        <v/>
      </c>
      <c r="I142" s="88" t="str">
        <f aca="false">IF($H142="","",'Timeline Estacas'!I142)</f>
        <v/>
      </c>
      <c r="J142" s="86" t="str">
        <f aca="false">IF(ISNUMBER('Timeline Estacas'!J142),'Timeline Estacas'!J142,"")</f>
        <v/>
      </c>
      <c r="K142" s="88" t="str">
        <f aca="false">IF('Timeline Estacas'!K142="","",'Timeline Estacas'!K142)</f>
        <v/>
      </c>
      <c r="L142" s="88" t="str">
        <f aca="false">IF('Timeline Estacas'!L142="","",'Timeline Estacas'!L142)</f>
        <v/>
      </c>
      <c r="M142" s="88" t="str">
        <f aca="false">IF('Timeline Estacas'!M142="","",'Timeline Estacas'!M142)</f>
        <v/>
      </c>
      <c r="N142" s="89" t="str">
        <f aca="false">IF('Timeline Estacas'!N142="","",'Timeline Estacas'!N142)</f>
        <v/>
      </c>
      <c r="O142" s="90" t="str">
        <f aca="false">IF(ISNUMBER('Timeline Estacas'!O142),'Timeline Estacas'!O142,"")</f>
        <v/>
      </c>
      <c r="P142" s="91" t="n">
        <f aca="false">IF($Q142&gt;0,1,0)</f>
        <v>0</v>
      </c>
      <c r="Q142" s="91" t="n">
        <f aca="false">IF($F142="",0,1)+IF($H142="",0,1)</f>
        <v>0</v>
      </c>
      <c r="R142" s="91" t="n">
        <f aca="false">IF($N142="",0,1)</f>
        <v>0</v>
      </c>
      <c r="S142" s="91" t="n">
        <f aca="false">IF($F142="",0,1)</f>
        <v>0</v>
      </c>
      <c r="T142" s="91" t="n">
        <f aca="false">IF($H142="",0,1)</f>
        <v>0</v>
      </c>
      <c r="U142" s="91" t="n">
        <f aca="false">IF($J142="",0,1)</f>
        <v>0</v>
      </c>
      <c r="V142" s="91" t="n">
        <f aca="true">IF($J142="",0,IF($J142&lt;=TODAY(),1,0))</f>
        <v>0</v>
      </c>
      <c r="W142" s="92" t="n">
        <f aca="false">IF($O142="",0,$O142)</f>
        <v>0</v>
      </c>
      <c r="X142" s="91" t="str">
        <f aca="false">IF($R142=1,SUM($R$2:$R142),"")</f>
        <v/>
      </c>
      <c r="Y142" s="91" t="n">
        <f aca="false">IF($F142="",0,IF(COUNTIF($F$2:$F142,$F142)+COUNTIF($H$2:$H142,$F142)&gt;1,1,0))+IF($H142="",0,IF(COUNTIF($F$2:$F142,$H142)+COUNTIF($H$2:$H142,$H142)&gt;1,1,0))</f>
        <v>0</v>
      </c>
      <c r="Z142" s="91" t="n">
        <f aca="false">IF($Q142=0,0,IF(COUNTIFS($A$2:$A142,$A142,$Q$2:$Q142,"&gt;0")=1,1,0))</f>
        <v>0</v>
      </c>
      <c r="AA142" s="93" t="str">
        <f aca="false">IF($Q142&gt;0,$A142,"")</f>
        <v/>
      </c>
      <c r="AB142" s="91" t="n">
        <f aca="false">IF($K142="",0,1)</f>
        <v>0</v>
      </c>
      <c r="AC142" s="91" t="n">
        <f aca="false">IF($L142="",0,1)</f>
        <v>0</v>
      </c>
      <c r="AD142" s="91" t="n">
        <f aca="false">IF($M142="",0,1)</f>
        <v>0</v>
      </c>
      <c r="AE142" s="91" t="str">
        <f aca="false">IF($Q142&gt;0,$D142,"")</f>
        <v/>
      </c>
      <c r="AF142" s="1"/>
      <c r="AG142" s="1"/>
      <c r="AH142" s="1"/>
      <c r="AI142" s="1"/>
      <c r="AJ142" s="1"/>
      <c r="AK142" s="1"/>
      <c r="AL142" s="1"/>
      <c r="AM142" s="1"/>
      <c r="AN142" s="1"/>
    </row>
    <row r="143" customFormat="false" ht="18" hidden="false" customHeight="true" outlineLevel="0" collapsed="false">
      <c r="A143" s="86" t="n">
        <f aca="false">IF(ISNUMBER('Timeline Estacas'!A143),'Timeline Estacas'!A143,"")</f>
        <v>46287</v>
      </c>
      <c r="B143" s="87" t="n">
        <f aca="false">IF($A143="","",$A143)</f>
        <v>46287</v>
      </c>
      <c r="C143" s="88" t="n">
        <f aca="false">IF(ISNUMBER('Timeline Estacas'!C143),'Timeline Estacas'!C143,"")</f>
        <v>326</v>
      </c>
      <c r="D143" s="88" t="n">
        <f aca="false">IF(ISNUMBER('Timeline Estacas'!D143),'Timeline Estacas'!D143,"")</f>
        <v>47</v>
      </c>
      <c r="E143" s="88" t="str">
        <f aca="false">IF($D143="","","S-"&amp;TEXT($D143,"00"))</f>
        <v>S-47</v>
      </c>
      <c r="F143" s="88" t="str">
        <f aca="false">IF(ISNUMBER('Timeline Estacas'!F143),'Timeline Estacas'!F143,"")</f>
        <v/>
      </c>
      <c r="G143" s="88" t="str">
        <f aca="false">IF($F143="","",IF('Timeline Estacas'!G143&lt;&gt;"",'Timeline Estacas'!G143,'Timeline Estacas'!I143))</f>
        <v/>
      </c>
      <c r="H143" s="88" t="str">
        <f aca="false">IF(ISNUMBER('Timeline Estacas'!H143),'Timeline Estacas'!H143,"")</f>
        <v/>
      </c>
      <c r="I143" s="88" t="str">
        <f aca="false">IF($H143="","",'Timeline Estacas'!I143)</f>
        <v/>
      </c>
      <c r="J143" s="86" t="str">
        <f aca="false">IF(ISNUMBER('Timeline Estacas'!J143),'Timeline Estacas'!J143,"")</f>
        <v/>
      </c>
      <c r="K143" s="88" t="str">
        <f aca="false">IF('Timeline Estacas'!K143="","",'Timeline Estacas'!K143)</f>
        <v/>
      </c>
      <c r="L143" s="88" t="str">
        <f aca="false">IF('Timeline Estacas'!L143="","",'Timeline Estacas'!L143)</f>
        <v/>
      </c>
      <c r="M143" s="88" t="str">
        <f aca="false">IF('Timeline Estacas'!M143="","",'Timeline Estacas'!M143)</f>
        <v/>
      </c>
      <c r="N143" s="89" t="str">
        <f aca="false">IF('Timeline Estacas'!N143="","",'Timeline Estacas'!N143)</f>
        <v/>
      </c>
      <c r="O143" s="90" t="str">
        <f aca="false">IF(ISNUMBER('Timeline Estacas'!O143),'Timeline Estacas'!O143,"")</f>
        <v/>
      </c>
      <c r="P143" s="91" t="n">
        <f aca="false">IF($Q143&gt;0,1,0)</f>
        <v>0</v>
      </c>
      <c r="Q143" s="91" t="n">
        <f aca="false">IF($F143="",0,1)+IF($H143="",0,1)</f>
        <v>0</v>
      </c>
      <c r="R143" s="91" t="n">
        <f aca="false">IF($N143="",0,1)</f>
        <v>0</v>
      </c>
      <c r="S143" s="91" t="n">
        <f aca="false">IF($F143="",0,1)</f>
        <v>0</v>
      </c>
      <c r="T143" s="91" t="n">
        <f aca="false">IF($H143="",0,1)</f>
        <v>0</v>
      </c>
      <c r="U143" s="91" t="n">
        <f aca="false">IF($J143="",0,1)</f>
        <v>0</v>
      </c>
      <c r="V143" s="91" t="n">
        <f aca="true">IF($J143="",0,IF($J143&lt;=TODAY(),1,0))</f>
        <v>0</v>
      </c>
      <c r="W143" s="92" t="n">
        <f aca="false">IF($O143="",0,$O143)</f>
        <v>0</v>
      </c>
      <c r="X143" s="91" t="str">
        <f aca="false">IF($R143=1,SUM($R$2:$R143),"")</f>
        <v/>
      </c>
      <c r="Y143" s="91" t="n">
        <f aca="false">IF($F143="",0,IF(COUNTIF($F$2:$F143,$F143)+COUNTIF($H$2:$H143,$F143)&gt;1,1,0))+IF($H143="",0,IF(COUNTIF($F$2:$F143,$H143)+COUNTIF($H$2:$H143,$H143)&gt;1,1,0))</f>
        <v>0</v>
      </c>
      <c r="Z143" s="91" t="n">
        <f aca="false">IF($Q143=0,0,IF(COUNTIFS($A$2:$A143,$A143,$Q$2:$Q143,"&gt;0")=1,1,0))</f>
        <v>0</v>
      </c>
      <c r="AA143" s="93" t="str">
        <f aca="false">IF($Q143&gt;0,$A143,"")</f>
        <v/>
      </c>
      <c r="AB143" s="91" t="n">
        <f aca="false">IF($K143="",0,1)</f>
        <v>0</v>
      </c>
      <c r="AC143" s="91" t="n">
        <f aca="false">IF($L143="",0,1)</f>
        <v>0</v>
      </c>
      <c r="AD143" s="91" t="n">
        <f aca="false">IF($M143="",0,1)</f>
        <v>0</v>
      </c>
      <c r="AE143" s="91" t="str">
        <f aca="false">IF($Q143&gt;0,$D143,"")</f>
        <v/>
      </c>
      <c r="AF143" s="1"/>
      <c r="AG143" s="1"/>
      <c r="AH143" s="1"/>
      <c r="AI143" s="1"/>
      <c r="AJ143" s="1"/>
      <c r="AK143" s="1"/>
      <c r="AL143" s="1"/>
      <c r="AM143" s="1"/>
      <c r="AN143" s="1"/>
    </row>
    <row r="144" customFormat="false" ht="18" hidden="false" customHeight="true" outlineLevel="0" collapsed="false">
      <c r="A144" s="86" t="n">
        <f aca="false">IF(ISNUMBER('Timeline Estacas'!A144),'Timeline Estacas'!A144,"")</f>
        <v>46288</v>
      </c>
      <c r="B144" s="87" t="n">
        <f aca="false">IF($A144="","",$A144)</f>
        <v>46288</v>
      </c>
      <c r="C144" s="88" t="n">
        <f aca="false">IF(ISNUMBER('Timeline Estacas'!C144),'Timeline Estacas'!C144,"")</f>
        <v>327</v>
      </c>
      <c r="D144" s="88" t="n">
        <f aca="false">IF(ISNUMBER('Timeline Estacas'!D144),'Timeline Estacas'!D144,"")</f>
        <v>47</v>
      </c>
      <c r="E144" s="88" t="str">
        <f aca="false">IF($D144="","","S-"&amp;TEXT($D144,"00"))</f>
        <v>S-47</v>
      </c>
      <c r="F144" s="88" t="str">
        <f aca="false">IF(ISNUMBER('Timeline Estacas'!F144),'Timeline Estacas'!F144,"")</f>
        <v/>
      </c>
      <c r="G144" s="88" t="str">
        <f aca="false">IF($F144="","",IF('Timeline Estacas'!G144&lt;&gt;"",'Timeline Estacas'!G144,'Timeline Estacas'!I144))</f>
        <v/>
      </c>
      <c r="H144" s="88" t="str">
        <f aca="false">IF(ISNUMBER('Timeline Estacas'!H144),'Timeline Estacas'!H144,"")</f>
        <v/>
      </c>
      <c r="I144" s="88" t="str">
        <f aca="false">IF($H144="","",'Timeline Estacas'!I144)</f>
        <v/>
      </c>
      <c r="J144" s="86" t="str">
        <f aca="false">IF(ISNUMBER('Timeline Estacas'!J144),'Timeline Estacas'!J144,"")</f>
        <v/>
      </c>
      <c r="K144" s="88" t="str">
        <f aca="false">IF('Timeline Estacas'!K144="","",'Timeline Estacas'!K144)</f>
        <v/>
      </c>
      <c r="L144" s="88" t="str">
        <f aca="false">IF('Timeline Estacas'!L144="","",'Timeline Estacas'!L144)</f>
        <v/>
      </c>
      <c r="M144" s="88" t="str">
        <f aca="false">IF('Timeline Estacas'!M144="","",'Timeline Estacas'!M144)</f>
        <v/>
      </c>
      <c r="N144" s="89" t="str">
        <f aca="false">IF('Timeline Estacas'!N144="","",'Timeline Estacas'!N144)</f>
        <v/>
      </c>
      <c r="O144" s="90" t="str">
        <f aca="false">IF(ISNUMBER('Timeline Estacas'!O144),'Timeline Estacas'!O144,"")</f>
        <v/>
      </c>
      <c r="P144" s="91" t="n">
        <f aca="false">IF($Q144&gt;0,1,0)</f>
        <v>0</v>
      </c>
      <c r="Q144" s="91" t="n">
        <f aca="false">IF($F144="",0,1)+IF($H144="",0,1)</f>
        <v>0</v>
      </c>
      <c r="R144" s="91" t="n">
        <f aca="false">IF($N144="",0,1)</f>
        <v>0</v>
      </c>
      <c r="S144" s="91" t="n">
        <f aca="false">IF($F144="",0,1)</f>
        <v>0</v>
      </c>
      <c r="T144" s="91" t="n">
        <f aca="false">IF($H144="",0,1)</f>
        <v>0</v>
      </c>
      <c r="U144" s="91" t="n">
        <f aca="false">IF($J144="",0,1)</f>
        <v>0</v>
      </c>
      <c r="V144" s="91" t="n">
        <f aca="true">IF($J144="",0,IF($J144&lt;=TODAY(),1,0))</f>
        <v>0</v>
      </c>
      <c r="W144" s="92" t="n">
        <f aca="false">IF($O144="",0,$O144)</f>
        <v>0</v>
      </c>
      <c r="X144" s="91" t="str">
        <f aca="false">IF($R144=1,SUM($R$2:$R144),"")</f>
        <v/>
      </c>
      <c r="Y144" s="91" t="n">
        <f aca="false">IF($F144="",0,IF(COUNTIF($F$2:$F144,$F144)+COUNTIF($H$2:$H144,$F144)&gt;1,1,0))+IF($H144="",0,IF(COUNTIF($F$2:$F144,$H144)+COUNTIF($H$2:$H144,$H144)&gt;1,1,0))</f>
        <v>0</v>
      </c>
      <c r="Z144" s="91" t="n">
        <f aca="false">IF($Q144=0,0,IF(COUNTIFS($A$2:$A144,$A144,$Q$2:$Q144,"&gt;0")=1,1,0))</f>
        <v>0</v>
      </c>
      <c r="AA144" s="93" t="str">
        <f aca="false">IF($Q144&gt;0,$A144,"")</f>
        <v/>
      </c>
      <c r="AB144" s="91" t="n">
        <f aca="false">IF($K144="",0,1)</f>
        <v>0</v>
      </c>
      <c r="AC144" s="91" t="n">
        <f aca="false">IF($L144="",0,1)</f>
        <v>0</v>
      </c>
      <c r="AD144" s="91" t="n">
        <f aca="false">IF($M144="",0,1)</f>
        <v>0</v>
      </c>
      <c r="AE144" s="91" t="str">
        <f aca="false">IF($Q144&gt;0,$D144,"")</f>
        <v/>
      </c>
      <c r="AF144" s="1"/>
      <c r="AG144" s="1"/>
      <c r="AH144" s="1"/>
      <c r="AI144" s="1"/>
      <c r="AJ144" s="1"/>
      <c r="AK144" s="1"/>
      <c r="AL144" s="1"/>
      <c r="AM144" s="1"/>
      <c r="AN144" s="1"/>
    </row>
    <row r="145" customFormat="false" ht="18" hidden="false" customHeight="true" outlineLevel="0" collapsed="false">
      <c r="A145" s="86" t="n">
        <f aca="false">IF(ISNUMBER('Timeline Estacas'!A145),'Timeline Estacas'!A145,"")</f>
        <v>46289</v>
      </c>
      <c r="B145" s="87" t="n">
        <f aca="false">IF($A145="","",$A145)</f>
        <v>46289</v>
      </c>
      <c r="C145" s="88" t="n">
        <f aca="false">IF(ISNUMBER('Timeline Estacas'!C145),'Timeline Estacas'!C145,"")</f>
        <v>328</v>
      </c>
      <c r="D145" s="88" t="n">
        <f aca="false">IF(ISNUMBER('Timeline Estacas'!D145),'Timeline Estacas'!D145,"")</f>
        <v>47</v>
      </c>
      <c r="E145" s="88" t="str">
        <f aca="false">IF($D145="","","S-"&amp;TEXT($D145,"00"))</f>
        <v>S-47</v>
      </c>
      <c r="F145" s="88" t="str">
        <f aca="false">IF(ISNUMBER('Timeline Estacas'!F145),'Timeline Estacas'!F145,"")</f>
        <v/>
      </c>
      <c r="G145" s="88" t="str">
        <f aca="false">IF($F145="","",IF('Timeline Estacas'!G145&lt;&gt;"",'Timeline Estacas'!G145,'Timeline Estacas'!I145))</f>
        <v/>
      </c>
      <c r="H145" s="88" t="str">
        <f aca="false">IF(ISNUMBER('Timeline Estacas'!H145),'Timeline Estacas'!H145,"")</f>
        <v/>
      </c>
      <c r="I145" s="88" t="str">
        <f aca="false">IF($H145="","",'Timeline Estacas'!I145)</f>
        <v/>
      </c>
      <c r="J145" s="86" t="str">
        <f aca="false">IF(ISNUMBER('Timeline Estacas'!J145),'Timeline Estacas'!J145,"")</f>
        <v/>
      </c>
      <c r="K145" s="88" t="str">
        <f aca="false">IF('Timeline Estacas'!K145="","",'Timeline Estacas'!K145)</f>
        <v/>
      </c>
      <c r="L145" s="88" t="str">
        <f aca="false">IF('Timeline Estacas'!L145="","",'Timeline Estacas'!L145)</f>
        <v/>
      </c>
      <c r="M145" s="88" t="str">
        <f aca="false">IF('Timeline Estacas'!M145="","",'Timeline Estacas'!M145)</f>
        <v/>
      </c>
      <c r="N145" s="89" t="str">
        <f aca="false">IF('Timeline Estacas'!N145="","",'Timeline Estacas'!N145)</f>
        <v/>
      </c>
      <c r="O145" s="90" t="str">
        <f aca="false">IF(ISNUMBER('Timeline Estacas'!O145),'Timeline Estacas'!O145,"")</f>
        <v/>
      </c>
      <c r="P145" s="91" t="n">
        <f aca="false">IF($Q145&gt;0,1,0)</f>
        <v>0</v>
      </c>
      <c r="Q145" s="91" t="n">
        <f aca="false">IF($F145="",0,1)+IF($H145="",0,1)</f>
        <v>0</v>
      </c>
      <c r="R145" s="91" t="n">
        <f aca="false">IF($N145="",0,1)</f>
        <v>0</v>
      </c>
      <c r="S145" s="91" t="n">
        <f aca="false">IF($F145="",0,1)</f>
        <v>0</v>
      </c>
      <c r="T145" s="91" t="n">
        <f aca="false">IF($H145="",0,1)</f>
        <v>0</v>
      </c>
      <c r="U145" s="91" t="n">
        <f aca="false">IF($J145="",0,1)</f>
        <v>0</v>
      </c>
      <c r="V145" s="91" t="n">
        <f aca="true">IF($J145="",0,IF($J145&lt;=TODAY(),1,0))</f>
        <v>0</v>
      </c>
      <c r="W145" s="92" t="n">
        <f aca="false">IF($O145="",0,$O145)</f>
        <v>0</v>
      </c>
      <c r="X145" s="91" t="str">
        <f aca="false">IF($R145=1,SUM($R$2:$R145),"")</f>
        <v/>
      </c>
      <c r="Y145" s="91" t="n">
        <f aca="false">IF($F145="",0,IF(COUNTIF($F$2:$F145,$F145)+COUNTIF($H$2:$H145,$F145)&gt;1,1,0))+IF($H145="",0,IF(COUNTIF($F$2:$F145,$H145)+COUNTIF($H$2:$H145,$H145)&gt;1,1,0))</f>
        <v>0</v>
      </c>
      <c r="Z145" s="91" t="n">
        <f aca="false">IF($Q145=0,0,IF(COUNTIFS($A$2:$A145,$A145,$Q$2:$Q145,"&gt;0")=1,1,0))</f>
        <v>0</v>
      </c>
      <c r="AA145" s="93" t="str">
        <f aca="false">IF($Q145&gt;0,$A145,"")</f>
        <v/>
      </c>
      <c r="AB145" s="91" t="n">
        <f aca="false">IF($K145="",0,1)</f>
        <v>0</v>
      </c>
      <c r="AC145" s="91" t="n">
        <f aca="false">IF($L145="",0,1)</f>
        <v>0</v>
      </c>
      <c r="AD145" s="91" t="n">
        <f aca="false">IF($M145="",0,1)</f>
        <v>0</v>
      </c>
      <c r="AE145" s="91" t="str">
        <f aca="false">IF($Q145&gt;0,$D145,"")</f>
        <v/>
      </c>
      <c r="AF145" s="1"/>
      <c r="AG145" s="1"/>
      <c r="AH145" s="1"/>
      <c r="AI145" s="1"/>
      <c r="AJ145" s="1"/>
      <c r="AK145" s="1"/>
      <c r="AL145" s="1"/>
      <c r="AM145" s="1"/>
      <c r="AN145" s="1"/>
    </row>
    <row r="146" customFormat="false" ht="18" hidden="false" customHeight="true" outlineLevel="0" collapsed="false">
      <c r="A146" s="86" t="n">
        <f aca="false">IF(ISNUMBER('Timeline Estacas'!A146),'Timeline Estacas'!A146,"")</f>
        <v>46290</v>
      </c>
      <c r="B146" s="87" t="n">
        <f aca="false">IF($A146="","",$A146)</f>
        <v>46290</v>
      </c>
      <c r="C146" s="88" t="n">
        <f aca="false">IF(ISNUMBER('Timeline Estacas'!C146),'Timeline Estacas'!C146,"")</f>
        <v>329</v>
      </c>
      <c r="D146" s="88" t="n">
        <f aca="false">IF(ISNUMBER('Timeline Estacas'!D146),'Timeline Estacas'!D146,"")</f>
        <v>48</v>
      </c>
      <c r="E146" s="88" t="str">
        <f aca="false">IF($D146="","","S-"&amp;TEXT($D146,"00"))</f>
        <v>S-48</v>
      </c>
      <c r="F146" s="88" t="str">
        <f aca="false">IF(ISNUMBER('Timeline Estacas'!F146),'Timeline Estacas'!F146,"")</f>
        <v/>
      </c>
      <c r="G146" s="88" t="str">
        <f aca="false">IF($F146="","",IF('Timeline Estacas'!G146&lt;&gt;"",'Timeline Estacas'!G146,'Timeline Estacas'!I146))</f>
        <v/>
      </c>
      <c r="H146" s="88" t="str">
        <f aca="false">IF(ISNUMBER('Timeline Estacas'!H146),'Timeline Estacas'!H146,"")</f>
        <v/>
      </c>
      <c r="I146" s="88" t="str">
        <f aca="false">IF($H146="","",'Timeline Estacas'!I146)</f>
        <v/>
      </c>
      <c r="J146" s="86" t="str">
        <f aca="false">IF(ISNUMBER('Timeline Estacas'!J146),'Timeline Estacas'!J146,"")</f>
        <v/>
      </c>
      <c r="K146" s="88" t="str">
        <f aca="false">IF('Timeline Estacas'!K146="","",'Timeline Estacas'!K146)</f>
        <v/>
      </c>
      <c r="L146" s="88" t="str">
        <f aca="false">IF('Timeline Estacas'!L146="","",'Timeline Estacas'!L146)</f>
        <v/>
      </c>
      <c r="M146" s="88" t="str">
        <f aca="false">IF('Timeline Estacas'!M146="","",'Timeline Estacas'!M146)</f>
        <v/>
      </c>
      <c r="N146" s="89" t="str">
        <f aca="false">IF('Timeline Estacas'!N146="","",'Timeline Estacas'!N146)</f>
        <v/>
      </c>
      <c r="O146" s="90" t="str">
        <f aca="false">IF(ISNUMBER('Timeline Estacas'!O146),'Timeline Estacas'!O146,"")</f>
        <v/>
      </c>
      <c r="P146" s="91" t="n">
        <f aca="false">IF($Q146&gt;0,1,0)</f>
        <v>0</v>
      </c>
      <c r="Q146" s="91" t="n">
        <f aca="false">IF($F146="",0,1)+IF($H146="",0,1)</f>
        <v>0</v>
      </c>
      <c r="R146" s="91" t="n">
        <f aca="false">IF($N146="",0,1)</f>
        <v>0</v>
      </c>
      <c r="S146" s="91" t="n">
        <f aca="false">IF($F146="",0,1)</f>
        <v>0</v>
      </c>
      <c r="T146" s="91" t="n">
        <f aca="false">IF($H146="",0,1)</f>
        <v>0</v>
      </c>
      <c r="U146" s="91" t="n">
        <f aca="false">IF($J146="",0,1)</f>
        <v>0</v>
      </c>
      <c r="V146" s="91" t="n">
        <f aca="true">IF($J146="",0,IF($J146&lt;=TODAY(),1,0))</f>
        <v>0</v>
      </c>
      <c r="W146" s="92" t="n">
        <f aca="false">IF($O146="",0,$O146)</f>
        <v>0</v>
      </c>
      <c r="X146" s="91" t="str">
        <f aca="false">IF($R146=1,SUM($R$2:$R146),"")</f>
        <v/>
      </c>
      <c r="Y146" s="91" t="n">
        <f aca="false">IF($F146="",0,IF(COUNTIF($F$2:$F146,$F146)+COUNTIF($H$2:$H146,$F146)&gt;1,1,0))+IF($H146="",0,IF(COUNTIF($F$2:$F146,$H146)+COUNTIF($H$2:$H146,$H146)&gt;1,1,0))</f>
        <v>0</v>
      </c>
      <c r="Z146" s="91" t="n">
        <f aca="false">IF($Q146=0,0,IF(COUNTIFS($A$2:$A146,$A146,$Q$2:$Q146,"&gt;0")=1,1,0))</f>
        <v>0</v>
      </c>
      <c r="AA146" s="93" t="str">
        <f aca="false">IF($Q146&gt;0,$A146,"")</f>
        <v/>
      </c>
      <c r="AB146" s="91" t="n">
        <f aca="false">IF($K146="",0,1)</f>
        <v>0</v>
      </c>
      <c r="AC146" s="91" t="n">
        <f aca="false">IF($L146="",0,1)</f>
        <v>0</v>
      </c>
      <c r="AD146" s="91" t="n">
        <f aca="false">IF($M146="",0,1)</f>
        <v>0</v>
      </c>
      <c r="AE146" s="91" t="str">
        <f aca="false">IF($Q146&gt;0,$D146,"")</f>
        <v/>
      </c>
      <c r="AF146" s="1"/>
      <c r="AG146" s="1"/>
      <c r="AH146" s="1"/>
      <c r="AI146" s="1"/>
      <c r="AJ146" s="1"/>
      <c r="AK146" s="1"/>
      <c r="AL146" s="1"/>
      <c r="AM146" s="1"/>
      <c r="AN146" s="1"/>
    </row>
    <row r="147" customFormat="false" ht="18" hidden="false" customHeight="true" outlineLevel="0" collapsed="false">
      <c r="A147" s="86" t="n">
        <f aca="false">IF(ISNUMBER('Timeline Estacas'!A147),'Timeline Estacas'!A147,"")</f>
        <v>46291</v>
      </c>
      <c r="B147" s="87" t="n">
        <f aca="false">IF($A147="","",$A147)</f>
        <v>46291</v>
      </c>
      <c r="C147" s="88" t="n">
        <f aca="false">IF(ISNUMBER('Timeline Estacas'!C147),'Timeline Estacas'!C147,"")</f>
        <v>330</v>
      </c>
      <c r="D147" s="88" t="n">
        <f aca="false">IF(ISNUMBER('Timeline Estacas'!D147),'Timeline Estacas'!D147,"")</f>
        <v>48</v>
      </c>
      <c r="E147" s="88" t="str">
        <f aca="false">IF($D147="","","S-"&amp;TEXT($D147,"00"))</f>
        <v>S-48</v>
      </c>
      <c r="F147" s="88" t="str">
        <f aca="false">IF(ISNUMBER('Timeline Estacas'!F147),'Timeline Estacas'!F147,"")</f>
        <v/>
      </c>
      <c r="G147" s="88" t="str">
        <f aca="false">IF($F147="","",IF('Timeline Estacas'!G147&lt;&gt;"",'Timeline Estacas'!G147,'Timeline Estacas'!I147))</f>
        <v/>
      </c>
      <c r="H147" s="88" t="str">
        <f aca="false">IF(ISNUMBER('Timeline Estacas'!H147),'Timeline Estacas'!H147,"")</f>
        <v/>
      </c>
      <c r="I147" s="88" t="str">
        <f aca="false">IF($H147="","",'Timeline Estacas'!I147)</f>
        <v/>
      </c>
      <c r="J147" s="86" t="str">
        <f aca="false">IF(ISNUMBER('Timeline Estacas'!J147),'Timeline Estacas'!J147,"")</f>
        <v/>
      </c>
      <c r="K147" s="88" t="str">
        <f aca="false">IF('Timeline Estacas'!K147="","",'Timeline Estacas'!K147)</f>
        <v/>
      </c>
      <c r="L147" s="88" t="str">
        <f aca="false">IF('Timeline Estacas'!L147="","",'Timeline Estacas'!L147)</f>
        <v/>
      </c>
      <c r="M147" s="88" t="str">
        <f aca="false">IF('Timeline Estacas'!M147="","",'Timeline Estacas'!M147)</f>
        <v/>
      </c>
      <c r="N147" s="89" t="str">
        <f aca="false">IF('Timeline Estacas'!N147="","",'Timeline Estacas'!N147)</f>
        <v/>
      </c>
      <c r="O147" s="90" t="str">
        <f aca="false">IF(ISNUMBER('Timeline Estacas'!O147),'Timeline Estacas'!O147,"")</f>
        <v/>
      </c>
      <c r="P147" s="91" t="n">
        <f aca="false">IF($Q147&gt;0,1,0)</f>
        <v>0</v>
      </c>
      <c r="Q147" s="91" t="n">
        <f aca="false">IF($F147="",0,1)+IF($H147="",0,1)</f>
        <v>0</v>
      </c>
      <c r="R147" s="91" t="n">
        <f aca="false">IF($N147="",0,1)</f>
        <v>0</v>
      </c>
      <c r="S147" s="91" t="n">
        <f aca="false">IF($F147="",0,1)</f>
        <v>0</v>
      </c>
      <c r="T147" s="91" t="n">
        <f aca="false">IF($H147="",0,1)</f>
        <v>0</v>
      </c>
      <c r="U147" s="91" t="n">
        <f aca="false">IF($J147="",0,1)</f>
        <v>0</v>
      </c>
      <c r="V147" s="91" t="n">
        <f aca="true">IF($J147="",0,IF($J147&lt;=TODAY(),1,0))</f>
        <v>0</v>
      </c>
      <c r="W147" s="92" t="n">
        <f aca="false">IF($O147="",0,$O147)</f>
        <v>0</v>
      </c>
      <c r="X147" s="91" t="str">
        <f aca="false">IF($R147=1,SUM($R$2:$R147),"")</f>
        <v/>
      </c>
      <c r="Y147" s="91" t="n">
        <f aca="false">IF($F147="",0,IF(COUNTIF($F$2:$F147,$F147)+COUNTIF($H$2:$H147,$F147)&gt;1,1,0))+IF($H147="",0,IF(COUNTIF($F$2:$F147,$H147)+COUNTIF($H$2:$H147,$H147)&gt;1,1,0))</f>
        <v>0</v>
      </c>
      <c r="Z147" s="91" t="n">
        <f aca="false">IF($Q147=0,0,IF(COUNTIFS($A$2:$A147,$A147,$Q$2:$Q147,"&gt;0")=1,1,0))</f>
        <v>0</v>
      </c>
      <c r="AA147" s="93" t="str">
        <f aca="false">IF($Q147&gt;0,$A147,"")</f>
        <v/>
      </c>
      <c r="AB147" s="91" t="n">
        <f aca="false">IF($K147="",0,1)</f>
        <v>0</v>
      </c>
      <c r="AC147" s="91" t="n">
        <f aca="false">IF($L147="",0,1)</f>
        <v>0</v>
      </c>
      <c r="AD147" s="91" t="n">
        <f aca="false">IF($M147="",0,1)</f>
        <v>0</v>
      </c>
      <c r="AE147" s="91" t="str">
        <f aca="false">IF($Q147&gt;0,$D147,"")</f>
        <v/>
      </c>
      <c r="AF147" s="1"/>
      <c r="AG147" s="1"/>
      <c r="AH147" s="1"/>
      <c r="AI147" s="1"/>
      <c r="AJ147" s="1"/>
      <c r="AK147" s="1"/>
      <c r="AL147" s="1"/>
      <c r="AM147" s="1"/>
      <c r="AN147" s="1"/>
    </row>
    <row r="148" customFormat="false" ht="18" hidden="false" customHeight="true" outlineLevel="0" collapsed="false">
      <c r="A148" s="86" t="n">
        <f aca="false">IF(ISNUMBER('Timeline Estacas'!A148),'Timeline Estacas'!A148,"")</f>
        <v>46292</v>
      </c>
      <c r="B148" s="87" t="n">
        <f aca="false">IF($A148="","",$A148)</f>
        <v>46292</v>
      </c>
      <c r="C148" s="88" t="n">
        <f aca="false">IF(ISNUMBER('Timeline Estacas'!C148),'Timeline Estacas'!C148,"")</f>
        <v>331</v>
      </c>
      <c r="D148" s="88" t="n">
        <f aca="false">IF(ISNUMBER('Timeline Estacas'!D148),'Timeline Estacas'!D148,"")</f>
        <v>48</v>
      </c>
      <c r="E148" s="88" t="str">
        <f aca="false">IF($D148="","","S-"&amp;TEXT($D148,"00"))</f>
        <v>S-48</v>
      </c>
      <c r="F148" s="88" t="str">
        <f aca="false">IF(ISNUMBER('Timeline Estacas'!F148),'Timeline Estacas'!F148,"")</f>
        <v/>
      </c>
      <c r="G148" s="88" t="str">
        <f aca="false">IF($F148="","",IF('Timeline Estacas'!G148&lt;&gt;"",'Timeline Estacas'!G148,'Timeline Estacas'!I148))</f>
        <v/>
      </c>
      <c r="H148" s="88" t="str">
        <f aca="false">IF(ISNUMBER('Timeline Estacas'!H148),'Timeline Estacas'!H148,"")</f>
        <v/>
      </c>
      <c r="I148" s="88" t="str">
        <f aca="false">IF($H148="","",'Timeline Estacas'!I148)</f>
        <v/>
      </c>
      <c r="J148" s="86" t="str">
        <f aca="false">IF(ISNUMBER('Timeline Estacas'!J148),'Timeline Estacas'!J148,"")</f>
        <v/>
      </c>
      <c r="K148" s="88" t="str">
        <f aca="false">IF('Timeline Estacas'!K148="","",'Timeline Estacas'!K148)</f>
        <v/>
      </c>
      <c r="L148" s="88" t="str">
        <f aca="false">IF('Timeline Estacas'!L148="","",'Timeline Estacas'!L148)</f>
        <v/>
      </c>
      <c r="M148" s="88" t="str">
        <f aca="false">IF('Timeline Estacas'!M148="","",'Timeline Estacas'!M148)</f>
        <v/>
      </c>
      <c r="N148" s="89" t="str">
        <f aca="false">IF('Timeline Estacas'!N148="","",'Timeline Estacas'!N148)</f>
        <v/>
      </c>
      <c r="O148" s="90" t="str">
        <f aca="false">IF(ISNUMBER('Timeline Estacas'!O148),'Timeline Estacas'!O148,"")</f>
        <v/>
      </c>
      <c r="P148" s="91" t="n">
        <f aca="false">IF($Q148&gt;0,1,0)</f>
        <v>0</v>
      </c>
      <c r="Q148" s="91" t="n">
        <f aca="false">IF($F148="",0,1)+IF($H148="",0,1)</f>
        <v>0</v>
      </c>
      <c r="R148" s="91" t="n">
        <f aca="false">IF($N148="",0,1)</f>
        <v>0</v>
      </c>
      <c r="S148" s="91" t="n">
        <f aca="false">IF($F148="",0,1)</f>
        <v>0</v>
      </c>
      <c r="T148" s="91" t="n">
        <f aca="false">IF($H148="",0,1)</f>
        <v>0</v>
      </c>
      <c r="U148" s="91" t="n">
        <f aca="false">IF($J148="",0,1)</f>
        <v>0</v>
      </c>
      <c r="V148" s="91" t="n">
        <f aca="true">IF($J148="",0,IF($J148&lt;=TODAY(),1,0))</f>
        <v>0</v>
      </c>
      <c r="W148" s="92" t="n">
        <f aca="false">IF($O148="",0,$O148)</f>
        <v>0</v>
      </c>
      <c r="X148" s="91" t="str">
        <f aca="false">IF($R148=1,SUM($R$2:$R148),"")</f>
        <v/>
      </c>
      <c r="Y148" s="91" t="n">
        <f aca="false">IF($F148="",0,IF(COUNTIF($F$2:$F148,$F148)+COUNTIF($H$2:$H148,$F148)&gt;1,1,0))+IF($H148="",0,IF(COUNTIF($F$2:$F148,$H148)+COUNTIF($H$2:$H148,$H148)&gt;1,1,0))</f>
        <v>0</v>
      </c>
      <c r="Z148" s="91" t="n">
        <f aca="false">IF($Q148=0,0,IF(COUNTIFS($A$2:$A148,$A148,$Q$2:$Q148,"&gt;0")=1,1,0))</f>
        <v>0</v>
      </c>
      <c r="AA148" s="93" t="str">
        <f aca="false">IF($Q148&gt;0,$A148,"")</f>
        <v/>
      </c>
      <c r="AB148" s="91" t="n">
        <f aca="false">IF($K148="",0,1)</f>
        <v>0</v>
      </c>
      <c r="AC148" s="91" t="n">
        <f aca="false">IF($L148="",0,1)</f>
        <v>0</v>
      </c>
      <c r="AD148" s="91" t="n">
        <f aca="false">IF($M148="",0,1)</f>
        <v>0</v>
      </c>
      <c r="AE148" s="91" t="str">
        <f aca="false">IF($Q148&gt;0,$D148,"")</f>
        <v/>
      </c>
      <c r="AF148" s="1"/>
      <c r="AG148" s="1"/>
      <c r="AH148" s="1"/>
      <c r="AI148" s="1"/>
      <c r="AJ148" s="1"/>
      <c r="AK148" s="1"/>
      <c r="AL148" s="1"/>
      <c r="AM148" s="1"/>
      <c r="AN148" s="1"/>
    </row>
    <row r="149" customFormat="false" ht="18" hidden="false" customHeight="true" outlineLevel="0" collapsed="false">
      <c r="A149" s="86" t="n">
        <f aca="false">IF(ISNUMBER('Timeline Estacas'!A149),'Timeline Estacas'!A149,"")</f>
        <v>46293</v>
      </c>
      <c r="B149" s="87" t="n">
        <f aca="false">IF($A149="","",$A149)</f>
        <v>46293</v>
      </c>
      <c r="C149" s="88" t="n">
        <f aca="false">IF(ISNUMBER('Timeline Estacas'!C149),'Timeline Estacas'!C149,"")</f>
        <v>332</v>
      </c>
      <c r="D149" s="88" t="n">
        <f aca="false">IF(ISNUMBER('Timeline Estacas'!D149),'Timeline Estacas'!D149,"")</f>
        <v>48</v>
      </c>
      <c r="E149" s="88" t="str">
        <f aca="false">IF($D149="","","S-"&amp;TEXT($D149,"00"))</f>
        <v>S-48</v>
      </c>
      <c r="F149" s="88" t="str">
        <f aca="false">IF(ISNUMBER('Timeline Estacas'!F149),'Timeline Estacas'!F149,"")</f>
        <v/>
      </c>
      <c r="G149" s="88" t="str">
        <f aca="false">IF($F149="","",IF('Timeline Estacas'!G149&lt;&gt;"",'Timeline Estacas'!G149,'Timeline Estacas'!I149))</f>
        <v/>
      </c>
      <c r="H149" s="88" t="str">
        <f aca="false">IF(ISNUMBER('Timeline Estacas'!H149),'Timeline Estacas'!H149,"")</f>
        <v/>
      </c>
      <c r="I149" s="88" t="str">
        <f aca="false">IF($H149="","",'Timeline Estacas'!I149)</f>
        <v/>
      </c>
      <c r="J149" s="86" t="str">
        <f aca="false">IF(ISNUMBER('Timeline Estacas'!J149),'Timeline Estacas'!J149,"")</f>
        <v/>
      </c>
      <c r="K149" s="88" t="str">
        <f aca="false">IF('Timeline Estacas'!K149="","",'Timeline Estacas'!K149)</f>
        <v/>
      </c>
      <c r="L149" s="88" t="str">
        <f aca="false">IF('Timeline Estacas'!L149="","",'Timeline Estacas'!L149)</f>
        <v/>
      </c>
      <c r="M149" s="88" t="str">
        <f aca="false">IF('Timeline Estacas'!M149="","",'Timeline Estacas'!M149)</f>
        <v/>
      </c>
      <c r="N149" s="89" t="str">
        <f aca="false">IF('Timeline Estacas'!N149="","",'Timeline Estacas'!N149)</f>
        <v/>
      </c>
      <c r="O149" s="90" t="str">
        <f aca="false">IF(ISNUMBER('Timeline Estacas'!O149),'Timeline Estacas'!O149,"")</f>
        <v/>
      </c>
      <c r="P149" s="91" t="n">
        <f aca="false">IF($Q149&gt;0,1,0)</f>
        <v>0</v>
      </c>
      <c r="Q149" s="91" t="n">
        <f aca="false">IF($F149="",0,1)+IF($H149="",0,1)</f>
        <v>0</v>
      </c>
      <c r="R149" s="91" t="n">
        <f aca="false">IF($N149="",0,1)</f>
        <v>0</v>
      </c>
      <c r="S149" s="91" t="n">
        <f aca="false">IF($F149="",0,1)</f>
        <v>0</v>
      </c>
      <c r="T149" s="91" t="n">
        <f aca="false">IF($H149="",0,1)</f>
        <v>0</v>
      </c>
      <c r="U149" s="91" t="n">
        <f aca="false">IF($J149="",0,1)</f>
        <v>0</v>
      </c>
      <c r="V149" s="91" t="n">
        <f aca="true">IF($J149="",0,IF($J149&lt;=TODAY(),1,0))</f>
        <v>0</v>
      </c>
      <c r="W149" s="92" t="n">
        <f aca="false">IF($O149="",0,$O149)</f>
        <v>0</v>
      </c>
      <c r="X149" s="91" t="str">
        <f aca="false">IF($R149=1,SUM($R$2:$R149),"")</f>
        <v/>
      </c>
      <c r="Y149" s="91" t="n">
        <f aca="false">IF($F149="",0,IF(COUNTIF($F$2:$F149,$F149)+COUNTIF($H$2:$H149,$F149)&gt;1,1,0))+IF($H149="",0,IF(COUNTIF($F$2:$F149,$H149)+COUNTIF($H$2:$H149,$H149)&gt;1,1,0))</f>
        <v>0</v>
      </c>
      <c r="Z149" s="91" t="n">
        <f aca="false">IF($Q149=0,0,IF(COUNTIFS($A$2:$A149,$A149,$Q$2:$Q149,"&gt;0")=1,1,0))</f>
        <v>0</v>
      </c>
      <c r="AA149" s="93" t="str">
        <f aca="false">IF($Q149&gt;0,$A149,"")</f>
        <v/>
      </c>
      <c r="AB149" s="91" t="n">
        <f aca="false">IF($K149="",0,1)</f>
        <v>0</v>
      </c>
      <c r="AC149" s="91" t="n">
        <f aca="false">IF($L149="",0,1)</f>
        <v>0</v>
      </c>
      <c r="AD149" s="91" t="n">
        <f aca="false">IF($M149="",0,1)</f>
        <v>0</v>
      </c>
      <c r="AE149" s="91" t="str">
        <f aca="false">IF($Q149&gt;0,$D149,"")</f>
        <v/>
      </c>
      <c r="AF149" s="1"/>
      <c r="AG149" s="1"/>
      <c r="AH149" s="1"/>
      <c r="AI149" s="1"/>
      <c r="AJ149" s="1"/>
      <c r="AK149" s="1"/>
      <c r="AL149" s="1"/>
      <c r="AM149" s="1"/>
      <c r="AN149" s="1"/>
    </row>
    <row r="150" customFormat="false" ht="18" hidden="false" customHeight="true" outlineLevel="0" collapsed="false">
      <c r="A150" s="86" t="n">
        <f aca="false">IF(ISNUMBER('Timeline Estacas'!A150),'Timeline Estacas'!A150,"")</f>
        <v>46294</v>
      </c>
      <c r="B150" s="87" t="n">
        <f aca="false">IF($A150="","",$A150)</f>
        <v>46294</v>
      </c>
      <c r="C150" s="88" t="n">
        <f aca="false">IF(ISNUMBER('Timeline Estacas'!C150),'Timeline Estacas'!C150,"")</f>
        <v>333</v>
      </c>
      <c r="D150" s="88" t="n">
        <f aca="false">IF(ISNUMBER('Timeline Estacas'!D150),'Timeline Estacas'!D150,"")</f>
        <v>48</v>
      </c>
      <c r="E150" s="88" t="str">
        <f aca="false">IF($D150="","","S-"&amp;TEXT($D150,"00"))</f>
        <v>S-48</v>
      </c>
      <c r="F150" s="88" t="str">
        <f aca="false">IF(ISNUMBER('Timeline Estacas'!F150),'Timeline Estacas'!F150,"")</f>
        <v/>
      </c>
      <c r="G150" s="88" t="str">
        <f aca="false">IF($F150="","",IF('Timeline Estacas'!G150&lt;&gt;"",'Timeline Estacas'!G150,'Timeline Estacas'!I150))</f>
        <v/>
      </c>
      <c r="H150" s="88" t="str">
        <f aca="false">IF(ISNUMBER('Timeline Estacas'!H150),'Timeline Estacas'!H150,"")</f>
        <v/>
      </c>
      <c r="I150" s="88" t="str">
        <f aca="false">IF($H150="","",'Timeline Estacas'!I150)</f>
        <v/>
      </c>
      <c r="J150" s="86" t="str">
        <f aca="false">IF(ISNUMBER('Timeline Estacas'!J150),'Timeline Estacas'!J150,"")</f>
        <v/>
      </c>
      <c r="K150" s="88" t="str">
        <f aca="false">IF('Timeline Estacas'!K150="","",'Timeline Estacas'!K150)</f>
        <v/>
      </c>
      <c r="L150" s="88" t="str">
        <f aca="false">IF('Timeline Estacas'!L150="","",'Timeline Estacas'!L150)</f>
        <v/>
      </c>
      <c r="M150" s="88" t="str">
        <f aca="false">IF('Timeline Estacas'!M150="","",'Timeline Estacas'!M150)</f>
        <v/>
      </c>
      <c r="N150" s="89" t="str">
        <f aca="false">IF('Timeline Estacas'!N150="","",'Timeline Estacas'!N150)</f>
        <v/>
      </c>
      <c r="O150" s="90" t="str">
        <f aca="false">IF(ISNUMBER('Timeline Estacas'!O150),'Timeline Estacas'!O150,"")</f>
        <v/>
      </c>
      <c r="P150" s="91" t="n">
        <f aca="false">IF($Q150&gt;0,1,0)</f>
        <v>0</v>
      </c>
      <c r="Q150" s="91" t="n">
        <f aca="false">IF($F150="",0,1)+IF($H150="",0,1)</f>
        <v>0</v>
      </c>
      <c r="R150" s="91" t="n">
        <f aca="false">IF($N150="",0,1)</f>
        <v>0</v>
      </c>
      <c r="S150" s="91" t="n">
        <f aca="false">IF($F150="",0,1)</f>
        <v>0</v>
      </c>
      <c r="T150" s="91" t="n">
        <f aca="false">IF($H150="",0,1)</f>
        <v>0</v>
      </c>
      <c r="U150" s="91" t="n">
        <f aca="false">IF($J150="",0,1)</f>
        <v>0</v>
      </c>
      <c r="V150" s="91" t="n">
        <f aca="true">IF($J150="",0,IF($J150&lt;=TODAY(),1,0))</f>
        <v>0</v>
      </c>
      <c r="W150" s="92" t="n">
        <f aca="false">IF($O150="",0,$O150)</f>
        <v>0</v>
      </c>
      <c r="X150" s="91" t="str">
        <f aca="false">IF($R150=1,SUM($R$2:$R150),"")</f>
        <v/>
      </c>
      <c r="Y150" s="91" t="n">
        <f aca="false">IF($F150="",0,IF(COUNTIF($F$2:$F150,$F150)+COUNTIF($H$2:$H150,$F150)&gt;1,1,0))+IF($H150="",0,IF(COUNTIF($F$2:$F150,$H150)+COUNTIF($H$2:$H150,$H150)&gt;1,1,0))</f>
        <v>0</v>
      </c>
      <c r="Z150" s="91" t="n">
        <f aca="false">IF($Q150=0,0,IF(COUNTIFS($A$2:$A150,$A150,$Q$2:$Q150,"&gt;0")=1,1,0))</f>
        <v>0</v>
      </c>
      <c r="AA150" s="93" t="str">
        <f aca="false">IF($Q150&gt;0,$A150,"")</f>
        <v/>
      </c>
      <c r="AB150" s="91" t="n">
        <f aca="false">IF($K150="",0,1)</f>
        <v>0</v>
      </c>
      <c r="AC150" s="91" t="n">
        <f aca="false">IF($L150="",0,1)</f>
        <v>0</v>
      </c>
      <c r="AD150" s="91" t="n">
        <f aca="false">IF($M150="",0,1)</f>
        <v>0</v>
      </c>
      <c r="AE150" s="91" t="str">
        <f aca="false">IF($Q150&gt;0,$D150,"")</f>
        <v/>
      </c>
      <c r="AF150" s="1"/>
      <c r="AG150" s="1"/>
      <c r="AH150" s="1"/>
      <c r="AI150" s="1"/>
      <c r="AJ150" s="1"/>
      <c r="AK150" s="1"/>
      <c r="AL150" s="1"/>
      <c r="AM150" s="1"/>
      <c r="AN150" s="1"/>
    </row>
    <row r="151" customFormat="false" ht="18" hidden="false" customHeight="true" outlineLevel="0" collapsed="false">
      <c r="A151" s="86" t="n">
        <f aca="false">IF(ISNUMBER('Timeline Estacas'!A151),'Timeline Estacas'!A151,"")</f>
        <v>46295</v>
      </c>
      <c r="B151" s="87" t="n">
        <f aca="false">IF($A151="","",$A151)</f>
        <v>46295</v>
      </c>
      <c r="C151" s="88" t="n">
        <f aca="false">IF(ISNUMBER('Timeline Estacas'!C151),'Timeline Estacas'!C151,"")</f>
        <v>334</v>
      </c>
      <c r="D151" s="88" t="n">
        <f aca="false">IF(ISNUMBER('Timeline Estacas'!D151),'Timeline Estacas'!D151,"")</f>
        <v>48</v>
      </c>
      <c r="E151" s="88" t="str">
        <f aca="false">IF($D151="","","S-"&amp;TEXT($D151,"00"))</f>
        <v>S-48</v>
      </c>
      <c r="F151" s="88" t="str">
        <f aca="false">IF(ISNUMBER('Timeline Estacas'!F151),'Timeline Estacas'!F151,"")</f>
        <v/>
      </c>
      <c r="G151" s="88" t="str">
        <f aca="false">IF($F151="","",IF('Timeline Estacas'!G151&lt;&gt;"",'Timeline Estacas'!G151,'Timeline Estacas'!I151))</f>
        <v/>
      </c>
      <c r="H151" s="88" t="str">
        <f aca="false">IF(ISNUMBER('Timeline Estacas'!H151),'Timeline Estacas'!H151,"")</f>
        <v/>
      </c>
      <c r="I151" s="88" t="str">
        <f aca="false">IF($H151="","",'Timeline Estacas'!I151)</f>
        <v/>
      </c>
      <c r="J151" s="86" t="str">
        <f aca="false">IF(ISNUMBER('Timeline Estacas'!J151),'Timeline Estacas'!J151,"")</f>
        <v/>
      </c>
      <c r="K151" s="88" t="str">
        <f aca="false">IF('Timeline Estacas'!K151="","",'Timeline Estacas'!K151)</f>
        <v/>
      </c>
      <c r="L151" s="88" t="str">
        <f aca="false">IF('Timeline Estacas'!L151="","",'Timeline Estacas'!L151)</f>
        <v/>
      </c>
      <c r="M151" s="88" t="str">
        <f aca="false">IF('Timeline Estacas'!M151="","",'Timeline Estacas'!M151)</f>
        <v/>
      </c>
      <c r="N151" s="89" t="str">
        <f aca="false">IF('Timeline Estacas'!N151="","",'Timeline Estacas'!N151)</f>
        <v/>
      </c>
      <c r="O151" s="90" t="str">
        <f aca="false">IF(ISNUMBER('Timeline Estacas'!O151),'Timeline Estacas'!O151,"")</f>
        <v/>
      </c>
      <c r="P151" s="91" t="n">
        <f aca="false">IF($Q151&gt;0,1,0)</f>
        <v>0</v>
      </c>
      <c r="Q151" s="91" t="n">
        <f aca="false">IF($F151="",0,1)+IF($H151="",0,1)</f>
        <v>0</v>
      </c>
      <c r="R151" s="91" t="n">
        <f aca="false">IF($N151="",0,1)</f>
        <v>0</v>
      </c>
      <c r="S151" s="91" t="n">
        <f aca="false">IF($F151="",0,1)</f>
        <v>0</v>
      </c>
      <c r="T151" s="91" t="n">
        <f aca="false">IF($H151="",0,1)</f>
        <v>0</v>
      </c>
      <c r="U151" s="91" t="n">
        <f aca="false">IF($J151="",0,1)</f>
        <v>0</v>
      </c>
      <c r="V151" s="91" t="n">
        <f aca="true">IF($J151="",0,IF($J151&lt;=TODAY(),1,0))</f>
        <v>0</v>
      </c>
      <c r="W151" s="92" t="n">
        <f aca="false">IF($O151="",0,$O151)</f>
        <v>0</v>
      </c>
      <c r="X151" s="91" t="str">
        <f aca="false">IF($R151=1,SUM($R$2:$R151),"")</f>
        <v/>
      </c>
      <c r="Y151" s="91" t="n">
        <f aca="false">IF($F151="",0,IF(COUNTIF($F$2:$F151,$F151)+COUNTIF($H$2:$H151,$F151)&gt;1,1,0))+IF($H151="",0,IF(COUNTIF($F$2:$F151,$H151)+COUNTIF($H$2:$H151,$H151)&gt;1,1,0))</f>
        <v>0</v>
      </c>
      <c r="Z151" s="91" t="n">
        <f aca="false">IF($Q151=0,0,IF(COUNTIFS($A$2:$A151,$A151,$Q$2:$Q151,"&gt;0")=1,1,0))</f>
        <v>0</v>
      </c>
      <c r="AA151" s="93" t="str">
        <f aca="false">IF($Q151&gt;0,$A151,"")</f>
        <v/>
      </c>
      <c r="AB151" s="91" t="n">
        <f aca="false">IF($K151="",0,1)</f>
        <v>0</v>
      </c>
      <c r="AC151" s="91" t="n">
        <f aca="false">IF($L151="",0,1)</f>
        <v>0</v>
      </c>
      <c r="AD151" s="91" t="n">
        <f aca="false">IF($M151="",0,1)</f>
        <v>0</v>
      </c>
      <c r="AE151" s="91" t="str">
        <f aca="false">IF($Q151&gt;0,$D151,"")</f>
        <v/>
      </c>
      <c r="AF151" s="1"/>
      <c r="AG151" s="1"/>
      <c r="AH151" s="1"/>
      <c r="AI151" s="1"/>
      <c r="AJ151" s="1"/>
      <c r="AK151" s="1"/>
      <c r="AL151" s="1"/>
      <c r="AM151" s="1"/>
      <c r="AN151" s="1"/>
    </row>
    <row r="152" customFormat="false" ht="18" hidden="false" customHeight="true" outlineLevel="0" collapsed="false">
      <c r="A152" s="86" t="n">
        <f aca="false">IF(ISNUMBER('Timeline Estacas'!A152),'Timeline Estacas'!A152,"")</f>
        <v>46296</v>
      </c>
      <c r="B152" s="87" t="n">
        <f aca="false">IF($A152="","",$A152)</f>
        <v>46296</v>
      </c>
      <c r="C152" s="88" t="n">
        <f aca="false">IF(ISNUMBER('Timeline Estacas'!C152),'Timeline Estacas'!C152,"")</f>
        <v>335</v>
      </c>
      <c r="D152" s="88" t="n">
        <f aca="false">IF(ISNUMBER('Timeline Estacas'!D152),'Timeline Estacas'!D152,"")</f>
        <v>48</v>
      </c>
      <c r="E152" s="88" t="str">
        <f aca="false">IF($D152="","","S-"&amp;TEXT($D152,"00"))</f>
        <v>S-48</v>
      </c>
      <c r="F152" s="88" t="str">
        <f aca="false">IF(ISNUMBER('Timeline Estacas'!F152),'Timeline Estacas'!F152,"")</f>
        <v/>
      </c>
      <c r="G152" s="88" t="str">
        <f aca="false">IF($F152="","",IF('Timeline Estacas'!G152&lt;&gt;"",'Timeline Estacas'!G152,'Timeline Estacas'!I152))</f>
        <v/>
      </c>
      <c r="H152" s="88" t="str">
        <f aca="false">IF(ISNUMBER('Timeline Estacas'!H152),'Timeline Estacas'!H152,"")</f>
        <v/>
      </c>
      <c r="I152" s="88" t="str">
        <f aca="false">IF($H152="","",'Timeline Estacas'!I152)</f>
        <v/>
      </c>
      <c r="J152" s="86" t="str">
        <f aca="false">IF(ISNUMBER('Timeline Estacas'!J152),'Timeline Estacas'!J152,"")</f>
        <v/>
      </c>
      <c r="K152" s="88" t="str">
        <f aca="false">IF('Timeline Estacas'!K152="","",'Timeline Estacas'!K152)</f>
        <v/>
      </c>
      <c r="L152" s="88" t="str">
        <f aca="false">IF('Timeline Estacas'!L152="","",'Timeline Estacas'!L152)</f>
        <v/>
      </c>
      <c r="M152" s="88" t="str">
        <f aca="false">IF('Timeline Estacas'!M152="","",'Timeline Estacas'!M152)</f>
        <v/>
      </c>
      <c r="N152" s="89" t="str">
        <f aca="false">IF('Timeline Estacas'!N152="","",'Timeline Estacas'!N152)</f>
        <v/>
      </c>
      <c r="O152" s="90" t="str">
        <f aca="false">IF(ISNUMBER('Timeline Estacas'!O152),'Timeline Estacas'!O152,"")</f>
        <v/>
      </c>
      <c r="P152" s="91" t="n">
        <f aca="false">IF($Q152&gt;0,1,0)</f>
        <v>0</v>
      </c>
      <c r="Q152" s="91" t="n">
        <f aca="false">IF($F152="",0,1)+IF($H152="",0,1)</f>
        <v>0</v>
      </c>
      <c r="R152" s="91" t="n">
        <f aca="false">IF($N152="",0,1)</f>
        <v>0</v>
      </c>
      <c r="S152" s="91" t="n">
        <f aca="false">IF($F152="",0,1)</f>
        <v>0</v>
      </c>
      <c r="T152" s="91" t="n">
        <f aca="false">IF($H152="",0,1)</f>
        <v>0</v>
      </c>
      <c r="U152" s="91" t="n">
        <f aca="false">IF($J152="",0,1)</f>
        <v>0</v>
      </c>
      <c r="V152" s="91" t="n">
        <f aca="true">IF($J152="",0,IF($J152&lt;=TODAY(),1,0))</f>
        <v>0</v>
      </c>
      <c r="W152" s="92" t="n">
        <f aca="false">IF($O152="",0,$O152)</f>
        <v>0</v>
      </c>
      <c r="X152" s="91" t="str">
        <f aca="false">IF($R152=1,SUM($R$2:$R152),"")</f>
        <v/>
      </c>
      <c r="Y152" s="91" t="n">
        <f aca="false">IF($F152="",0,IF(COUNTIF($F$2:$F152,$F152)+COUNTIF($H$2:$H152,$F152)&gt;1,1,0))+IF($H152="",0,IF(COUNTIF($F$2:$F152,$H152)+COUNTIF($H$2:$H152,$H152)&gt;1,1,0))</f>
        <v>0</v>
      </c>
      <c r="Z152" s="91" t="n">
        <f aca="false">IF($Q152=0,0,IF(COUNTIFS($A$2:$A152,$A152,$Q$2:$Q152,"&gt;0")=1,1,0))</f>
        <v>0</v>
      </c>
      <c r="AA152" s="93" t="str">
        <f aca="false">IF($Q152&gt;0,$A152,"")</f>
        <v/>
      </c>
      <c r="AB152" s="91" t="n">
        <f aca="false">IF($K152="",0,1)</f>
        <v>0</v>
      </c>
      <c r="AC152" s="91" t="n">
        <f aca="false">IF($L152="",0,1)</f>
        <v>0</v>
      </c>
      <c r="AD152" s="91" t="n">
        <f aca="false">IF($M152="",0,1)</f>
        <v>0</v>
      </c>
      <c r="AE152" s="91" t="str">
        <f aca="false">IF($Q152&gt;0,$D152,"")</f>
        <v/>
      </c>
      <c r="AF152" s="1"/>
      <c r="AG152" s="1"/>
      <c r="AH152" s="1"/>
      <c r="AI152" s="1"/>
      <c r="AJ152" s="1"/>
      <c r="AK152" s="1"/>
      <c r="AL152" s="1"/>
      <c r="AM152" s="1"/>
      <c r="AN152" s="1"/>
    </row>
    <row r="153" customFormat="false" ht="18" hidden="false" customHeight="true" outlineLevel="0" collapsed="false">
      <c r="A153" s="86" t="n">
        <f aca="false">IF(ISNUMBER('Timeline Estacas'!A153),'Timeline Estacas'!A153,"")</f>
        <v>46297</v>
      </c>
      <c r="B153" s="87" t="n">
        <f aca="false">IF($A153="","",$A153)</f>
        <v>46297</v>
      </c>
      <c r="C153" s="88" t="n">
        <f aca="false">IF(ISNUMBER('Timeline Estacas'!C153),'Timeline Estacas'!C153,"")</f>
        <v>336</v>
      </c>
      <c r="D153" s="88" t="n">
        <f aca="false">IF(ISNUMBER('Timeline Estacas'!D153),'Timeline Estacas'!D153,"")</f>
        <v>49</v>
      </c>
      <c r="E153" s="88" t="str">
        <f aca="false">IF($D153="","","S-"&amp;TEXT($D153,"00"))</f>
        <v>S-49</v>
      </c>
      <c r="F153" s="88" t="str">
        <f aca="false">IF(ISNUMBER('Timeline Estacas'!F153),'Timeline Estacas'!F153,"")</f>
        <v/>
      </c>
      <c r="G153" s="88" t="str">
        <f aca="false">IF($F153="","",IF('Timeline Estacas'!G153&lt;&gt;"",'Timeline Estacas'!G153,'Timeline Estacas'!I153))</f>
        <v/>
      </c>
      <c r="H153" s="88" t="str">
        <f aca="false">IF(ISNUMBER('Timeline Estacas'!H153),'Timeline Estacas'!H153,"")</f>
        <v/>
      </c>
      <c r="I153" s="88" t="str">
        <f aca="false">IF($H153="","",'Timeline Estacas'!I153)</f>
        <v/>
      </c>
      <c r="J153" s="86" t="str">
        <f aca="false">IF(ISNUMBER('Timeline Estacas'!J153),'Timeline Estacas'!J153,"")</f>
        <v/>
      </c>
      <c r="K153" s="88" t="str">
        <f aca="false">IF('Timeline Estacas'!K153="","",'Timeline Estacas'!K153)</f>
        <v/>
      </c>
      <c r="L153" s="88" t="str">
        <f aca="false">IF('Timeline Estacas'!L153="","",'Timeline Estacas'!L153)</f>
        <v/>
      </c>
      <c r="M153" s="88" t="str">
        <f aca="false">IF('Timeline Estacas'!M153="","",'Timeline Estacas'!M153)</f>
        <v/>
      </c>
      <c r="N153" s="89" t="str">
        <f aca="false">IF('Timeline Estacas'!N153="","",'Timeline Estacas'!N153)</f>
        <v/>
      </c>
      <c r="O153" s="90" t="str">
        <f aca="false">IF(ISNUMBER('Timeline Estacas'!O153),'Timeline Estacas'!O153,"")</f>
        <v/>
      </c>
      <c r="P153" s="91" t="n">
        <f aca="false">IF($Q153&gt;0,1,0)</f>
        <v>0</v>
      </c>
      <c r="Q153" s="91" t="n">
        <f aca="false">IF($F153="",0,1)+IF($H153="",0,1)</f>
        <v>0</v>
      </c>
      <c r="R153" s="91" t="n">
        <f aca="false">IF($N153="",0,1)</f>
        <v>0</v>
      </c>
      <c r="S153" s="91" t="n">
        <f aca="false">IF($F153="",0,1)</f>
        <v>0</v>
      </c>
      <c r="T153" s="91" t="n">
        <f aca="false">IF($H153="",0,1)</f>
        <v>0</v>
      </c>
      <c r="U153" s="91" t="n">
        <f aca="false">IF($J153="",0,1)</f>
        <v>0</v>
      </c>
      <c r="V153" s="91" t="n">
        <f aca="true">IF($J153="",0,IF($J153&lt;=TODAY(),1,0))</f>
        <v>0</v>
      </c>
      <c r="W153" s="92" t="n">
        <f aca="false">IF($O153="",0,$O153)</f>
        <v>0</v>
      </c>
      <c r="X153" s="91" t="str">
        <f aca="false">IF($R153=1,SUM($R$2:$R153),"")</f>
        <v/>
      </c>
      <c r="Y153" s="91" t="n">
        <f aca="false">IF($F153="",0,IF(COUNTIF($F$2:$F153,$F153)+COUNTIF($H$2:$H153,$F153)&gt;1,1,0))+IF($H153="",0,IF(COUNTIF($F$2:$F153,$H153)+COUNTIF($H$2:$H153,$H153)&gt;1,1,0))</f>
        <v>0</v>
      </c>
      <c r="Z153" s="91" t="n">
        <f aca="false">IF($Q153=0,0,IF(COUNTIFS($A$2:$A153,$A153,$Q$2:$Q153,"&gt;0")=1,1,0))</f>
        <v>0</v>
      </c>
      <c r="AA153" s="93" t="str">
        <f aca="false">IF($Q153&gt;0,$A153,"")</f>
        <v/>
      </c>
      <c r="AB153" s="91" t="n">
        <f aca="false">IF($K153="",0,1)</f>
        <v>0</v>
      </c>
      <c r="AC153" s="91" t="n">
        <f aca="false">IF($L153="",0,1)</f>
        <v>0</v>
      </c>
      <c r="AD153" s="91" t="n">
        <f aca="false">IF($M153="",0,1)</f>
        <v>0</v>
      </c>
      <c r="AE153" s="91" t="str">
        <f aca="false">IF($Q153&gt;0,$D153,"")</f>
        <v/>
      </c>
      <c r="AF153" s="1"/>
      <c r="AG153" s="1"/>
      <c r="AH153" s="1"/>
      <c r="AI153" s="1"/>
      <c r="AJ153" s="1"/>
      <c r="AK153" s="1"/>
      <c r="AL153" s="1"/>
      <c r="AM153" s="1"/>
      <c r="AN153" s="1"/>
    </row>
    <row r="154" customFormat="false" ht="18" hidden="false" customHeight="true" outlineLevel="0" collapsed="false">
      <c r="A154" s="86" t="n">
        <f aca="false">IF(ISNUMBER('Timeline Estacas'!A154),'Timeline Estacas'!A154,"")</f>
        <v>46298</v>
      </c>
      <c r="B154" s="87" t="n">
        <f aca="false">IF($A154="","",$A154)</f>
        <v>46298</v>
      </c>
      <c r="C154" s="88" t="n">
        <f aca="false">IF(ISNUMBER('Timeline Estacas'!C154),'Timeline Estacas'!C154,"")</f>
        <v>337</v>
      </c>
      <c r="D154" s="88" t="n">
        <f aca="false">IF(ISNUMBER('Timeline Estacas'!D154),'Timeline Estacas'!D154,"")</f>
        <v>49</v>
      </c>
      <c r="E154" s="88" t="str">
        <f aca="false">IF($D154="","","S-"&amp;TEXT($D154,"00"))</f>
        <v>S-49</v>
      </c>
      <c r="F154" s="88" t="str">
        <f aca="false">IF(ISNUMBER('Timeline Estacas'!F154),'Timeline Estacas'!F154,"")</f>
        <v/>
      </c>
      <c r="G154" s="88" t="str">
        <f aca="false">IF($F154="","",IF('Timeline Estacas'!G154&lt;&gt;"",'Timeline Estacas'!G154,'Timeline Estacas'!I154))</f>
        <v/>
      </c>
      <c r="H154" s="88" t="str">
        <f aca="false">IF(ISNUMBER('Timeline Estacas'!H154),'Timeline Estacas'!H154,"")</f>
        <v/>
      </c>
      <c r="I154" s="88" t="str">
        <f aca="false">IF($H154="","",'Timeline Estacas'!I154)</f>
        <v/>
      </c>
      <c r="J154" s="86" t="str">
        <f aca="false">IF(ISNUMBER('Timeline Estacas'!J154),'Timeline Estacas'!J154,"")</f>
        <v/>
      </c>
      <c r="K154" s="88" t="str">
        <f aca="false">IF('Timeline Estacas'!K154="","",'Timeline Estacas'!K154)</f>
        <v/>
      </c>
      <c r="L154" s="88" t="str">
        <f aca="false">IF('Timeline Estacas'!L154="","",'Timeline Estacas'!L154)</f>
        <v/>
      </c>
      <c r="M154" s="88" t="str">
        <f aca="false">IF('Timeline Estacas'!M154="","",'Timeline Estacas'!M154)</f>
        <v/>
      </c>
      <c r="N154" s="89" t="str">
        <f aca="false">IF('Timeline Estacas'!N154="","",'Timeline Estacas'!N154)</f>
        <v/>
      </c>
      <c r="O154" s="90" t="str">
        <f aca="false">IF(ISNUMBER('Timeline Estacas'!O154),'Timeline Estacas'!O154,"")</f>
        <v/>
      </c>
      <c r="P154" s="91" t="n">
        <f aca="false">IF($Q154&gt;0,1,0)</f>
        <v>0</v>
      </c>
      <c r="Q154" s="91" t="n">
        <f aca="false">IF($F154="",0,1)+IF($H154="",0,1)</f>
        <v>0</v>
      </c>
      <c r="R154" s="91" t="n">
        <f aca="false">IF($N154="",0,1)</f>
        <v>0</v>
      </c>
      <c r="S154" s="91" t="n">
        <f aca="false">IF($F154="",0,1)</f>
        <v>0</v>
      </c>
      <c r="T154" s="91" t="n">
        <f aca="false">IF($H154="",0,1)</f>
        <v>0</v>
      </c>
      <c r="U154" s="91" t="n">
        <f aca="false">IF($J154="",0,1)</f>
        <v>0</v>
      </c>
      <c r="V154" s="91" t="n">
        <f aca="true">IF($J154="",0,IF($J154&lt;=TODAY(),1,0))</f>
        <v>0</v>
      </c>
      <c r="W154" s="92" t="n">
        <f aca="false">IF($O154="",0,$O154)</f>
        <v>0</v>
      </c>
      <c r="X154" s="91" t="str">
        <f aca="false">IF($R154=1,SUM($R$2:$R154),"")</f>
        <v/>
      </c>
      <c r="Y154" s="91" t="n">
        <f aca="false">IF($F154="",0,IF(COUNTIF($F$2:$F154,$F154)+COUNTIF($H$2:$H154,$F154)&gt;1,1,0))+IF($H154="",0,IF(COUNTIF($F$2:$F154,$H154)+COUNTIF($H$2:$H154,$H154)&gt;1,1,0))</f>
        <v>0</v>
      </c>
      <c r="Z154" s="91" t="n">
        <f aca="false">IF($Q154=0,0,IF(COUNTIFS($A$2:$A154,$A154,$Q$2:$Q154,"&gt;0")=1,1,0))</f>
        <v>0</v>
      </c>
      <c r="AA154" s="93" t="str">
        <f aca="false">IF($Q154&gt;0,$A154,"")</f>
        <v/>
      </c>
      <c r="AB154" s="91" t="n">
        <f aca="false">IF($K154="",0,1)</f>
        <v>0</v>
      </c>
      <c r="AC154" s="91" t="n">
        <f aca="false">IF($L154="",0,1)</f>
        <v>0</v>
      </c>
      <c r="AD154" s="91" t="n">
        <f aca="false">IF($M154="",0,1)</f>
        <v>0</v>
      </c>
      <c r="AE154" s="91" t="str">
        <f aca="false">IF($Q154&gt;0,$D154,"")</f>
        <v/>
      </c>
      <c r="AF154" s="1"/>
      <c r="AG154" s="1"/>
      <c r="AH154" s="1"/>
      <c r="AI154" s="1"/>
      <c r="AJ154" s="1"/>
      <c r="AK154" s="1"/>
      <c r="AL154" s="1"/>
      <c r="AM154" s="1"/>
      <c r="AN154" s="1"/>
    </row>
    <row r="155" customFormat="false" ht="18" hidden="false" customHeight="true" outlineLevel="0" collapsed="false">
      <c r="A155" s="86" t="n">
        <f aca="false">IF(ISNUMBER('Timeline Estacas'!A155),'Timeline Estacas'!A155,"")</f>
        <v>46299</v>
      </c>
      <c r="B155" s="87" t="n">
        <f aca="false">IF($A155="","",$A155)</f>
        <v>46299</v>
      </c>
      <c r="C155" s="88" t="n">
        <f aca="false">IF(ISNUMBER('Timeline Estacas'!C155),'Timeline Estacas'!C155,"")</f>
        <v>338</v>
      </c>
      <c r="D155" s="88" t="n">
        <f aca="false">IF(ISNUMBER('Timeline Estacas'!D155),'Timeline Estacas'!D155,"")</f>
        <v>49</v>
      </c>
      <c r="E155" s="88" t="str">
        <f aca="false">IF($D155="","","S-"&amp;TEXT($D155,"00"))</f>
        <v>S-49</v>
      </c>
      <c r="F155" s="88" t="str">
        <f aca="false">IF(ISNUMBER('Timeline Estacas'!F155),'Timeline Estacas'!F155,"")</f>
        <v/>
      </c>
      <c r="G155" s="88" t="str">
        <f aca="false">IF($F155="","",IF('Timeline Estacas'!G155&lt;&gt;"",'Timeline Estacas'!G155,'Timeline Estacas'!I155))</f>
        <v/>
      </c>
      <c r="H155" s="88" t="str">
        <f aca="false">IF(ISNUMBER('Timeline Estacas'!H155),'Timeline Estacas'!H155,"")</f>
        <v/>
      </c>
      <c r="I155" s="88" t="str">
        <f aca="false">IF($H155="","",'Timeline Estacas'!I155)</f>
        <v/>
      </c>
      <c r="J155" s="86" t="str">
        <f aca="false">IF(ISNUMBER('Timeline Estacas'!J155),'Timeline Estacas'!J155,"")</f>
        <v/>
      </c>
      <c r="K155" s="88" t="str">
        <f aca="false">IF('Timeline Estacas'!K155="","",'Timeline Estacas'!K155)</f>
        <v/>
      </c>
      <c r="L155" s="88" t="str">
        <f aca="false">IF('Timeline Estacas'!L155="","",'Timeline Estacas'!L155)</f>
        <v/>
      </c>
      <c r="M155" s="88" t="str">
        <f aca="false">IF('Timeline Estacas'!M155="","",'Timeline Estacas'!M155)</f>
        <v/>
      </c>
      <c r="N155" s="89" t="str">
        <f aca="false">IF('Timeline Estacas'!N155="","",'Timeline Estacas'!N155)</f>
        <v/>
      </c>
      <c r="O155" s="90" t="str">
        <f aca="false">IF(ISNUMBER('Timeline Estacas'!O155),'Timeline Estacas'!O155,"")</f>
        <v/>
      </c>
      <c r="P155" s="91" t="n">
        <f aca="false">IF($Q155&gt;0,1,0)</f>
        <v>0</v>
      </c>
      <c r="Q155" s="91" t="n">
        <f aca="false">IF($F155="",0,1)+IF($H155="",0,1)</f>
        <v>0</v>
      </c>
      <c r="R155" s="91" t="n">
        <f aca="false">IF($N155="",0,1)</f>
        <v>0</v>
      </c>
      <c r="S155" s="91" t="n">
        <f aca="false">IF($F155="",0,1)</f>
        <v>0</v>
      </c>
      <c r="T155" s="91" t="n">
        <f aca="false">IF($H155="",0,1)</f>
        <v>0</v>
      </c>
      <c r="U155" s="91" t="n">
        <f aca="false">IF($J155="",0,1)</f>
        <v>0</v>
      </c>
      <c r="V155" s="91" t="n">
        <f aca="true">IF($J155="",0,IF($J155&lt;=TODAY(),1,0))</f>
        <v>0</v>
      </c>
      <c r="W155" s="92" t="n">
        <f aca="false">IF($O155="",0,$O155)</f>
        <v>0</v>
      </c>
      <c r="X155" s="91" t="str">
        <f aca="false">IF($R155=1,SUM($R$2:$R155),"")</f>
        <v/>
      </c>
      <c r="Y155" s="91" t="n">
        <f aca="false">IF($F155="",0,IF(COUNTIF($F$2:$F155,$F155)+COUNTIF($H$2:$H155,$F155)&gt;1,1,0))+IF($H155="",0,IF(COUNTIF($F$2:$F155,$H155)+COUNTIF($H$2:$H155,$H155)&gt;1,1,0))</f>
        <v>0</v>
      </c>
      <c r="Z155" s="91" t="n">
        <f aca="false">IF($Q155=0,0,IF(COUNTIFS($A$2:$A155,$A155,$Q$2:$Q155,"&gt;0")=1,1,0))</f>
        <v>0</v>
      </c>
      <c r="AA155" s="93" t="str">
        <f aca="false">IF($Q155&gt;0,$A155,"")</f>
        <v/>
      </c>
      <c r="AB155" s="91" t="n">
        <f aca="false">IF($K155="",0,1)</f>
        <v>0</v>
      </c>
      <c r="AC155" s="91" t="n">
        <f aca="false">IF($L155="",0,1)</f>
        <v>0</v>
      </c>
      <c r="AD155" s="91" t="n">
        <f aca="false">IF($M155="",0,1)</f>
        <v>0</v>
      </c>
      <c r="AE155" s="91" t="str">
        <f aca="false">IF($Q155&gt;0,$D155,"")</f>
        <v/>
      </c>
      <c r="AF155" s="1"/>
      <c r="AG155" s="1"/>
      <c r="AH155" s="1"/>
      <c r="AI155" s="1"/>
      <c r="AJ155" s="1"/>
      <c r="AK155" s="1"/>
      <c r="AL155" s="1"/>
      <c r="AM155" s="1"/>
      <c r="AN155" s="1"/>
    </row>
    <row r="156" customFormat="false" ht="18" hidden="false" customHeight="true" outlineLevel="0" collapsed="false">
      <c r="A156" s="86" t="n">
        <f aca="false">IF(ISNUMBER('Timeline Estacas'!A156),'Timeline Estacas'!A156,"")</f>
        <v>46300</v>
      </c>
      <c r="B156" s="87" t="n">
        <f aca="false">IF($A156="","",$A156)</f>
        <v>46300</v>
      </c>
      <c r="C156" s="88" t="n">
        <f aca="false">IF(ISNUMBER('Timeline Estacas'!C156),'Timeline Estacas'!C156,"")</f>
        <v>339</v>
      </c>
      <c r="D156" s="88" t="n">
        <f aca="false">IF(ISNUMBER('Timeline Estacas'!D156),'Timeline Estacas'!D156,"")</f>
        <v>49</v>
      </c>
      <c r="E156" s="88" t="str">
        <f aca="false">IF($D156="","","S-"&amp;TEXT($D156,"00"))</f>
        <v>S-49</v>
      </c>
      <c r="F156" s="88" t="str">
        <f aca="false">IF(ISNUMBER('Timeline Estacas'!F156),'Timeline Estacas'!F156,"")</f>
        <v/>
      </c>
      <c r="G156" s="88" t="str">
        <f aca="false">IF($F156="","",IF('Timeline Estacas'!G156&lt;&gt;"",'Timeline Estacas'!G156,'Timeline Estacas'!I156))</f>
        <v/>
      </c>
      <c r="H156" s="88" t="str">
        <f aca="false">IF(ISNUMBER('Timeline Estacas'!H156),'Timeline Estacas'!H156,"")</f>
        <v/>
      </c>
      <c r="I156" s="88" t="str">
        <f aca="false">IF($H156="","",'Timeline Estacas'!I156)</f>
        <v/>
      </c>
      <c r="J156" s="86" t="str">
        <f aca="false">IF(ISNUMBER('Timeline Estacas'!J156),'Timeline Estacas'!J156,"")</f>
        <v/>
      </c>
      <c r="K156" s="88" t="str">
        <f aca="false">IF('Timeline Estacas'!K156="","",'Timeline Estacas'!K156)</f>
        <v/>
      </c>
      <c r="L156" s="88" t="str">
        <f aca="false">IF('Timeline Estacas'!L156="","",'Timeline Estacas'!L156)</f>
        <v/>
      </c>
      <c r="M156" s="88" t="str">
        <f aca="false">IF('Timeline Estacas'!M156="","",'Timeline Estacas'!M156)</f>
        <v/>
      </c>
      <c r="N156" s="89" t="str">
        <f aca="false">IF('Timeline Estacas'!N156="","",'Timeline Estacas'!N156)</f>
        <v/>
      </c>
      <c r="O156" s="90" t="str">
        <f aca="false">IF(ISNUMBER('Timeline Estacas'!O156),'Timeline Estacas'!O156,"")</f>
        <v/>
      </c>
      <c r="P156" s="91" t="n">
        <f aca="false">IF($Q156&gt;0,1,0)</f>
        <v>0</v>
      </c>
      <c r="Q156" s="91" t="n">
        <f aca="false">IF($F156="",0,1)+IF($H156="",0,1)</f>
        <v>0</v>
      </c>
      <c r="R156" s="91" t="n">
        <f aca="false">IF($N156="",0,1)</f>
        <v>0</v>
      </c>
      <c r="S156" s="91" t="n">
        <f aca="false">IF($F156="",0,1)</f>
        <v>0</v>
      </c>
      <c r="T156" s="91" t="n">
        <f aca="false">IF($H156="",0,1)</f>
        <v>0</v>
      </c>
      <c r="U156" s="91" t="n">
        <f aca="false">IF($J156="",0,1)</f>
        <v>0</v>
      </c>
      <c r="V156" s="91" t="n">
        <f aca="true">IF($J156="",0,IF($J156&lt;=TODAY(),1,0))</f>
        <v>0</v>
      </c>
      <c r="W156" s="92" t="n">
        <f aca="false">IF($O156="",0,$O156)</f>
        <v>0</v>
      </c>
      <c r="X156" s="91" t="str">
        <f aca="false">IF($R156=1,SUM($R$2:$R156),"")</f>
        <v/>
      </c>
      <c r="Y156" s="91" t="n">
        <f aca="false">IF($F156="",0,IF(COUNTIF($F$2:$F156,$F156)+COUNTIF($H$2:$H156,$F156)&gt;1,1,0))+IF($H156="",0,IF(COUNTIF($F$2:$F156,$H156)+COUNTIF($H$2:$H156,$H156)&gt;1,1,0))</f>
        <v>0</v>
      </c>
      <c r="Z156" s="91" t="n">
        <f aca="false">IF($Q156=0,0,IF(COUNTIFS($A$2:$A156,$A156,$Q$2:$Q156,"&gt;0")=1,1,0))</f>
        <v>0</v>
      </c>
      <c r="AA156" s="93" t="str">
        <f aca="false">IF($Q156&gt;0,$A156,"")</f>
        <v/>
      </c>
      <c r="AB156" s="91" t="n">
        <f aca="false">IF($K156="",0,1)</f>
        <v>0</v>
      </c>
      <c r="AC156" s="91" t="n">
        <f aca="false">IF($L156="",0,1)</f>
        <v>0</v>
      </c>
      <c r="AD156" s="91" t="n">
        <f aca="false">IF($M156="",0,1)</f>
        <v>0</v>
      </c>
      <c r="AE156" s="91" t="str">
        <f aca="false">IF($Q156&gt;0,$D156,"")</f>
        <v/>
      </c>
      <c r="AF156" s="1"/>
      <c r="AG156" s="1"/>
      <c r="AH156" s="1"/>
      <c r="AI156" s="1"/>
      <c r="AJ156" s="1"/>
      <c r="AK156" s="1"/>
      <c r="AL156" s="1"/>
      <c r="AM156" s="1"/>
      <c r="AN156" s="1"/>
    </row>
    <row r="157" customFormat="false" ht="18" hidden="false" customHeight="true" outlineLevel="0" collapsed="false">
      <c r="A157" s="86" t="n">
        <f aca="false">IF(ISNUMBER('Timeline Estacas'!A157),'Timeline Estacas'!A157,"")</f>
        <v>46301</v>
      </c>
      <c r="B157" s="87" t="n">
        <f aca="false">IF($A157="","",$A157)</f>
        <v>46301</v>
      </c>
      <c r="C157" s="88" t="n">
        <f aca="false">IF(ISNUMBER('Timeline Estacas'!C157),'Timeline Estacas'!C157,"")</f>
        <v>340</v>
      </c>
      <c r="D157" s="88" t="n">
        <f aca="false">IF(ISNUMBER('Timeline Estacas'!D157),'Timeline Estacas'!D157,"")</f>
        <v>49</v>
      </c>
      <c r="E157" s="88" t="str">
        <f aca="false">IF($D157="","","S-"&amp;TEXT($D157,"00"))</f>
        <v>S-49</v>
      </c>
      <c r="F157" s="88" t="str">
        <f aca="false">IF(ISNUMBER('Timeline Estacas'!F157),'Timeline Estacas'!F157,"")</f>
        <v/>
      </c>
      <c r="G157" s="88" t="str">
        <f aca="false">IF($F157="","",IF('Timeline Estacas'!G157&lt;&gt;"",'Timeline Estacas'!G157,'Timeline Estacas'!I157))</f>
        <v/>
      </c>
      <c r="H157" s="88" t="str">
        <f aca="false">IF(ISNUMBER('Timeline Estacas'!H157),'Timeline Estacas'!H157,"")</f>
        <v/>
      </c>
      <c r="I157" s="88" t="str">
        <f aca="false">IF($H157="","",'Timeline Estacas'!I157)</f>
        <v/>
      </c>
      <c r="J157" s="86" t="str">
        <f aca="false">IF(ISNUMBER('Timeline Estacas'!J157),'Timeline Estacas'!J157,"")</f>
        <v/>
      </c>
      <c r="K157" s="88" t="str">
        <f aca="false">IF('Timeline Estacas'!K157="","",'Timeline Estacas'!K157)</f>
        <v/>
      </c>
      <c r="L157" s="88" t="str">
        <f aca="false">IF('Timeline Estacas'!L157="","",'Timeline Estacas'!L157)</f>
        <v/>
      </c>
      <c r="M157" s="88" t="str">
        <f aca="false">IF('Timeline Estacas'!M157="","",'Timeline Estacas'!M157)</f>
        <v/>
      </c>
      <c r="N157" s="89" t="str">
        <f aca="false">IF('Timeline Estacas'!N157="","",'Timeline Estacas'!N157)</f>
        <v/>
      </c>
      <c r="O157" s="90" t="str">
        <f aca="false">IF(ISNUMBER('Timeline Estacas'!O157),'Timeline Estacas'!O157,"")</f>
        <v/>
      </c>
      <c r="P157" s="91" t="n">
        <f aca="false">IF($Q157&gt;0,1,0)</f>
        <v>0</v>
      </c>
      <c r="Q157" s="91" t="n">
        <f aca="false">IF($F157="",0,1)+IF($H157="",0,1)</f>
        <v>0</v>
      </c>
      <c r="R157" s="91" t="n">
        <f aca="false">IF($N157="",0,1)</f>
        <v>0</v>
      </c>
      <c r="S157" s="91" t="n">
        <f aca="false">IF($F157="",0,1)</f>
        <v>0</v>
      </c>
      <c r="T157" s="91" t="n">
        <f aca="false">IF($H157="",0,1)</f>
        <v>0</v>
      </c>
      <c r="U157" s="91" t="n">
        <f aca="false">IF($J157="",0,1)</f>
        <v>0</v>
      </c>
      <c r="V157" s="91" t="n">
        <f aca="true">IF($J157="",0,IF($J157&lt;=TODAY(),1,0))</f>
        <v>0</v>
      </c>
      <c r="W157" s="92" t="n">
        <f aca="false">IF($O157="",0,$O157)</f>
        <v>0</v>
      </c>
      <c r="X157" s="91" t="str">
        <f aca="false">IF($R157=1,SUM($R$2:$R157),"")</f>
        <v/>
      </c>
      <c r="Y157" s="91" t="n">
        <f aca="false">IF($F157="",0,IF(COUNTIF($F$2:$F157,$F157)+COUNTIF($H$2:$H157,$F157)&gt;1,1,0))+IF($H157="",0,IF(COUNTIF($F$2:$F157,$H157)+COUNTIF($H$2:$H157,$H157)&gt;1,1,0))</f>
        <v>0</v>
      </c>
      <c r="Z157" s="91" t="n">
        <f aca="false">IF($Q157=0,0,IF(COUNTIFS($A$2:$A157,$A157,$Q$2:$Q157,"&gt;0")=1,1,0))</f>
        <v>0</v>
      </c>
      <c r="AA157" s="93" t="str">
        <f aca="false">IF($Q157&gt;0,$A157,"")</f>
        <v/>
      </c>
      <c r="AB157" s="91" t="n">
        <f aca="false">IF($K157="",0,1)</f>
        <v>0</v>
      </c>
      <c r="AC157" s="91" t="n">
        <f aca="false">IF($L157="",0,1)</f>
        <v>0</v>
      </c>
      <c r="AD157" s="91" t="n">
        <f aca="false">IF($M157="",0,1)</f>
        <v>0</v>
      </c>
      <c r="AE157" s="91" t="str">
        <f aca="false">IF($Q157&gt;0,$D157,"")</f>
        <v/>
      </c>
      <c r="AF157" s="1"/>
      <c r="AG157" s="1"/>
      <c r="AH157" s="1"/>
      <c r="AI157" s="1"/>
      <c r="AJ157" s="1"/>
      <c r="AK157" s="1"/>
      <c r="AL157" s="1"/>
      <c r="AM157" s="1"/>
      <c r="AN157" s="1"/>
    </row>
    <row r="158" customFormat="false" ht="18" hidden="false" customHeight="true" outlineLevel="0" collapsed="false">
      <c r="A158" s="86" t="n">
        <f aca="false">IF(ISNUMBER('Timeline Estacas'!A158),'Timeline Estacas'!A158,"")</f>
        <v>46302</v>
      </c>
      <c r="B158" s="87" t="n">
        <f aca="false">IF($A158="","",$A158)</f>
        <v>46302</v>
      </c>
      <c r="C158" s="88" t="n">
        <f aca="false">IF(ISNUMBER('Timeline Estacas'!C158),'Timeline Estacas'!C158,"")</f>
        <v>341</v>
      </c>
      <c r="D158" s="88" t="n">
        <f aca="false">IF(ISNUMBER('Timeline Estacas'!D158),'Timeline Estacas'!D158,"")</f>
        <v>49</v>
      </c>
      <c r="E158" s="88" t="str">
        <f aca="false">IF($D158="","","S-"&amp;TEXT($D158,"00"))</f>
        <v>S-49</v>
      </c>
      <c r="F158" s="88" t="str">
        <f aca="false">IF(ISNUMBER('Timeline Estacas'!F158),'Timeline Estacas'!F158,"")</f>
        <v/>
      </c>
      <c r="G158" s="88" t="str">
        <f aca="false">IF($F158="","",IF('Timeline Estacas'!G158&lt;&gt;"",'Timeline Estacas'!G158,'Timeline Estacas'!I158))</f>
        <v/>
      </c>
      <c r="H158" s="88" t="str">
        <f aca="false">IF(ISNUMBER('Timeline Estacas'!H158),'Timeline Estacas'!H158,"")</f>
        <v/>
      </c>
      <c r="I158" s="88" t="str">
        <f aca="false">IF($H158="","",'Timeline Estacas'!I158)</f>
        <v/>
      </c>
      <c r="J158" s="86" t="str">
        <f aca="false">IF(ISNUMBER('Timeline Estacas'!J158),'Timeline Estacas'!J158,"")</f>
        <v/>
      </c>
      <c r="K158" s="88" t="str">
        <f aca="false">IF('Timeline Estacas'!K158="","",'Timeline Estacas'!K158)</f>
        <v/>
      </c>
      <c r="L158" s="88" t="str">
        <f aca="false">IF('Timeline Estacas'!L158="","",'Timeline Estacas'!L158)</f>
        <v/>
      </c>
      <c r="M158" s="88" t="str">
        <f aca="false">IF('Timeline Estacas'!M158="","",'Timeline Estacas'!M158)</f>
        <v/>
      </c>
      <c r="N158" s="89" t="str">
        <f aca="false">IF('Timeline Estacas'!N158="","",'Timeline Estacas'!N158)</f>
        <v/>
      </c>
      <c r="O158" s="90" t="str">
        <f aca="false">IF(ISNUMBER('Timeline Estacas'!O158),'Timeline Estacas'!O158,"")</f>
        <v/>
      </c>
      <c r="P158" s="91" t="n">
        <f aca="false">IF($Q158&gt;0,1,0)</f>
        <v>0</v>
      </c>
      <c r="Q158" s="91" t="n">
        <f aca="false">IF($F158="",0,1)+IF($H158="",0,1)</f>
        <v>0</v>
      </c>
      <c r="R158" s="91" t="n">
        <f aca="false">IF($N158="",0,1)</f>
        <v>0</v>
      </c>
      <c r="S158" s="91" t="n">
        <f aca="false">IF($F158="",0,1)</f>
        <v>0</v>
      </c>
      <c r="T158" s="91" t="n">
        <f aca="false">IF($H158="",0,1)</f>
        <v>0</v>
      </c>
      <c r="U158" s="91" t="n">
        <f aca="false">IF($J158="",0,1)</f>
        <v>0</v>
      </c>
      <c r="V158" s="91" t="n">
        <f aca="true">IF($J158="",0,IF($J158&lt;=TODAY(),1,0))</f>
        <v>0</v>
      </c>
      <c r="W158" s="92" t="n">
        <f aca="false">IF($O158="",0,$O158)</f>
        <v>0</v>
      </c>
      <c r="X158" s="91" t="str">
        <f aca="false">IF($R158=1,SUM($R$2:$R158),"")</f>
        <v/>
      </c>
      <c r="Y158" s="91" t="n">
        <f aca="false">IF($F158="",0,IF(COUNTIF($F$2:$F158,$F158)+COUNTIF($H$2:$H158,$F158)&gt;1,1,0))+IF($H158="",0,IF(COUNTIF($F$2:$F158,$H158)+COUNTIF($H$2:$H158,$H158)&gt;1,1,0))</f>
        <v>0</v>
      </c>
      <c r="Z158" s="91" t="n">
        <f aca="false">IF($Q158=0,0,IF(COUNTIFS($A$2:$A158,$A158,$Q$2:$Q158,"&gt;0")=1,1,0))</f>
        <v>0</v>
      </c>
      <c r="AA158" s="93" t="str">
        <f aca="false">IF($Q158&gt;0,$A158,"")</f>
        <v/>
      </c>
      <c r="AB158" s="91" t="n">
        <f aca="false">IF($K158="",0,1)</f>
        <v>0</v>
      </c>
      <c r="AC158" s="91" t="n">
        <f aca="false">IF($L158="",0,1)</f>
        <v>0</v>
      </c>
      <c r="AD158" s="91" t="n">
        <f aca="false">IF($M158="",0,1)</f>
        <v>0</v>
      </c>
      <c r="AE158" s="91" t="str">
        <f aca="false">IF($Q158&gt;0,$D158,"")</f>
        <v/>
      </c>
      <c r="AF158" s="1"/>
      <c r="AG158" s="1"/>
      <c r="AH158" s="1"/>
      <c r="AI158" s="1"/>
      <c r="AJ158" s="1"/>
      <c r="AK158" s="1"/>
      <c r="AL158" s="1"/>
      <c r="AM158" s="1"/>
      <c r="AN158" s="1"/>
    </row>
    <row r="159" customFormat="false" ht="18" hidden="false" customHeight="true" outlineLevel="0" collapsed="false">
      <c r="A159" s="86" t="n">
        <f aca="false">IF(ISNUMBER('Timeline Estacas'!A159),'Timeline Estacas'!A159,"")</f>
        <v>46303</v>
      </c>
      <c r="B159" s="87" t="n">
        <f aca="false">IF($A159="","",$A159)</f>
        <v>46303</v>
      </c>
      <c r="C159" s="88" t="n">
        <f aca="false">IF(ISNUMBER('Timeline Estacas'!C159),'Timeline Estacas'!C159,"")</f>
        <v>342</v>
      </c>
      <c r="D159" s="88" t="n">
        <f aca="false">IF(ISNUMBER('Timeline Estacas'!D159),'Timeline Estacas'!D159,"")</f>
        <v>49</v>
      </c>
      <c r="E159" s="88" t="str">
        <f aca="false">IF($D159="","","S-"&amp;TEXT($D159,"00"))</f>
        <v>S-49</v>
      </c>
      <c r="F159" s="88" t="str">
        <f aca="false">IF(ISNUMBER('Timeline Estacas'!F159),'Timeline Estacas'!F159,"")</f>
        <v/>
      </c>
      <c r="G159" s="88" t="str">
        <f aca="false">IF($F159="","",IF('Timeline Estacas'!G159&lt;&gt;"",'Timeline Estacas'!G159,'Timeline Estacas'!I159))</f>
        <v/>
      </c>
      <c r="H159" s="88" t="str">
        <f aca="false">IF(ISNUMBER('Timeline Estacas'!H159),'Timeline Estacas'!H159,"")</f>
        <v/>
      </c>
      <c r="I159" s="88" t="str">
        <f aca="false">IF($H159="","",'Timeline Estacas'!I159)</f>
        <v/>
      </c>
      <c r="J159" s="86" t="str">
        <f aca="false">IF(ISNUMBER('Timeline Estacas'!J159),'Timeline Estacas'!J159,"")</f>
        <v/>
      </c>
      <c r="K159" s="88" t="str">
        <f aca="false">IF('Timeline Estacas'!K159="","",'Timeline Estacas'!K159)</f>
        <v/>
      </c>
      <c r="L159" s="88" t="str">
        <f aca="false">IF('Timeline Estacas'!L159="","",'Timeline Estacas'!L159)</f>
        <v/>
      </c>
      <c r="M159" s="88" t="str">
        <f aca="false">IF('Timeline Estacas'!M159="","",'Timeline Estacas'!M159)</f>
        <v/>
      </c>
      <c r="N159" s="89" t="str">
        <f aca="false">IF('Timeline Estacas'!N159="","",'Timeline Estacas'!N159)</f>
        <v/>
      </c>
      <c r="O159" s="90" t="str">
        <f aca="false">IF(ISNUMBER('Timeline Estacas'!O159),'Timeline Estacas'!O159,"")</f>
        <v/>
      </c>
      <c r="P159" s="91" t="n">
        <f aca="false">IF($Q159&gt;0,1,0)</f>
        <v>0</v>
      </c>
      <c r="Q159" s="91" t="n">
        <f aca="false">IF($F159="",0,1)+IF($H159="",0,1)</f>
        <v>0</v>
      </c>
      <c r="R159" s="91" t="n">
        <f aca="false">IF($N159="",0,1)</f>
        <v>0</v>
      </c>
      <c r="S159" s="91" t="n">
        <f aca="false">IF($F159="",0,1)</f>
        <v>0</v>
      </c>
      <c r="T159" s="91" t="n">
        <f aca="false">IF($H159="",0,1)</f>
        <v>0</v>
      </c>
      <c r="U159" s="91" t="n">
        <f aca="false">IF($J159="",0,1)</f>
        <v>0</v>
      </c>
      <c r="V159" s="91" t="n">
        <f aca="true">IF($J159="",0,IF($J159&lt;=TODAY(),1,0))</f>
        <v>0</v>
      </c>
      <c r="W159" s="92" t="n">
        <f aca="false">IF($O159="",0,$O159)</f>
        <v>0</v>
      </c>
      <c r="X159" s="91" t="str">
        <f aca="false">IF($R159=1,SUM($R$2:$R159),"")</f>
        <v/>
      </c>
      <c r="Y159" s="91" t="n">
        <f aca="false">IF($F159="",0,IF(COUNTIF($F$2:$F159,$F159)+COUNTIF($H$2:$H159,$F159)&gt;1,1,0))+IF($H159="",0,IF(COUNTIF($F$2:$F159,$H159)+COUNTIF($H$2:$H159,$H159)&gt;1,1,0))</f>
        <v>0</v>
      </c>
      <c r="Z159" s="91" t="n">
        <f aca="false">IF($Q159=0,0,IF(COUNTIFS($A$2:$A159,$A159,$Q$2:$Q159,"&gt;0")=1,1,0))</f>
        <v>0</v>
      </c>
      <c r="AA159" s="93" t="str">
        <f aca="false">IF($Q159&gt;0,$A159,"")</f>
        <v/>
      </c>
      <c r="AB159" s="91" t="n">
        <f aca="false">IF($K159="",0,1)</f>
        <v>0</v>
      </c>
      <c r="AC159" s="91" t="n">
        <f aca="false">IF($L159="",0,1)</f>
        <v>0</v>
      </c>
      <c r="AD159" s="91" t="n">
        <f aca="false">IF($M159="",0,1)</f>
        <v>0</v>
      </c>
      <c r="AE159" s="91" t="str">
        <f aca="false">IF($Q159&gt;0,$D159,"")</f>
        <v/>
      </c>
      <c r="AF159" s="1"/>
      <c r="AG159" s="1"/>
      <c r="AH159" s="1"/>
      <c r="AI159" s="1"/>
      <c r="AJ159" s="1"/>
      <c r="AK159" s="1"/>
      <c r="AL159" s="1"/>
      <c r="AM159" s="1"/>
      <c r="AN159" s="1"/>
    </row>
    <row r="160" customFormat="false" ht="18" hidden="false" customHeight="true" outlineLevel="0" collapsed="false">
      <c r="A160" s="86" t="n">
        <f aca="false">IF(ISNUMBER('Timeline Estacas'!A160),'Timeline Estacas'!A160,"")</f>
        <v>46304</v>
      </c>
      <c r="B160" s="87" t="n">
        <f aca="false">IF($A160="","",$A160)</f>
        <v>46304</v>
      </c>
      <c r="C160" s="88" t="n">
        <f aca="false">IF(ISNUMBER('Timeline Estacas'!C160),'Timeline Estacas'!C160,"")</f>
        <v>343</v>
      </c>
      <c r="D160" s="88" t="n">
        <f aca="false">IF(ISNUMBER('Timeline Estacas'!D160),'Timeline Estacas'!D160,"")</f>
        <v>50</v>
      </c>
      <c r="E160" s="88" t="str">
        <f aca="false">IF($D160="","","S-"&amp;TEXT($D160,"00"))</f>
        <v>S-50</v>
      </c>
      <c r="F160" s="88" t="str">
        <f aca="false">IF(ISNUMBER('Timeline Estacas'!F160),'Timeline Estacas'!F160,"")</f>
        <v/>
      </c>
      <c r="G160" s="88" t="str">
        <f aca="false">IF($F160="","",IF('Timeline Estacas'!G160&lt;&gt;"",'Timeline Estacas'!G160,'Timeline Estacas'!I160))</f>
        <v/>
      </c>
      <c r="H160" s="88" t="str">
        <f aca="false">IF(ISNUMBER('Timeline Estacas'!H160),'Timeline Estacas'!H160,"")</f>
        <v/>
      </c>
      <c r="I160" s="88" t="str">
        <f aca="false">IF($H160="","",'Timeline Estacas'!I160)</f>
        <v/>
      </c>
      <c r="J160" s="86" t="str">
        <f aca="false">IF(ISNUMBER('Timeline Estacas'!J160),'Timeline Estacas'!J160,"")</f>
        <v/>
      </c>
      <c r="K160" s="88" t="str">
        <f aca="false">IF('Timeline Estacas'!K160="","",'Timeline Estacas'!K160)</f>
        <v/>
      </c>
      <c r="L160" s="88" t="str">
        <f aca="false">IF('Timeline Estacas'!L160="","",'Timeline Estacas'!L160)</f>
        <v/>
      </c>
      <c r="M160" s="88" t="str">
        <f aca="false">IF('Timeline Estacas'!M160="","",'Timeline Estacas'!M160)</f>
        <v/>
      </c>
      <c r="N160" s="89" t="str">
        <f aca="false">IF('Timeline Estacas'!N160="","",'Timeline Estacas'!N160)</f>
        <v/>
      </c>
      <c r="O160" s="90" t="str">
        <f aca="false">IF(ISNUMBER('Timeline Estacas'!O160),'Timeline Estacas'!O160,"")</f>
        <v/>
      </c>
      <c r="P160" s="91" t="n">
        <f aca="false">IF($Q160&gt;0,1,0)</f>
        <v>0</v>
      </c>
      <c r="Q160" s="91" t="n">
        <f aca="false">IF($F160="",0,1)+IF($H160="",0,1)</f>
        <v>0</v>
      </c>
      <c r="R160" s="91" t="n">
        <f aca="false">IF($N160="",0,1)</f>
        <v>0</v>
      </c>
      <c r="S160" s="91" t="n">
        <f aca="false">IF($F160="",0,1)</f>
        <v>0</v>
      </c>
      <c r="T160" s="91" t="n">
        <f aca="false">IF($H160="",0,1)</f>
        <v>0</v>
      </c>
      <c r="U160" s="91" t="n">
        <f aca="false">IF($J160="",0,1)</f>
        <v>0</v>
      </c>
      <c r="V160" s="91" t="n">
        <f aca="true">IF($J160="",0,IF($J160&lt;=TODAY(),1,0))</f>
        <v>0</v>
      </c>
      <c r="W160" s="92" t="n">
        <f aca="false">IF($O160="",0,$O160)</f>
        <v>0</v>
      </c>
      <c r="X160" s="91" t="str">
        <f aca="false">IF($R160=1,SUM($R$2:$R160),"")</f>
        <v/>
      </c>
      <c r="Y160" s="91" t="n">
        <f aca="false">IF($F160="",0,IF(COUNTIF($F$2:$F160,$F160)+COUNTIF($H$2:$H160,$F160)&gt;1,1,0))+IF($H160="",0,IF(COUNTIF($F$2:$F160,$H160)+COUNTIF($H$2:$H160,$H160)&gt;1,1,0))</f>
        <v>0</v>
      </c>
      <c r="Z160" s="91" t="n">
        <f aca="false">IF($Q160=0,0,IF(COUNTIFS($A$2:$A160,$A160,$Q$2:$Q160,"&gt;0")=1,1,0))</f>
        <v>0</v>
      </c>
      <c r="AA160" s="93" t="str">
        <f aca="false">IF($Q160&gt;0,$A160,"")</f>
        <v/>
      </c>
      <c r="AB160" s="91" t="n">
        <f aca="false">IF($K160="",0,1)</f>
        <v>0</v>
      </c>
      <c r="AC160" s="91" t="n">
        <f aca="false">IF($L160="",0,1)</f>
        <v>0</v>
      </c>
      <c r="AD160" s="91" t="n">
        <f aca="false">IF($M160="",0,1)</f>
        <v>0</v>
      </c>
      <c r="AE160" s="91" t="str">
        <f aca="false">IF($Q160&gt;0,$D160,"")</f>
        <v/>
      </c>
      <c r="AF160" s="1"/>
      <c r="AG160" s="1"/>
      <c r="AH160" s="1"/>
      <c r="AI160" s="1"/>
      <c r="AJ160" s="1"/>
      <c r="AK160" s="1"/>
      <c r="AL160" s="1"/>
      <c r="AM160" s="1"/>
      <c r="AN160" s="1"/>
    </row>
    <row r="161" customFormat="false" ht="18" hidden="false" customHeight="true" outlineLevel="0" collapsed="false">
      <c r="A161" s="86" t="n">
        <f aca="false">IF(ISNUMBER('Timeline Estacas'!A161),'Timeline Estacas'!A161,"")</f>
        <v>46305</v>
      </c>
      <c r="B161" s="87" t="n">
        <f aca="false">IF($A161="","",$A161)</f>
        <v>46305</v>
      </c>
      <c r="C161" s="88" t="n">
        <f aca="false">IF(ISNUMBER('Timeline Estacas'!C161),'Timeline Estacas'!C161,"")</f>
        <v>344</v>
      </c>
      <c r="D161" s="88" t="n">
        <f aca="false">IF(ISNUMBER('Timeline Estacas'!D161),'Timeline Estacas'!D161,"")</f>
        <v>50</v>
      </c>
      <c r="E161" s="88" t="str">
        <f aca="false">IF($D161="","","S-"&amp;TEXT($D161,"00"))</f>
        <v>S-50</v>
      </c>
      <c r="F161" s="88" t="str">
        <f aca="false">IF(ISNUMBER('Timeline Estacas'!F161),'Timeline Estacas'!F161,"")</f>
        <v/>
      </c>
      <c r="G161" s="88" t="str">
        <f aca="false">IF($F161="","",IF('Timeline Estacas'!G161&lt;&gt;"",'Timeline Estacas'!G161,'Timeline Estacas'!I161))</f>
        <v/>
      </c>
      <c r="H161" s="88" t="str">
        <f aca="false">IF(ISNUMBER('Timeline Estacas'!H161),'Timeline Estacas'!H161,"")</f>
        <v/>
      </c>
      <c r="I161" s="88" t="str">
        <f aca="false">IF($H161="","",'Timeline Estacas'!I161)</f>
        <v/>
      </c>
      <c r="J161" s="86" t="str">
        <f aca="false">IF(ISNUMBER('Timeline Estacas'!J161),'Timeline Estacas'!J161,"")</f>
        <v/>
      </c>
      <c r="K161" s="88" t="str">
        <f aca="false">IF('Timeline Estacas'!K161="","",'Timeline Estacas'!K161)</f>
        <v/>
      </c>
      <c r="L161" s="88" t="str">
        <f aca="false">IF('Timeline Estacas'!L161="","",'Timeline Estacas'!L161)</f>
        <v/>
      </c>
      <c r="M161" s="88" t="str">
        <f aca="false">IF('Timeline Estacas'!M161="","",'Timeline Estacas'!M161)</f>
        <v/>
      </c>
      <c r="N161" s="89" t="str">
        <f aca="false">IF('Timeline Estacas'!N161="","",'Timeline Estacas'!N161)</f>
        <v/>
      </c>
      <c r="O161" s="90" t="str">
        <f aca="false">IF(ISNUMBER('Timeline Estacas'!O161),'Timeline Estacas'!O161,"")</f>
        <v/>
      </c>
      <c r="P161" s="91" t="n">
        <f aca="false">IF($Q161&gt;0,1,0)</f>
        <v>0</v>
      </c>
      <c r="Q161" s="91" t="n">
        <f aca="false">IF($F161="",0,1)+IF($H161="",0,1)</f>
        <v>0</v>
      </c>
      <c r="R161" s="91" t="n">
        <f aca="false">IF($N161="",0,1)</f>
        <v>0</v>
      </c>
      <c r="S161" s="91" t="n">
        <f aca="false">IF($F161="",0,1)</f>
        <v>0</v>
      </c>
      <c r="T161" s="91" t="n">
        <f aca="false">IF($H161="",0,1)</f>
        <v>0</v>
      </c>
      <c r="U161" s="91" t="n">
        <f aca="false">IF($J161="",0,1)</f>
        <v>0</v>
      </c>
      <c r="V161" s="91" t="n">
        <f aca="true">IF($J161="",0,IF($J161&lt;=TODAY(),1,0))</f>
        <v>0</v>
      </c>
      <c r="W161" s="92" t="n">
        <f aca="false">IF($O161="",0,$O161)</f>
        <v>0</v>
      </c>
      <c r="X161" s="91" t="str">
        <f aca="false">IF($R161=1,SUM($R$2:$R161),"")</f>
        <v/>
      </c>
      <c r="Y161" s="91" t="n">
        <f aca="false">IF($F161="",0,IF(COUNTIF($F$2:$F161,$F161)+COUNTIF($H$2:$H161,$F161)&gt;1,1,0))+IF($H161="",0,IF(COUNTIF($F$2:$F161,$H161)+COUNTIF($H$2:$H161,$H161)&gt;1,1,0))</f>
        <v>0</v>
      </c>
      <c r="Z161" s="91" t="n">
        <f aca="false">IF($Q161=0,0,IF(COUNTIFS($A$2:$A161,$A161,$Q$2:$Q161,"&gt;0")=1,1,0))</f>
        <v>0</v>
      </c>
      <c r="AA161" s="93" t="str">
        <f aca="false">IF($Q161&gt;0,$A161,"")</f>
        <v/>
      </c>
      <c r="AB161" s="91" t="n">
        <f aca="false">IF($K161="",0,1)</f>
        <v>0</v>
      </c>
      <c r="AC161" s="91" t="n">
        <f aca="false">IF($L161="",0,1)</f>
        <v>0</v>
      </c>
      <c r="AD161" s="91" t="n">
        <f aca="false">IF($M161="",0,1)</f>
        <v>0</v>
      </c>
      <c r="AE161" s="91" t="str">
        <f aca="false">IF($Q161&gt;0,$D161,"")</f>
        <v/>
      </c>
      <c r="AF161" s="1"/>
      <c r="AG161" s="1"/>
      <c r="AH161" s="1"/>
      <c r="AI161" s="1"/>
      <c r="AJ161" s="1"/>
      <c r="AK161" s="1"/>
      <c r="AL161" s="1"/>
      <c r="AM161" s="1"/>
      <c r="AN161" s="1"/>
    </row>
    <row r="162" customFormat="false" ht="18" hidden="false" customHeight="true" outlineLevel="0" collapsed="false">
      <c r="A162" s="86" t="n">
        <f aca="false">IF(ISNUMBER('Timeline Estacas'!A162),'Timeline Estacas'!A162,"")</f>
        <v>46306</v>
      </c>
      <c r="B162" s="87" t="n">
        <f aca="false">IF($A162="","",$A162)</f>
        <v>46306</v>
      </c>
      <c r="C162" s="88" t="n">
        <f aca="false">IF(ISNUMBER('Timeline Estacas'!C162),'Timeline Estacas'!C162,"")</f>
        <v>345</v>
      </c>
      <c r="D162" s="88" t="n">
        <f aca="false">IF(ISNUMBER('Timeline Estacas'!D162),'Timeline Estacas'!D162,"")</f>
        <v>50</v>
      </c>
      <c r="E162" s="88" t="str">
        <f aca="false">IF($D162="","","S-"&amp;TEXT($D162,"00"))</f>
        <v>S-50</v>
      </c>
      <c r="F162" s="88" t="str">
        <f aca="false">IF(ISNUMBER('Timeline Estacas'!F162),'Timeline Estacas'!F162,"")</f>
        <v/>
      </c>
      <c r="G162" s="88" t="str">
        <f aca="false">IF($F162="","",IF('Timeline Estacas'!G162&lt;&gt;"",'Timeline Estacas'!G162,'Timeline Estacas'!I162))</f>
        <v/>
      </c>
      <c r="H162" s="88" t="str">
        <f aca="false">IF(ISNUMBER('Timeline Estacas'!H162),'Timeline Estacas'!H162,"")</f>
        <v/>
      </c>
      <c r="I162" s="88" t="str">
        <f aca="false">IF($H162="","",'Timeline Estacas'!I162)</f>
        <v/>
      </c>
      <c r="J162" s="86" t="str">
        <f aca="false">IF(ISNUMBER('Timeline Estacas'!J162),'Timeline Estacas'!J162,"")</f>
        <v/>
      </c>
      <c r="K162" s="88" t="str">
        <f aca="false">IF('Timeline Estacas'!K162="","",'Timeline Estacas'!K162)</f>
        <v/>
      </c>
      <c r="L162" s="88" t="str">
        <f aca="false">IF('Timeline Estacas'!L162="","",'Timeline Estacas'!L162)</f>
        <v/>
      </c>
      <c r="M162" s="88" t="str">
        <f aca="false">IF('Timeline Estacas'!M162="","",'Timeline Estacas'!M162)</f>
        <v/>
      </c>
      <c r="N162" s="89" t="str">
        <f aca="false">IF('Timeline Estacas'!N162="","",'Timeline Estacas'!N162)</f>
        <v/>
      </c>
      <c r="O162" s="90" t="str">
        <f aca="false">IF(ISNUMBER('Timeline Estacas'!O162),'Timeline Estacas'!O162,"")</f>
        <v/>
      </c>
      <c r="P162" s="91" t="n">
        <f aca="false">IF($Q162&gt;0,1,0)</f>
        <v>0</v>
      </c>
      <c r="Q162" s="91" t="n">
        <f aca="false">IF($F162="",0,1)+IF($H162="",0,1)</f>
        <v>0</v>
      </c>
      <c r="R162" s="91" t="n">
        <f aca="false">IF($N162="",0,1)</f>
        <v>0</v>
      </c>
      <c r="S162" s="91" t="n">
        <f aca="false">IF($F162="",0,1)</f>
        <v>0</v>
      </c>
      <c r="T162" s="91" t="n">
        <f aca="false">IF($H162="",0,1)</f>
        <v>0</v>
      </c>
      <c r="U162" s="91" t="n">
        <f aca="false">IF($J162="",0,1)</f>
        <v>0</v>
      </c>
      <c r="V162" s="91" t="n">
        <f aca="true">IF($J162="",0,IF($J162&lt;=TODAY(),1,0))</f>
        <v>0</v>
      </c>
      <c r="W162" s="92" t="n">
        <f aca="false">IF($O162="",0,$O162)</f>
        <v>0</v>
      </c>
      <c r="X162" s="91" t="str">
        <f aca="false">IF($R162=1,SUM($R$2:$R162),"")</f>
        <v/>
      </c>
      <c r="Y162" s="91" t="n">
        <f aca="false">IF($F162="",0,IF(COUNTIF($F$2:$F162,$F162)+COUNTIF($H$2:$H162,$F162)&gt;1,1,0))+IF($H162="",0,IF(COUNTIF($F$2:$F162,$H162)+COUNTIF($H$2:$H162,$H162)&gt;1,1,0))</f>
        <v>0</v>
      </c>
      <c r="Z162" s="91" t="n">
        <f aca="false">IF($Q162=0,0,IF(COUNTIFS($A$2:$A162,$A162,$Q$2:$Q162,"&gt;0")=1,1,0))</f>
        <v>0</v>
      </c>
      <c r="AA162" s="93" t="str">
        <f aca="false">IF($Q162&gt;0,$A162,"")</f>
        <v/>
      </c>
      <c r="AB162" s="91" t="n">
        <f aca="false">IF($K162="",0,1)</f>
        <v>0</v>
      </c>
      <c r="AC162" s="91" t="n">
        <f aca="false">IF($L162="",0,1)</f>
        <v>0</v>
      </c>
      <c r="AD162" s="91" t="n">
        <f aca="false">IF($M162="",0,1)</f>
        <v>0</v>
      </c>
      <c r="AE162" s="91" t="str">
        <f aca="false">IF($Q162&gt;0,$D162,"")</f>
        <v/>
      </c>
      <c r="AF162" s="1"/>
      <c r="AG162" s="1"/>
      <c r="AH162" s="1"/>
      <c r="AI162" s="1"/>
      <c r="AJ162" s="1"/>
      <c r="AK162" s="1"/>
      <c r="AL162" s="1"/>
      <c r="AM162" s="1"/>
      <c r="AN162" s="1"/>
    </row>
    <row r="163" customFormat="false" ht="18" hidden="false" customHeight="true" outlineLevel="0" collapsed="false">
      <c r="A163" s="86" t="n">
        <f aca="false">IF(ISNUMBER('Timeline Estacas'!A163),'Timeline Estacas'!A163,"")</f>
        <v>46307</v>
      </c>
      <c r="B163" s="87" t="n">
        <f aca="false">IF($A163="","",$A163)</f>
        <v>46307</v>
      </c>
      <c r="C163" s="88" t="n">
        <f aca="false">IF(ISNUMBER('Timeline Estacas'!C163),'Timeline Estacas'!C163,"")</f>
        <v>346</v>
      </c>
      <c r="D163" s="88" t="n">
        <f aca="false">IF(ISNUMBER('Timeline Estacas'!D163),'Timeline Estacas'!D163,"")</f>
        <v>50</v>
      </c>
      <c r="E163" s="88" t="str">
        <f aca="false">IF($D163="","","S-"&amp;TEXT($D163,"00"))</f>
        <v>S-50</v>
      </c>
      <c r="F163" s="88" t="str">
        <f aca="false">IF(ISNUMBER('Timeline Estacas'!F163),'Timeline Estacas'!F163,"")</f>
        <v/>
      </c>
      <c r="G163" s="88" t="str">
        <f aca="false">IF($F163="","",IF('Timeline Estacas'!G163&lt;&gt;"",'Timeline Estacas'!G163,'Timeline Estacas'!I163))</f>
        <v/>
      </c>
      <c r="H163" s="88" t="str">
        <f aca="false">IF(ISNUMBER('Timeline Estacas'!H163),'Timeline Estacas'!H163,"")</f>
        <v/>
      </c>
      <c r="I163" s="88" t="str">
        <f aca="false">IF($H163="","",'Timeline Estacas'!I163)</f>
        <v/>
      </c>
      <c r="J163" s="86" t="str">
        <f aca="false">IF(ISNUMBER('Timeline Estacas'!J163),'Timeline Estacas'!J163,"")</f>
        <v/>
      </c>
      <c r="K163" s="88" t="str">
        <f aca="false">IF('Timeline Estacas'!K163="","",'Timeline Estacas'!K163)</f>
        <v/>
      </c>
      <c r="L163" s="88" t="str">
        <f aca="false">IF('Timeline Estacas'!L163="","",'Timeline Estacas'!L163)</f>
        <v/>
      </c>
      <c r="M163" s="88" t="str">
        <f aca="false">IF('Timeline Estacas'!M163="","",'Timeline Estacas'!M163)</f>
        <v/>
      </c>
      <c r="N163" s="89" t="str">
        <f aca="false">IF('Timeline Estacas'!N163="","",'Timeline Estacas'!N163)</f>
        <v/>
      </c>
      <c r="O163" s="90" t="str">
        <f aca="false">IF(ISNUMBER('Timeline Estacas'!O163),'Timeline Estacas'!O163,"")</f>
        <v/>
      </c>
      <c r="P163" s="91" t="n">
        <f aca="false">IF($Q163&gt;0,1,0)</f>
        <v>0</v>
      </c>
      <c r="Q163" s="91" t="n">
        <f aca="false">IF($F163="",0,1)+IF($H163="",0,1)</f>
        <v>0</v>
      </c>
      <c r="R163" s="91" t="n">
        <f aca="false">IF($N163="",0,1)</f>
        <v>0</v>
      </c>
      <c r="S163" s="91" t="n">
        <f aca="false">IF($F163="",0,1)</f>
        <v>0</v>
      </c>
      <c r="T163" s="91" t="n">
        <f aca="false">IF($H163="",0,1)</f>
        <v>0</v>
      </c>
      <c r="U163" s="91" t="n">
        <f aca="false">IF($J163="",0,1)</f>
        <v>0</v>
      </c>
      <c r="V163" s="91" t="n">
        <f aca="true">IF($J163="",0,IF($J163&lt;=TODAY(),1,0))</f>
        <v>0</v>
      </c>
      <c r="W163" s="92" t="n">
        <f aca="false">IF($O163="",0,$O163)</f>
        <v>0</v>
      </c>
      <c r="X163" s="91" t="str">
        <f aca="false">IF($R163=1,SUM($R$2:$R163),"")</f>
        <v/>
      </c>
      <c r="Y163" s="91" t="n">
        <f aca="false">IF($F163="",0,IF(COUNTIF($F$2:$F163,$F163)+COUNTIF($H$2:$H163,$F163)&gt;1,1,0))+IF($H163="",0,IF(COUNTIF($F$2:$F163,$H163)+COUNTIF($H$2:$H163,$H163)&gt;1,1,0))</f>
        <v>0</v>
      </c>
      <c r="Z163" s="91" t="n">
        <f aca="false">IF($Q163=0,0,IF(COUNTIFS($A$2:$A163,$A163,$Q$2:$Q163,"&gt;0")=1,1,0))</f>
        <v>0</v>
      </c>
      <c r="AA163" s="93" t="str">
        <f aca="false">IF($Q163&gt;0,$A163,"")</f>
        <v/>
      </c>
      <c r="AB163" s="91" t="n">
        <f aca="false">IF($K163="",0,1)</f>
        <v>0</v>
      </c>
      <c r="AC163" s="91" t="n">
        <f aca="false">IF($L163="",0,1)</f>
        <v>0</v>
      </c>
      <c r="AD163" s="91" t="n">
        <f aca="false">IF($M163="",0,1)</f>
        <v>0</v>
      </c>
      <c r="AE163" s="91" t="str">
        <f aca="false">IF($Q163&gt;0,$D163,"")</f>
        <v/>
      </c>
      <c r="AF163" s="1"/>
      <c r="AG163" s="1"/>
      <c r="AH163" s="1"/>
      <c r="AI163" s="1"/>
      <c r="AJ163" s="1"/>
      <c r="AK163" s="1"/>
      <c r="AL163" s="1"/>
      <c r="AM163" s="1"/>
      <c r="AN163" s="1"/>
    </row>
    <row r="164" customFormat="false" ht="18" hidden="false" customHeight="true" outlineLevel="0" collapsed="false">
      <c r="A164" s="86" t="n">
        <f aca="false">IF(ISNUMBER('Timeline Estacas'!A164),'Timeline Estacas'!A164,"")</f>
        <v>46308</v>
      </c>
      <c r="B164" s="87" t="n">
        <f aca="false">IF($A164="","",$A164)</f>
        <v>46308</v>
      </c>
      <c r="C164" s="88" t="n">
        <f aca="false">IF(ISNUMBER('Timeline Estacas'!C164),'Timeline Estacas'!C164,"")</f>
        <v>347</v>
      </c>
      <c r="D164" s="88" t="n">
        <f aca="false">IF(ISNUMBER('Timeline Estacas'!D164),'Timeline Estacas'!D164,"")</f>
        <v>50</v>
      </c>
      <c r="E164" s="88" t="str">
        <f aca="false">IF($D164="","","S-"&amp;TEXT($D164,"00"))</f>
        <v>S-50</v>
      </c>
      <c r="F164" s="88" t="str">
        <f aca="false">IF(ISNUMBER('Timeline Estacas'!F164),'Timeline Estacas'!F164,"")</f>
        <v/>
      </c>
      <c r="G164" s="88" t="str">
        <f aca="false">IF($F164="","",IF('Timeline Estacas'!G164&lt;&gt;"",'Timeline Estacas'!G164,'Timeline Estacas'!I164))</f>
        <v/>
      </c>
      <c r="H164" s="88" t="str">
        <f aca="false">IF(ISNUMBER('Timeline Estacas'!H164),'Timeline Estacas'!H164,"")</f>
        <v/>
      </c>
      <c r="I164" s="88" t="str">
        <f aca="false">IF($H164="","",'Timeline Estacas'!I164)</f>
        <v/>
      </c>
      <c r="J164" s="86" t="str">
        <f aca="false">IF(ISNUMBER('Timeline Estacas'!J164),'Timeline Estacas'!J164,"")</f>
        <v/>
      </c>
      <c r="K164" s="88" t="str">
        <f aca="false">IF('Timeline Estacas'!K164="","",'Timeline Estacas'!K164)</f>
        <v/>
      </c>
      <c r="L164" s="88" t="str">
        <f aca="false">IF('Timeline Estacas'!L164="","",'Timeline Estacas'!L164)</f>
        <v/>
      </c>
      <c r="M164" s="88" t="str">
        <f aca="false">IF('Timeline Estacas'!M164="","",'Timeline Estacas'!M164)</f>
        <v/>
      </c>
      <c r="N164" s="89" t="str">
        <f aca="false">IF('Timeline Estacas'!N164="","",'Timeline Estacas'!N164)</f>
        <v/>
      </c>
      <c r="O164" s="90" t="str">
        <f aca="false">IF(ISNUMBER('Timeline Estacas'!O164),'Timeline Estacas'!O164,"")</f>
        <v/>
      </c>
      <c r="P164" s="91" t="n">
        <f aca="false">IF($Q164&gt;0,1,0)</f>
        <v>0</v>
      </c>
      <c r="Q164" s="91" t="n">
        <f aca="false">IF($F164="",0,1)+IF($H164="",0,1)</f>
        <v>0</v>
      </c>
      <c r="R164" s="91" t="n">
        <f aca="false">IF($N164="",0,1)</f>
        <v>0</v>
      </c>
      <c r="S164" s="91" t="n">
        <f aca="false">IF($F164="",0,1)</f>
        <v>0</v>
      </c>
      <c r="T164" s="91" t="n">
        <f aca="false">IF($H164="",0,1)</f>
        <v>0</v>
      </c>
      <c r="U164" s="91" t="n">
        <f aca="false">IF($J164="",0,1)</f>
        <v>0</v>
      </c>
      <c r="V164" s="91" t="n">
        <f aca="true">IF($J164="",0,IF($J164&lt;=TODAY(),1,0))</f>
        <v>0</v>
      </c>
      <c r="W164" s="92" t="n">
        <f aca="false">IF($O164="",0,$O164)</f>
        <v>0</v>
      </c>
      <c r="X164" s="91" t="str">
        <f aca="false">IF($R164=1,SUM($R$2:$R164),"")</f>
        <v/>
      </c>
      <c r="Y164" s="91" t="n">
        <f aca="false">IF($F164="",0,IF(COUNTIF($F$2:$F164,$F164)+COUNTIF($H$2:$H164,$F164)&gt;1,1,0))+IF($H164="",0,IF(COUNTIF($F$2:$F164,$H164)+COUNTIF($H$2:$H164,$H164)&gt;1,1,0))</f>
        <v>0</v>
      </c>
      <c r="Z164" s="91" t="n">
        <f aca="false">IF($Q164=0,0,IF(COUNTIFS($A$2:$A164,$A164,$Q$2:$Q164,"&gt;0")=1,1,0))</f>
        <v>0</v>
      </c>
      <c r="AA164" s="93" t="str">
        <f aca="false">IF($Q164&gt;0,$A164,"")</f>
        <v/>
      </c>
      <c r="AB164" s="91" t="n">
        <f aca="false">IF($K164="",0,1)</f>
        <v>0</v>
      </c>
      <c r="AC164" s="91" t="n">
        <f aca="false">IF($L164="",0,1)</f>
        <v>0</v>
      </c>
      <c r="AD164" s="91" t="n">
        <f aca="false">IF($M164="",0,1)</f>
        <v>0</v>
      </c>
      <c r="AE164" s="91" t="str">
        <f aca="false">IF($Q164&gt;0,$D164,"")</f>
        <v/>
      </c>
      <c r="AF164" s="1"/>
      <c r="AG164" s="1"/>
      <c r="AH164" s="1"/>
      <c r="AI164" s="1"/>
      <c r="AJ164" s="1"/>
      <c r="AK164" s="1"/>
      <c r="AL164" s="1"/>
      <c r="AM164" s="1"/>
      <c r="AN164" s="1"/>
    </row>
    <row r="165" customFormat="false" ht="18" hidden="false" customHeight="true" outlineLevel="0" collapsed="false">
      <c r="A165" s="86" t="n">
        <f aca="false">IF(ISNUMBER('Timeline Estacas'!A165),'Timeline Estacas'!A165,"")</f>
        <v>46309</v>
      </c>
      <c r="B165" s="87" t="n">
        <f aca="false">IF($A165="","",$A165)</f>
        <v>46309</v>
      </c>
      <c r="C165" s="88" t="n">
        <f aca="false">IF(ISNUMBER('Timeline Estacas'!C165),'Timeline Estacas'!C165,"")</f>
        <v>348</v>
      </c>
      <c r="D165" s="88" t="n">
        <f aca="false">IF(ISNUMBER('Timeline Estacas'!D165),'Timeline Estacas'!D165,"")</f>
        <v>50</v>
      </c>
      <c r="E165" s="88" t="str">
        <f aca="false">IF($D165="","","S-"&amp;TEXT($D165,"00"))</f>
        <v>S-50</v>
      </c>
      <c r="F165" s="88" t="str">
        <f aca="false">IF(ISNUMBER('Timeline Estacas'!F165),'Timeline Estacas'!F165,"")</f>
        <v/>
      </c>
      <c r="G165" s="88" t="str">
        <f aca="false">IF($F165="","",IF('Timeline Estacas'!G165&lt;&gt;"",'Timeline Estacas'!G165,'Timeline Estacas'!I165))</f>
        <v/>
      </c>
      <c r="H165" s="88" t="str">
        <f aca="false">IF(ISNUMBER('Timeline Estacas'!H165),'Timeline Estacas'!H165,"")</f>
        <v/>
      </c>
      <c r="I165" s="88" t="str">
        <f aca="false">IF($H165="","",'Timeline Estacas'!I165)</f>
        <v/>
      </c>
      <c r="J165" s="86" t="str">
        <f aca="false">IF(ISNUMBER('Timeline Estacas'!J165),'Timeline Estacas'!J165,"")</f>
        <v/>
      </c>
      <c r="K165" s="88" t="str">
        <f aca="false">IF('Timeline Estacas'!K165="","",'Timeline Estacas'!K165)</f>
        <v/>
      </c>
      <c r="L165" s="88" t="str">
        <f aca="false">IF('Timeline Estacas'!L165="","",'Timeline Estacas'!L165)</f>
        <v/>
      </c>
      <c r="M165" s="88" t="str">
        <f aca="false">IF('Timeline Estacas'!M165="","",'Timeline Estacas'!M165)</f>
        <v/>
      </c>
      <c r="N165" s="89" t="str">
        <f aca="false">IF('Timeline Estacas'!N165="","",'Timeline Estacas'!N165)</f>
        <v/>
      </c>
      <c r="O165" s="90" t="str">
        <f aca="false">IF(ISNUMBER('Timeline Estacas'!O165),'Timeline Estacas'!O165,"")</f>
        <v/>
      </c>
      <c r="P165" s="91" t="n">
        <f aca="false">IF($Q165&gt;0,1,0)</f>
        <v>0</v>
      </c>
      <c r="Q165" s="91" t="n">
        <f aca="false">IF($F165="",0,1)+IF($H165="",0,1)</f>
        <v>0</v>
      </c>
      <c r="R165" s="91" t="n">
        <f aca="false">IF($N165="",0,1)</f>
        <v>0</v>
      </c>
      <c r="S165" s="91" t="n">
        <f aca="false">IF($F165="",0,1)</f>
        <v>0</v>
      </c>
      <c r="T165" s="91" t="n">
        <f aca="false">IF($H165="",0,1)</f>
        <v>0</v>
      </c>
      <c r="U165" s="91" t="n">
        <f aca="false">IF($J165="",0,1)</f>
        <v>0</v>
      </c>
      <c r="V165" s="91" t="n">
        <f aca="true">IF($J165="",0,IF($J165&lt;=TODAY(),1,0))</f>
        <v>0</v>
      </c>
      <c r="W165" s="92" t="n">
        <f aca="false">IF($O165="",0,$O165)</f>
        <v>0</v>
      </c>
      <c r="X165" s="91" t="str">
        <f aca="false">IF($R165=1,SUM($R$2:$R165),"")</f>
        <v/>
      </c>
      <c r="Y165" s="91" t="n">
        <f aca="false">IF($F165="",0,IF(COUNTIF($F$2:$F165,$F165)+COUNTIF($H$2:$H165,$F165)&gt;1,1,0))+IF($H165="",0,IF(COUNTIF($F$2:$F165,$H165)+COUNTIF($H$2:$H165,$H165)&gt;1,1,0))</f>
        <v>0</v>
      </c>
      <c r="Z165" s="91" t="n">
        <f aca="false">IF($Q165=0,0,IF(COUNTIFS($A$2:$A165,$A165,$Q$2:$Q165,"&gt;0")=1,1,0))</f>
        <v>0</v>
      </c>
      <c r="AA165" s="93" t="str">
        <f aca="false">IF($Q165&gt;0,$A165,"")</f>
        <v/>
      </c>
      <c r="AB165" s="91" t="n">
        <f aca="false">IF($K165="",0,1)</f>
        <v>0</v>
      </c>
      <c r="AC165" s="91" t="n">
        <f aca="false">IF($L165="",0,1)</f>
        <v>0</v>
      </c>
      <c r="AD165" s="91" t="n">
        <f aca="false">IF($M165="",0,1)</f>
        <v>0</v>
      </c>
      <c r="AE165" s="91" t="str">
        <f aca="false">IF($Q165&gt;0,$D165,"")</f>
        <v/>
      </c>
      <c r="AF165" s="1"/>
      <c r="AG165" s="1"/>
      <c r="AH165" s="1"/>
      <c r="AI165" s="1"/>
      <c r="AJ165" s="1"/>
      <c r="AK165" s="1"/>
      <c r="AL165" s="1"/>
      <c r="AM165" s="1"/>
      <c r="AN165" s="1"/>
    </row>
    <row r="166" customFormat="false" ht="18" hidden="false" customHeight="true" outlineLevel="0" collapsed="false">
      <c r="A166" s="86" t="n">
        <f aca="false">IF(ISNUMBER('Timeline Estacas'!A166),'Timeline Estacas'!A166,"")</f>
        <v>46310</v>
      </c>
      <c r="B166" s="87" t="n">
        <f aca="false">IF($A166="","",$A166)</f>
        <v>46310</v>
      </c>
      <c r="C166" s="88" t="n">
        <f aca="false">IF(ISNUMBER('Timeline Estacas'!C166),'Timeline Estacas'!C166,"")</f>
        <v>349</v>
      </c>
      <c r="D166" s="88" t="n">
        <f aca="false">IF(ISNUMBER('Timeline Estacas'!D166),'Timeline Estacas'!D166,"")</f>
        <v>50</v>
      </c>
      <c r="E166" s="88" t="str">
        <f aca="false">IF($D166="","","S-"&amp;TEXT($D166,"00"))</f>
        <v>S-50</v>
      </c>
      <c r="F166" s="88" t="str">
        <f aca="false">IF(ISNUMBER('Timeline Estacas'!F166),'Timeline Estacas'!F166,"")</f>
        <v/>
      </c>
      <c r="G166" s="88" t="str">
        <f aca="false">IF($F166="","",IF('Timeline Estacas'!G166&lt;&gt;"",'Timeline Estacas'!G166,'Timeline Estacas'!I166))</f>
        <v/>
      </c>
      <c r="H166" s="88" t="str">
        <f aca="false">IF(ISNUMBER('Timeline Estacas'!H166),'Timeline Estacas'!H166,"")</f>
        <v/>
      </c>
      <c r="I166" s="88" t="str">
        <f aca="false">IF($H166="","",'Timeline Estacas'!I166)</f>
        <v/>
      </c>
      <c r="J166" s="86" t="str">
        <f aca="false">IF(ISNUMBER('Timeline Estacas'!J166),'Timeline Estacas'!J166,"")</f>
        <v/>
      </c>
      <c r="K166" s="88" t="str">
        <f aca="false">IF('Timeline Estacas'!K166="","",'Timeline Estacas'!K166)</f>
        <v/>
      </c>
      <c r="L166" s="88" t="str">
        <f aca="false">IF('Timeline Estacas'!L166="","",'Timeline Estacas'!L166)</f>
        <v/>
      </c>
      <c r="M166" s="88" t="str">
        <f aca="false">IF('Timeline Estacas'!M166="","",'Timeline Estacas'!M166)</f>
        <v/>
      </c>
      <c r="N166" s="89" t="str">
        <f aca="false">IF('Timeline Estacas'!N166="","",'Timeline Estacas'!N166)</f>
        <v/>
      </c>
      <c r="O166" s="90" t="str">
        <f aca="false">IF(ISNUMBER('Timeline Estacas'!O166),'Timeline Estacas'!O166,"")</f>
        <v/>
      </c>
      <c r="P166" s="91" t="n">
        <f aca="false">IF($Q166&gt;0,1,0)</f>
        <v>0</v>
      </c>
      <c r="Q166" s="91" t="n">
        <f aca="false">IF($F166="",0,1)+IF($H166="",0,1)</f>
        <v>0</v>
      </c>
      <c r="R166" s="91" t="n">
        <f aca="false">IF($N166="",0,1)</f>
        <v>0</v>
      </c>
      <c r="S166" s="91" t="n">
        <f aca="false">IF($F166="",0,1)</f>
        <v>0</v>
      </c>
      <c r="T166" s="91" t="n">
        <f aca="false">IF($H166="",0,1)</f>
        <v>0</v>
      </c>
      <c r="U166" s="91" t="n">
        <f aca="false">IF($J166="",0,1)</f>
        <v>0</v>
      </c>
      <c r="V166" s="91" t="n">
        <f aca="true">IF($J166="",0,IF($J166&lt;=TODAY(),1,0))</f>
        <v>0</v>
      </c>
      <c r="W166" s="92" t="n">
        <f aca="false">IF($O166="",0,$O166)</f>
        <v>0</v>
      </c>
      <c r="X166" s="91" t="str">
        <f aca="false">IF($R166=1,SUM($R$2:$R166),"")</f>
        <v/>
      </c>
      <c r="Y166" s="91" t="n">
        <f aca="false">IF($F166="",0,IF(COUNTIF($F$2:$F166,$F166)+COUNTIF($H$2:$H166,$F166)&gt;1,1,0))+IF($H166="",0,IF(COUNTIF($F$2:$F166,$H166)+COUNTIF($H$2:$H166,$H166)&gt;1,1,0))</f>
        <v>0</v>
      </c>
      <c r="Z166" s="91" t="n">
        <f aca="false">IF($Q166=0,0,IF(COUNTIFS($A$2:$A166,$A166,$Q$2:$Q166,"&gt;0")=1,1,0))</f>
        <v>0</v>
      </c>
      <c r="AA166" s="93" t="str">
        <f aca="false">IF($Q166&gt;0,$A166,"")</f>
        <v/>
      </c>
      <c r="AB166" s="91" t="n">
        <f aca="false">IF($K166="",0,1)</f>
        <v>0</v>
      </c>
      <c r="AC166" s="91" t="n">
        <f aca="false">IF($L166="",0,1)</f>
        <v>0</v>
      </c>
      <c r="AD166" s="91" t="n">
        <f aca="false">IF($M166="",0,1)</f>
        <v>0</v>
      </c>
      <c r="AE166" s="91" t="str">
        <f aca="false">IF($Q166&gt;0,$D166,"")</f>
        <v/>
      </c>
      <c r="AF166" s="1"/>
      <c r="AG166" s="1"/>
      <c r="AH166" s="1"/>
      <c r="AI166" s="1"/>
      <c r="AJ166" s="1"/>
      <c r="AK166" s="1"/>
      <c r="AL166" s="1"/>
      <c r="AM166" s="1"/>
      <c r="AN166" s="1"/>
    </row>
    <row r="167" customFormat="false" ht="18" hidden="false" customHeight="true" outlineLevel="0" collapsed="false">
      <c r="A167" s="86" t="n">
        <f aca="false">IF(ISNUMBER('Timeline Estacas'!A167),'Timeline Estacas'!A167,"")</f>
        <v>46311</v>
      </c>
      <c r="B167" s="87" t="n">
        <f aca="false">IF($A167="","",$A167)</f>
        <v>46311</v>
      </c>
      <c r="C167" s="88" t="n">
        <f aca="false">IF(ISNUMBER('Timeline Estacas'!C167),'Timeline Estacas'!C167,"")</f>
        <v>350</v>
      </c>
      <c r="D167" s="88" t="n">
        <f aca="false">IF(ISNUMBER('Timeline Estacas'!D167),'Timeline Estacas'!D167,"")</f>
        <v>51</v>
      </c>
      <c r="E167" s="88" t="str">
        <f aca="false">IF($D167="","","S-"&amp;TEXT($D167,"00"))</f>
        <v>S-51</v>
      </c>
      <c r="F167" s="88" t="str">
        <f aca="false">IF(ISNUMBER('Timeline Estacas'!F167),'Timeline Estacas'!F167,"")</f>
        <v/>
      </c>
      <c r="G167" s="88" t="str">
        <f aca="false">IF($F167="","",IF('Timeline Estacas'!G167&lt;&gt;"",'Timeline Estacas'!G167,'Timeline Estacas'!I167))</f>
        <v/>
      </c>
      <c r="H167" s="88" t="str">
        <f aca="false">IF(ISNUMBER('Timeline Estacas'!H167),'Timeline Estacas'!H167,"")</f>
        <v/>
      </c>
      <c r="I167" s="88" t="str">
        <f aca="false">IF($H167="","",'Timeline Estacas'!I167)</f>
        <v/>
      </c>
      <c r="J167" s="86" t="str">
        <f aca="false">IF(ISNUMBER('Timeline Estacas'!J167),'Timeline Estacas'!J167,"")</f>
        <v/>
      </c>
      <c r="K167" s="88" t="str">
        <f aca="false">IF('Timeline Estacas'!K167="","",'Timeline Estacas'!K167)</f>
        <v/>
      </c>
      <c r="L167" s="88" t="str">
        <f aca="false">IF('Timeline Estacas'!L167="","",'Timeline Estacas'!L167)</f>
        <v/>
      </c>
      <c r="M167" s="88" t="str">
        <f aca="false">IF('Timeline Estacas'!M167="","",'Timeline Estacas'!M167)</f>
        <v/>
      </c>
      <c r="N167" s="89" t="str">
        <f aca="false">IF('Timeline Estacas'!N167="","",'Timeline Estacas'!N167)</f>
        <v/>
      </c>
      <c r="O167" s="90" t="str">
        <f aca="false">IF(ISNUMBER('Timeline Estacas'!O167),'Timeline Estacas'!O167,"")</f>
        <v/>
      </c>
      <c r="P167" s="91" t="n">
        <f aca="false">IF($Q167&gt;0,1,0)</f>
        <v>0</v>
      </c>
      <c r="Q167" s="91" t="n">
        <f aca="false">IF($F167="",0,1)+IF($H167="",0,1)</f>
        <v>0</v>
      </c>
      <c r="R167" s="91" t="n">
        <f aca="false">IF($N167="",0,1)</f>
        <v>0</v>
      </c>
      <c r="S167" s="91" t="n">
        <f aca="false">IF($F167="",0,1)</f>
        <v>0</v>
      </c>
      <c r="T167" s="91" t="n">
        <f aca="false">IF($H167="",0,1)</f>
        <v>0</v>
      </c>
      <c r="U167" s="91" t="n">
        <f aca="false">IF($J167="",0,1)</f>
        <v>0</v>
      </c>
      <c r="V167" s="91" t="n">
        <f aca="true">IF($J167="",0,IF($J167&lt;=TODAY(),1,0))</f>
        <v>0</v>
      </c>
      <c r="W167" s="92" t="n">
        <f aca="false">IF($O167="",0,$O167)</f>
        <v>0</v>
      </c>
      <c r="X167" s="91" t="str">
        <f aca="false">IF($R167=1,SUM($R$2:$R167),"")</f>
        <v/>
      </c>
      <c r="Y167" s="91" t="n">
        <f aca="false">IF($F167="",0,IF(COUNTIF($F$2:$F167,$F167)+COUNTIF($H$2:$H167,$F167)&gt;1,1,0))+IF($H167="",0,IF(COUNTIF($F$2:$F167,$H167)+COUNTIF($H$2:$H167,$H167)&gt;1,1,0))</f>
        <v>0</v>
      </c>
      <c r="Z167" s="91" t="n">
        <f aca="false">IF($Q167=0,0,IF(COUNTIFS($A$2:$A167,$A167,$Q$2:$Q167,"&gt;0")=1,1,0))</f>
        <v>0</v>
      </c>
      <c r="AA167" s="93" t="str">
        <f aca="false">IF($Q167&gt;0,$A167,"")</f>
        <v/>
      </c>
      <c r="AB167" s="91" t="n">
        <f aca="false">IF($K167="",0,1)</f>
        <v>0</v>
      </c>
      <c r="AC167" s="91" t="n">
        <f aca="false">IF($L167="",0,1)</f>
        <v>0</v>
      </c>
      <c r="AD167" s="91" t="n">
        <f aca="false">IF($M167="",0,1)</f>
        <v>0</v>
      </c>
      <c r="AE167" s="91" t="str">
        <f aca="false">IF($Q167&gt;0,$D167,"")</f>
        <v/>
      </c>
      <c r="AF167" s="1"/>
      <c r="AG167" s="1"/>
      <c r="AH167" s="1"/>
      <c r="AI167" s="1"/>
      <c r="AJ167" s="1"/>
      <c r="AK167" s="1"/>
      <c r="AL167" s="1"/>
      <c r="AM167" s="1"/>
      <c r="AN167" s="1"/>
    </row>
    <row r="168" customFormat="false" ht="18" hidden="false" customHeight="true" outlineLevel="0" collapsed="false">
      <c r="A168" s="86" t="n">
        <f aca="false">IF(ISNUMBER('Timeline Estacas'!A168),'Timeline Estacas'!A168,"")</f>
        <v>46312</v>
      </c>
      <c r="B168" s="87" t="n">
        <f aca="false">IF($A168="","",$A168)</f>
        <v>46312</v>
      </c>
      <c r="C168" s="88" t="n">
        <f aca="false">IF(ISNUMBER('Timeline Estacas'!C168),'Timeline Estacas'!C168,"")</f>
        <v>351</v>
      </c>
      <c r="D168" s="88" t="n">
        <f aca="false">IF(ISNUMBER('Timeline Estacas'!D168),'Timeline Estacas'!D168,"")</f>
        <v>51</v>
      </c>
      <c r="E168" s="88" t="str">
        <f aca="false">IF($D168="","","S-"&amp;TEXT($D168,"00"))</f>
        <v>S-51</v>
      </c>
      <c r="F168" s="88" t="str">
        <f aca="false">IF(ISNUMBER('Timeline Estacas'!F168),'Timeline Estacas'!F168,"")</f>
        <v/>
      </c>
      <c r="G168" s="88" t="str">
        <f aca="false">IF($F168="","",IF('Timeline Estacas'!G168&lt;&gt;"",'Timeline Estacas'!G168,'Timeline Estacas'!I168))</f>
        <v/>
      </c>
      <c r="H168" s="88" t="str">
        <f aca="false">IF(ISNUMBER('Timeline Estacas'!H168),'Timeline Estacas'!H168,"")</f>
        <v/>
      </c>
      <c r="I168" s="88" t="str">
        <f aca="false">IF($H168="","",'Timeline Estacas'!I168)</f>
        <v/>
      </c>
      <c r="J168" s="86" t="str">
        <f aca="false">IF(ISNUMBER('Timeline Estacas'!J168),'Timeline Estacas'!J168,"")</f>
        <v/>
      </c>
      <c r="K168" s="88" t="str">
        <f aca="false">IF('Timeline Estacas'!K168="","",'Timeline Estacas'!K168)</f>
        <v/>
      </c>
      <c r="L168" s="88" t="str">
        <f aca="false">IF('Timeline Estacas'!L168="","",'Timeline Estacas'!L168)</f>
        <v/>
      </c>
      <c r="M168" s="88" t="str">
        <f aca="false">IF('Timeline Estacas'!M168="","",'Timeline Estacas'!M168)</f>
        <v/>
      </c>
      <c r="N168" s="89" t="str">
        <f aca="false">IF('Timeline Estacas'!N168="","",'Timeline Estacas'!N168)</f>
        <v/>
      </c>
      <c r="O168" s="90" t="str">
        <f aca="false">IF(ISNUMBER('Timeline Estacas'!O168),'Timeline Estacas'!O168,"")</f>
        <v/>
      </c>
      <c r="P168" s="91" t="n">
        <f aca="false">IF($Q168&gt;0,1,0)</f>
        <v>0</v>
      </c>
      <c r="Q168" s="91" t="n">
        <f aca="false">IF($F168="",0,1)+IF($H168="",0,1)</f>
        <v>0</v>
      </c>
      <c r="R168" s="91" t="n">
        <f aca="false">IF($N168="",0,1)</f>
        <v>0</v>
      </c>
      <c r="S168" s="91" t="n">
        <f aca="false">IF($F168="",0,1)</f>
        <v>0</v>
      </c>
      <c r="T168" s="91" t="n">
        <f aca="false">IF($H168="",0,1)</f>
        <v>0</v>
      </c>
      <c r="U168" s="91" t="n">
        <f aca="false">IF($J168="",0,1)</f>
        <v>0</v>
      </c>
      <c r="V168" s="91" t="n">
        <f aca="true">IF($J168="",0,IF($J168&lt;=TODAY(),1,0))</f>
        <v>0</v>
      </c>
      <c r="W168" s="92" t="n">
        <f aca="false">IF($O168="",0,$O168)</f>
        <v>0</v>
      </c>
      <c r="X168" s="91" t="str">
        <f aca="false">IF($R168=1,SUM($R$2:$R168),"")</f>
        <v/>
      </c>
      <c r="Y168" s="91" t="n">
        <f aca="false">IF($F168="",0,IF(COUNTIF($F$2:$F168,$F168)+COUNTIF($H$2:$H168,$F168)&gt;1,1,0))+IF($H168="",0,IF(COUNTIF($F$2:$F168,$H168)+COUNTIF($H$2:$H168,$H168)&gt;1,1,0))</f>
        <v>0</v>
      </c>
      <c r="Z168" s="91" t="n">
        <f aca="false">IF($Q168=0,0,IF(COUNTIFS($A$2:$A168,$A168,$Q$2:$Q168,"&gt;0")=1,1,0))</f>
        <v>0</v>
      </c>
      <c r="AA168" s="93" t="str">
        <f aca="false">IF($Q168&gt;0,$A168,"")</f>
        <v/>
      </c>
      <c r="AB168" s="91" t="n">
        <f aca="false">IF($K168="",0,1)</f>
        <v>0</v>
      </c>
      <c r="AC168" s="91" t="n">
        <f aca="false">IF($L168="",0,1)</f>
        <v>0</v>
      </c>
      <c r="AD168" s="91" t="n">
        <f aca="false">IF($M168="",0,1)</f>
        <v>0</v>
      </c>
      <c r="AE168" s="91" t="str">
        <f aca="false">IF($Q168&gt;0,$D168,"")</f>
        <v/>
      </c>
      <c r="AF168" s="1"/>
      <c r="AG168" s="1"/>
      <c r="AH168" s="1"/>
      <c r="AI168" s="1"/>
      <c r="AJ168" s="1"/>
      <c r="AK168" s="1"/>
      <c r="AL168" s="1"/>
      <c r="AM168" s="1"/>
      <c r="AN168" s="1"/>
    </row>
    <row r="169" customFormat="false" ht="18" hidden="false" customHeight="true" outlineLevel="0" collapsed="false">
      <c r="A169" s="86" t="n">
        <f aca="false">IF(ISNUMBER('Timeline Estacas'!A169),'Timeline Estacas'!A169,"")</f>
        <v>46313</v>
      </c>
      <c r="B169" s="87" t="n">
        <f aca="false">IF($A169="","",$A169)</f>
        <v>46313</v>
      </c>
      <c r="C169" s="88" t="n">
        <f aca="false">IF(ISNUMBER('Timeline Estacas'!C169),'Timeline Estacas'!C169,"")</f>
        <v>352</v>
      </c>
      <c r="D169" s="88" t="n">
        <f aca="false">IF(ISNUMBER('Timeline Estacas'!D169),'Timeline Estacas'!D169,"")</f>
        <v>51</v>
      </c>
      <c r="E169" s="88" t="str">
        <f aca="false">IF($D169="","","S-"&amp;TEXT($D169,"00"))</f>
        <v>S-51</v>
      </c>
      <c r="F169" s="88" t="str">
        <f aca="false">IF(ISNUMBER('Timeline Estacas'!F169),'Timeline Estacas'!F169,"")</f>
        <v/>
      </c>
      <c r="G169" s="88" t="str">
        <f aca="false">IF($F169="","",IF('Timeline Estacas'!G169&lt;&gt;"",'Timeline Estacas'!G169,'Timeline Estacas'!I169))</f>
        <v/>
      </c>
      <c r="H169" s="88" t="str">
        <f aca="false">IF(ISNUMBER('Timeline Estacas'!H169),'Timeline Estacas'!H169,"")</f>
        <v/>
      </c>
      <c r="I169" s="88" t="str">
        <f aca="false">IF($H169="","",'Timeline Estacas'!I169)</f>
        <v/>
      </c>
      <c r="J169" s="86" t="str">
        <f aca="false">IF(ISNUMBER('Timeline Estacas'!J169),'Timeline Estacas'!J169,"")</f>
        <v/>
      </c>
      <c r="K169" s="88" t="str">
        <f aca="false">IF('Timeline Estacas'!K169="","",'Timeline Estacas'!K169)</f>
        <v/>
      </c>
      <c r="L169" s="88" t="str">
        <f aca="false">IF('Timeline Estacas'!L169="","",'Timeline Estacas'!L169)</f>
        <v/>
      </c>
      <c r="M169" s="88" t="str">
        <f aca="false">IF('Timeline Estacas'!M169="","",'Timeline Estacas'!M169)</f>
        <v/>
      </c>
      <c r="N169" s="89" t="str">
        <f aca="false">IF('Timeline Estacas'!N169="","",'Timeline Estacas'!N169)</f>
        <v/>
      </c>
      <c r="O169" s="90" t="str">
        <f aca="false">IF(ISNUMBER('Timeline Estacas'!O169),'Timeline Estacas'!O169,"")</f>
        <v/>
      </c>
      <c r="P169" s="91" t="n">
        <f aca="false">IF($Q169&gt;0,1,0)</f>
        <v>0</v>
      </c>
      <c r="Q169" s="91" t="n">
        <f aca="false">IF($F169="",0,1)+IF($H169="",0,1)</f>
        <v>0</v>
      </c>
      <c r="R169" s="91" t="n">
        <f aca="false">IF($N169="",0,1)</f>
        <v>0</v>
      </c>
      <c r="S169" s="91" t="n">
        <f aca="false">IF($F169="",0,1)</f>
        <v>0</v>
      </c>
      <c r="T169" s="91" t="n">
        <f aca="false">IF($H169="",0,1)</f>
        <v>0</v>
      </c>
      <c r="U169" s="91" t="n">
        <f aca="false">IF($J169="",0,1)</f>
        <v>0</v>
      </c>
      <c r="V169" s="91" t="n">
        <f aca="true">IF($J169="",0,IF($J169&lt;=TODAY(),1,0))</f>
        <v>0</v>
      </c>
      <c r="W169" s="92" t="n">
        <f aca="false">IF($O169="",0,$O169)</f>
        <v>0</v>
      </c>
      <c r="X169" s="91" t="str">
        <f aca="false">IF($R169=1,SUM($R$2:$R169),"")</f>
        <v/>
      </c>
      <c r="Y169" s="91" t="n">
        <f aca="false">IF($F169="",0,IF(COUNTIF($F$2:$F169,$F169)+COUNTIF($H$2:$H169,$F169)&gt;1,1,0))+IF($H169="",0,IF(COUNTIF($F$2:$F169,$H169)+COUNTIF($H$2:$H169,$H169)&gt;1,1,0))</f>
        <v>0</v>
      </c>
      <c r="Z169" s="91" t="n">
        <f aca="false">IF($Q169=0,0,IF(COUNTIFS($A$2:$A169,$A169,$Q$2:$Q169,"&gt;0")=1,1,0))</f>
        <v>0</v>
      </c>
      <c r="AA169" s="93" t="str">
        <f aca="false">IF($Q169&gt;0,$A169,"")</f>
        <v/>
      </c>
      <c r="AB169" s="91" t="n">
        <f aca="false">IF($K169="",0,1)</f>
        <v>0</v>
      </c>
      <c r="AC169" s="91" t="n">
        <f aca="false">IF($L169="",0,1)</f>
        <v>0</v>
      </c>
      <c r="AD169" s="91" t="n">
        <f aca="false">IF($M169="",0,1)</f>
        <v>0</v>
      </c>
      <c r="AE169" s="91" t="str">
        <f aca="false">IF($Q169&gt;0,$D169,"")</f>
        <v/>
      </c>
      <c r="AF169" s="1"/>
      <c r="AG169" s="1"/>
      <c r="AH169" s="1"/>
      <c r="AI169" s="1"/>
      <c r="AJ169" s="1"/>
      <c r="AK169" s="1"/>
      <c r="AL169" s="1"/>
      <c r="AM169" s="1"/>
      <c r="AN169" s="1"/>
    </row>
    <row r="170" customFormat="false" ht="18" hidden="false" customHeight="true" outlineLevel="0" collapsed="false">
      <c r="A170" s="86" t="n">
        <f aca="false">IF(ISNUMBER('Timeline Estacas'!A170),'Timeline Estacas'!A170,"")</f>
        <v>46314</v>
      </c>
      <c r="B170" s="87" t="n">
        <f aca="false">IF($A170="","",$A170)</f>
        <v>46314</v>
      </c>
      <c r="C170" s="88" t="n">
        <f aca="false">IF(ISNUMBER('Timeline Estacas'!C170),'Timeline Estacas'!C170,"")</f>
        <v>353</v>
      </c>
      <c r="D170" s="88" t="n">
        <f aca="false">IF(ISNUMBER('Timeline Estacas'!D170),'Timeline Estacas'!D170,"")</f>
        <v>51</v>
      </c>
      <c r="E170" s="88" t="str">
        <f aca="false">IF($D170="","","S-"&amp;TEXT($D170,"00"))</f>
        <v>S-51</v>
      </c>
      <c r="F170" s="88" t="str">
        <f aca="false">IF(ISNUMBER('Timeline Estacas'!F170),'Timeline Estacas'!F170,"")</f>
        <v/>
      </c>
      <c r="G170" s="88" t="str">
        <f aca="false">IF($F170="","",IF('Timeline Estacas'!G170&lt;&gt;"",'Timeline Estacas'!G170,'Timeline Estacas'!I170))</f>
        <v/>
      </c>
      <c r="H170" s="88" t="str">
        <f aca="false">IF(ISNUMBER('Timeline Estacas'!H170),'Timeline Estacas'!H170,"")</f>
        <v/>
      </c>
      <c r="I170" s="88" t="str">
        <f aca="false">IF($H170="","",'Timeline Estacas'!I170)</f>
        <v/>
      </c>
      <c r="J170" s="86" t="str">
        <f aca="false">IF(ISNUMBER('Timeline Estacas'!J170),'Timeline Estacas'!J170,"")</f>
        <v/>
      </c>
      <c r="K170" s="88" t="str">
        <f aca="false">IF('Timeline Estacas'!K170="","",'Timeline Estacas'!K170)</f>
        <v/>
      </c>
      <c r="L170" s="88" t="str">
        <f aca="false">IF('Timeline Estacas'!L170="","",'Timeline Estacas'!L170)</f>
        <v/>
      </c>
      <c r="M170" s="88" t="str">
        <f aca="false">IF('Timeline Estacas'!M170="","",'Timeline Estacas'!M170)</f>
        <v/>
      </c>
      <c r="N170" s="89" t="str">
        <f aca="false">IF('Timeline Estacas'!N170="","",'Timeline Estacas'!N170)</f>
        <v/>
      </c>
      <c r="O170" s="90" t="str">
        <f aca="false">IF(ISNUMBER('Timeline Estacas'!O170),'Timeline Estacas'!O170,"")</f>
        <v/>
      </c>
      <c r="P170" s="91" t="n">
        <f aca="false">IF($Q170&gt;0,1,0)</f>
        <v>0</v>
      </c>
      <c r="Q170" s="91" t="n">
        <f aca="false">IF($F170="",0,1)+IF($H170="",0,1)</f>
        <v>0</v>
      </c>
      <c r="R170" s="91" t="n">
        <f aca="false">IF($N170="",0,1)</f>
        <v>0</v>
      </c>
      <c r="S170" s="91" t="n">
        <f aca="false">IF($F170="",0,1)</f>
        <v>0</v>
      </c>
      <c r="T170" s="91" t="n">
        <f aca="false">IF($H170="",0,1)</f>
        <v>0</v>
      </c>
      <c r="U170" s="91" t="n">
        <f aca="false">IF($J170="",0,1)</f>
        <v>0</v>
      </c>
      <c r="V170" s="91" t="n">
        <f aca="true">IF($J170="",0,IF($J170&lt;=TODAY(),1,0))</f>
        <v>0</v>
      </c>
      <c r="W170" s="92" t="n">
        <f aca="false">IF($O170="",0,$O170)</f>
        <v>0</v>
      </c>
      <c r="X170" s="91" t="str">
        <f aca="false">IF($R170=1,SUM($R$2:$R170),"")</f>
        <v/>
      </c>
      <c r="Y170" s="91" t="n">
        <f aca="false">IF($F170="",0,IF(COUNTIF($F$2:$F170,$F170)+COUNTIF($H$2:$H170,$F170)&gt;1,1,0))+IF($H170="",0,IF(COUNTIF($F$2:$F170,$H170)+COUNTIF($H$2:$H170,$H170)&gt;1,1,0))</f>
        <v>0</v>
      </c>
      <c r="Z170" s="91" t="n">
        <f aca="false">IF($Q170=0,0,IF(COUNTIFS($A$2:$A170,$A170,$Q$2:$Q170,"&gt;0")=1,1,0))</f>
        <v>0</v>
      </c>
      <c r="AA170" s="93" t="str">
        <f aca="false">IF($Q170&gt;0,$A170,"")</f>
        <v/>
      </c>
      <c r="AB170" s="91" t="n">
        <f aca="false">IF($K170="",0,1)</f>
        <v>0</v>
      </c>
      <c r="AC170" s="91" t="n">
        <f aca="false">IF($L170="",0,1)</f>
        <v>0</v>
      </c>
      <c r="AD170" s="91" t="n">
        <f aca="false">IF($M170="",0,1)</f>
        <v>0</v>
      </c>
      <c r="AE170" s="91" t="str">
        <f aca="false">IF($Q170&gt;0,$D170,"")</f>
        <v/>
      </c>
      <c r="AF170" s="1"/>
      <c r="AG170" s="1"/>
      <c r="AH170" s="1"/>
      <c r="AI170" s="1"/>
      <c r="AJ170" s="1"/>
      <c r="AK170" s="1"/>
      <c r="AL170" s="1"/>
      <c r="AM170" s="1"/>
      <c r="AN170" s="1"/>
    </row>
    <row r="171" customFormat="false" ht="18" hidden="false" customHeight="true" outlineLevel="0" collapsed="false">
      <c r="A171" s="86" t="n">
        <f aca="false">IF(ISNUMBER('Timeline Estacas'!A171),'Timeline Estacas'!A171,"")</f>
        <v>46315</v>
      </c>
      <c r="B171" s="87" t="n">
        <f aca="false">IF($A171="","",$A171)</f>
        <v>46315</v>
      </c>
      <c r="C171" s="88" t="n">
        <f aca="false">IF(ISNUMBER('Timeline Estacas'!C171),'Timeline Estacas'!C171,"")</f>
        <v>354</v>
      </c>
      <c r="D171" s="88" t="n">
        <f aca="false">IF(ISNUMBER('Timeline Estacas'!D171),'Timeline Estacas'!D171,"")</f>
        <v>51</v>
      </c>
      <c r="E171" s="88" t="str">
        <f aca="false">IF($D171="","","S-"&amp;TEXT($D171,"00"))</f>
        <v>S-51</v>
      </c>
      <c r="F171" s="88" t="str">
        <f aca="false">IF(ISNUMBER('Timeline Estacas'!F171),'Timeline Estacas'!F171,"")</f>
        <v/>
      </c>
      <c r="G171" s="88" t="str">
        <f aca="false">IF($F171="","",IF('Timeline Estacas'!G171&lt;&gt;"",'Timeline Estacas'!G171,'Timeline Estacas'!I171))</f>
        <v/>
      </c>
      <c r="H171" s="88" t="str">
        <f aca="false">IF(ISNUMBER('Timeline Estacas'!H171),'Timeline Estacas'!H171,"")</f>
        <v/>
      </c>
      <c r="I171" s="88" t="str">
        <f aca="false">IF($H171="","",'Timeline Estacas'!I171)</f>
        <v/>
      </c>
      <c r="J171" s="86" t="str">
        <f aca="false">IF(ISNUMBER('Timeline Estacas'!J171),'Timeline Estacas'!J171,"")</f>
        <v/>
      </c>
      <c r="K171" s="88" t="str">
        <f aca="false">IF('Timeline Estacas'!K171="","",'Timeline Estacas'!K171)</f>
        <v/>
      </c>
      <c r="L171" s="88" t="str">
        <f aca="false">IF('Timeline Estacas'!L171="","",'Timeline Estacas'!L171)</f>
        <v/>
      </c>
      <c r="M171" s="88" t="str">
        <f aca="false">IF('Timeline Estacas'!M171="","",'Timeline Estacas'!M171)</f>
        <v/>
      </c>
      <c r="N171" s="89" t="str">
        <f aca="false">IF('Timeline Estacas'!N171="","",'Timeline Estacas'!N171)</f>
        <v/>
      </c>
      <c r="O171" s="90" t="str">
        <f aca="false">IF(ISNUMBER('Timeline Estacas'!O171),'Timeline Estacas'!O171,"")</f>
        <v/>
      </c>
      <c r="P171" s="91" t="n">
        <f aca="false">IF($Q171&gt;0,1,0)</f>
        <v>0</v>
      </c>
      <c r="Q171" s="91" t="n">
        <f aca="false">IF($F171="",0,1)+IF($H171="",0,1)</f>
        <v>0</v>
      </c>
      <c r="R171" s="91" t="n">
        <f aca="false">IF($N171="",0,1)</f>
        <v>0</v>
      </c>
      <c r="S171" s="91" t="n">
        <f aca="false">IF($F171="",0,1)</f>
        <v>0</v>
      </c>
      <c r="T171" s="91" t="n">
        <f aca="false">IF($H171="",0,1)</f>
        <v>0</v>
      </c>
      <c r="U171" s="91" t="n">
        <f aca="false">IF($J171="",0,1)</f>
        <v>0</v>
      </c>
      <c r="V171" s="91" t="n">
        <f aca="true">IF($J171="",0,IF($J171&lt;=TODAY(),1,0))</f>
        <v>0</v>
      </c>
      <c r="W171" s="92" t="n">
        <f aca="false">IF($O171="",0,$O171)</f>
        <v>0</v>
      </c>
      <c r="X171" s="91" t="str">
        <f aca="false">IF($R171=1,SUM($R$2:$R171),"")</f>
        <v/>
      </c>
      <c r="Y171" s="91" t="n">
        <f aca="false">IF($F171="",0,IF(COUNTIF($F$2:$F171,$F171)+COUNTIF($H$2:$H171,$F171)&gt;1,1,0))+IF($H171="",0,IF(COUNTIF($F$2:$F171,$H171)+COUNTIF($H$2:$H171,$H171)&gt;1,1,0))</f>
        <v>0</v>
      </c>
      <c r="Z171" s="91" t="n">
        <f aca="false">IF($Q171=0,0,IF(COUNTIFS($A$2:$A171,$A171,$Q$2:$Q171,"&gt;0")=1,1,0))</f>
        <v>0</v>
      </c>
      <c r="AA171" s="93" t="str">
        <f aca="false">IF($Q171&gt;0,$A171,"")</f>
        <v/>
      </c>
      <c r="AB171" s="91" t="n">
        <f aca="false">IF($K171="",0,1)</f>
        <v>0</v>
      </c>
      <c r="AC171" s="91" t="n">
        <f aca="false">IF($L171="",0,1)</f>
        <v>0</v>
      </c>
      <c r="AD171" s="91" t="n">
        <f aca="false">IF($M171="",0,1)</f>
        <v>0</v>
      </c>
      <c r="AE171" s="91" t="str">
        <f aca="false">IF($Q171&gt;0,$D171,"")</f>
        <v/>
      </c>
      <c r="AF171" s="1"/>
      <c r="AG171" s="1"/>
      <c r="AH171" s="1"/>
      <c r="AI171" s="1"/>
      <c r="AJ171" s="1"/>
      <c r="AK171" s="1"/>
      <c r="AL171" s="1"/>
      <c r="AM171" s="1"/>
      <c r="AN171" s="1"/>
    </row>
    <row r="172" customFormat="false" ht="18" hidden="false" customHeight="true" outlineLevel="0" collapsed="false">
      <c r="A172" s="86" t="n">
        <f aca="false">IF(ISNUMBER('Timeline Estacas'!A172),'Timeline Estacas'!A172,"")</f>
        <v>46316</v>
      </c>
      <c r="B172" s="87" t="n">
        <f aca="false">IF($A172="","",$A172)</f>
        <v>46316</v>
      </c>
      <c r="C172" s="88" t="n">
        <f aca="false">IF(ISNUMBER('Timeline Estacas'!C172),'Timeline Estacas'!C172,"")</f>
        <v>355</v>
      </c>
      <c r="D172" s="88" t="n">
        <f aca="false">IF(ISNUMBER('Timeline Estacas'!D172),'Timeline Estacas'!D172,"")</f>
        <v>51</v>
      </c>
      <c r="E172" s="88" t="str">
        <f aca="false">IF($D172="","","S-"&amp;TEXT($D172,"00"))</f>
        <v>S-51</v>
      </c>
      <c r="F172" s="88" t="str">
        <f aca="false">IF(ISNUMBER('Timeline Estacas'!F172),'Timeline Estacas'!F172,"")</f>
        <v/>
      </c>
      <c r="G172" s="88" t="str">
        <f aca="false">IF($F172="","",IF('Timeline Estacas'!G172&lt;&gt;"",'Timeline Estacas'!G172,'Timeline Estacas'!I172))</f>
        <v/>
      </c>
      <c r="H172" s="88" t="str">
        <f aca="false">IF(ISNUMBER('Timeline Estacas'!H172),'Timeline Estacas'!H172,"")</f>
        <v/>
      </c>
      <c r="I172" s="88" t="str">
        <f aca="false">IF($H172="","",'Timeline Estacas'!I172)</f>
        <v/>
      </c>
      <c r="J172" s="86" t="str">
        <f aca="false">IF(ISNUMBER('Timeline Estacas'!J172),'Timeline Estacas'!J172,"")</f>
        <v/>
      </c>
      <c r="K172" s="88" t="str">
        <f aca="false">IF('Timeline Estacas'!K172="","",'Timeline Estacas'!K172)</f>
        <v/>
      </c>
      <c r="L172" s="88" t="str">
        <f aca="false">IF('Timeline Estacas'!L172="","",'Timeline Estacas'!L172)</f>
        <v/>
      </c>
      <c r="M172" s="88" t="str">
        <f aca="false">IF('Timeline Estacas'!M172="","",'Timeline Estacas'!M172)</f>
        <v/>
      </c>
      <c r="N172" s="89" t="str">
        <f aca="false">IF('Timeline Estacas'!N172="","",'Timeline Estacas'!N172)</f>
        <v/>
      </c>
      <c r="O172" s="90" t="str">
        <f aca="false">IF(ISNUMBER('Timeline Estacas'!O172),'Timeline Estacas'!O172,"")</f>
        <v/>
      </c>
      <c r="P172" s="91" t="n">
        <f aca="false">IF($Q172&gt;0,1,0)</f>
        <v>0</v>
      </c>
      <c r="Q172" s="91" t="n">
        <f aca="false">IF($F172="",0,1)+IF($H172="",0,1)</f>
        <v>0</v>
      </c>
      <c r="R172" s="91" t="n">
        <f aca="false">IF($N172="",0,1)</f>
        <v>0</v>
      </c>
      <c r="S172" s="91" t="n">
        <f aca="false">IF($F172="",0,1)</f>
        <v>0</v>
      </c>
      <c r="T172" s="91" t="n">
        <f aca="false">IF($H172="",0,1)</f>
        <v>0</v>
      </c>
      <c r="U172" s="91" t="n">
        <f aca="false">IF($J172="",0,1)</f>
        <v>0</v>
      </c>
      <c r="V172" s="91" t="n">
        <f aca="true">IF($J172="",0,IF($J172&lt;=TODAY(),1,0))</f>
        <v>0</v>
      </c>
      <c r="W172" s="92" t="n">
        <f aca="false">IF($O172="",0,$O172)</f>
        <v>0</v>
      </c>
      <c r="X172" s="91" t="str">
        <f aca="false">IF($R172=1,SUM($R$2:$R172),"")</f>
        <v/>
      </c>
      <c r="Y172" s="91" t="n">
        <f aca="false">IF($F172="",0,IF(COUNTIF($F$2:$F172,$F172)+COUNTIF($H$2:$H172,$F172)&gt;1,1,0))+IF($H172="",0,IF(COUNTIF($F$2:$F172,$H172)+COUNTIF($H$2:$H172,$H172)&gt;1,1,0))</f>
        <v>0</v>
      </c>
      <c r="Z172" s="91" t="n">
        <f aca="false">IF($Q172=0,0,IF(COUNTIFS($A$2:$A172,$A172,$Q$2:$Q172,"&gt;0")=1,1,0))</f>
        <v>0</v>
      </c>
      <c r="AA172" s="93" t="str">
        <f aca="false">IF($Q172&gt;0,$A172,"")</f>
        <v/>
      </c>
      <c r="AB172" s="91" t="n">
        <f aca="false">IF($K172="",0,1)</f>
        <v>0</v>
      </c>
      <c r="AC172" s="91" t="n">
        <f aca="false">IF($L172="",0,1)</f>
        <v>0</v>
      </c>
      <c r="AD172" s="91" t="n">
        <f aca="false">IF($M172="",0,1)</f>
        <v>0</v>
      </c>
      <c r="AE172" s="91" t="str">
        <f aca="false">IF($Q172&gt;0,$D172,"")</f>
        <v/>
      </c>
      <c r="AF172" s="1"/>
      <c r="AG172" s="1"/>
      <c r="AH172" s="1"/>
      <c r="AI172" s="1"/>
      <c r="AJ172" s="1"/>
      <c r="AK172" s="1"/>
      <c r="AL172" s="1"/>
      <c r="AM172" s="1"/>
      <c r="AN172" s="1"/>
    </row>
    <row r="173" customFormat="false" ht="18" hidden="false" customHeight="true" outlineLevel="0" collapsed="false">
      <c r="A173" s="86" t="n">
        <f aca="false">IF(ISNUMBER('Timeline Estacas'!A173),'Timeline Estacas'!A173,"")</f>
        <v>46317</v>
      </c>
      <c r="B173" s="87" t="n">
        <f aca="false">IF($A173="","",$A173)</f>
        <v>46317</v>
      </c>
      <c r="C173" s="88" t="n">
        <f aca="false">IF(ISNUMBER('Timeline Estacas'!C173),'Timeline Estacas'!C173,"")</f>
        <v>356</v>
      </c>
      <c r="D173" s="88" t="n">
        <f aca="false">IF(ISNUMBER('Timeline Estacas'!D173),'Timeline Estacas'!D173,"")</f>
        <v>51</v>
      </c>
      <c r="E173" s="88" t="str">
        <f aca="false">IF($D173="","","S-"&amp;TEXT($D173,"00"))</f>
        <v>S-51</v>
      </c>
      <c r="F173" s="88" t="str">
        <f aca="false">IF(ISNUMBER('Timeline Estacas'!F173),'Timeline Estacas'!F173,"")</f>
        <v/>
      </c>
      <c r="G173" s="88" t="str">
        <f aca="false">IF($F173="","",IF('Timeline Estacas'!G173&lt;&gt;"",'Timeline Estacas'!G173,'Timeline Estacas'!I173))</f>
        <v/>
      </c>
      <c r="H173" s="88" t="str">
        <f aca="false">IF(ISNUMBER('Timeline Estacas'!H173),'Timeline Estacas'!H173,"")</f>
        <v/>
      </c>
      <c r="I173" s="88" t="str">
        <f aca="false">IF($H173="","",'Timeline Estacas'!I173)</f>
        <v/>
      </c>
      <c r="J173" s="86" t="str">
        <f aca="false">IF(ISNUMBER('Timeline Estacas'!J173),'Timeline Estacas'!J173,"")</f>
        <v/>
      </c>
      <c r="K173" s="88" t="str">
        <f aca="false">IF('Timeline Estacas'!K173="","",'Timeline Estacas'!K173)</f>
        <v/>
      </c>
      <c r="L173" s="88" t="str">
        <f aca="false">IF('Timeline Estacas'!L173="","",'Timeline Estacas'!L173)</f>
        <v/>
      </c>
      <c r="M173" s="88" t="str">
        <f aca="false">IF('Timeline Estacas'!M173="","",'Timeline Estacas'!M173)</f>
        <v/>
      </c>
      <c r="N173" s="89" t="str">
        <f aca="false">IF('Timeline Estacas'!N173="","",'Timeline Estacas'!N173)</f>
        <v/>
      </c>
      <c r="O173" s="90" t="str">
        <f aca="false">IF(ISNUMBER('Timeline Estacas'!O173),'Timeline Estacas'!O173,"")</f>
        <v/>
      </c>
      <c r="P173" s="91" t="n">
        <f aca="false">IF($Q173&gt;0,1,0)</f>
        <v>0</v>
      </c>
      <c r="Q173" s="91" t="n">
        <f aca="false">IF($F173="",0,1)+IF($H173="",0,1)</f>
        <v>0</v>
      </c>
      <c r="R173" s="91" t="n">
        <f aca="false">IF($N173="",0,1)</f>
        <v>0</v>
      </c>
      <c r="S173" s="91" t="n">
        <f aca="false">IF($F173="",0,1)</f>
        <v>0</v>
      </c>
      <c r="T173" s="91" t="n">
        <f aca="false">IF($H173="",0,1)</f>
        <v>0</v>
      </c>
      <c r="U173" s="91" t="n">
        <f aca="false">IF($J173="",0,1)</f>
        <v>0</v>
      </c>
      <c r="V173" s="91" t="n">
        <f aca="true">IF($J173="",0,IF($J173&lt;=TODAY(),1,0))</f>
        <v>0</v>
      </c>
      <c r="W173" s="92" t="n">
        <f aca="false">IF($O173="",0,$O173)</f>
        <v>0</v>
      </c>
      <c r="X173" s="91" t="str">
        <f aca="false">IF($R173=1,SUM($R$2:$R173),"")</f>
        <v/>
      </c>
      <c r="Y173" s="91" t="n">
        <f aca="false">IF($F173="",0,IF(COUNTIF($F$2:$F173,$F173)+COUNTIF($H$2:$H173,$F173)&gt;1,1,0))+IF($H173="",0,IF(COUNTIF($F$2:$F173,$H173)+COUNTIF($H$2:$H173,$H173)&gt;1,1,0))</f>
        <v>0</v>
      </c>
      <c r="Z173" s="91" t="n">
        <f aca="false">IF($Q173=0,0,IF(COUNTIFS($A$2:$A173,$A173,$Q$2:$Q173,"&gt;0")=1,1,0))</f>
        <v>0</v>
      </c>
      <c r="AA173" s="93" t="str">
        <f aca="false">IF($Q173&gt;0,$A173,"")</f>
        <v/>
      </c>
      <c r="AB173" s="91" t="n">
        <f aca="false">IF($K173="",0,1)</f>
        <v>0</v>
      </c>
      <c r="AC173" s="91" t="n">
        <f aca="false">IF($L173="",0,1)</f>
        <v>0</v>
      </c>
      <c r="AD173" s="91" t="n">
        <f aca="false">IF($M173="",0,1)</f>
        <v>0</v>
      </c>
      <c r="AE173" s="91" t="str">
        <f aca="false">IF($Q173&gt;0,$D173,"")</f>
        <v/>
      </c>
      <c r="AF173" s="1"/>
      <c r="AG173" s="1"/>
      <c r="AH173" s="1"/>
      <c r="AI173" s="1"/>
      <c r="AJ173" s="1"/>
      <c r="AK173" s="1"/>
      <c r="AL173" s="1"/>
      <c r="AM173" s="1"/>
      <c r="AN173" s="1"/>
    </row>
    <row r="174" customFormat="false" ht="18" hidden="false" customHeight="true" outlineLevel="0" collapsed="false">
      <c r="A174" s="86" t="n">
        <f aca="false">IF(ISNUMBER('Timeline Estacas'!A174),'Timeline Estacas'!A174,"")</f>
        <v>46318</v>
      </c>
      <c r="B174" s="87" t="n">
        <f aca="false">IF($A174="","",$A174)</f>
        <v>46318</v>
      </c>
      <c r="C174" s="88" t="n">
        <f aca="false">IF(ISNUMBER('Timeline Estacas'!C174),'Timeline Estacas'!C174,"")</f>
        <v>357</v>
      </c>
      <c r="D174" s="88" t="n">
        <f aca="false">IF(ISNUMBER('Timeline Estacas'!D174),'Timeline Estacas'!D174,"")</f>
        <v>52</v>
      </c>
      <c r="E174" s="88" t="str">
        <f aca="false">IF($D174="","","S-"&amp;TEXT($D174,"00"))</f>
        <v>S-52</v>
      </c>
      <c r="F174" s="88" t="str">
        <f aca="false">IF(ISNUMBER('Timeline Estacas'!F174),'Timeline Estacas'!F174,"")</f>
        <v/>
      </c>
      <c r="G174" s="88" t="str">
        <f aca="false">IF($F174="","",IF('Timeline Estacas'!G174&lt;&gt;"",'Timeline Estacas'!G174,'Timeline Estacas'!I174))</f>
        <v/>
      </c>
      <c r="H174" s="88" t="str">
        <f aca="false">IF(ISNUMBER('Timeline Estacas'!H174),'Timeline Estacas'!H174,"")</f>
        <v/>
      </c>
      <c r="I174" s="88" t="str">
        <f aca="false">IF($H174="","",'Timeline Estacas'!I174)</f>
        <v/>
      </c>
      <c r="J174" s="86" t="str">
        <f aca="false">IF(ISNUMBER('Timeline Estacas'!J174),'Timeline Estacas'!J174,"")</f>
        <v/>
      </c>
      <c r="K174" s="88" t="str">
        <f aca="false">IF('Timeline Estacas'!K174="","",'Timeline Estacas'!K174)</f>
        <v/>
      </c>
      <c r="L174" s="88" t="str">
        <f aca="false">IF('Timeline Estacas'!L174="","",'Timeline Estacas'!L174)</f>
        <v/>
      </c>
      <c r="M174" s="88" t="str">
        <f aca="false">IF('Timeline Estacas'!M174="","",'Timeline Estacas'!M174)</f>
        <v/>
      </c>
      <c r="N174" s="89" t="str">
        <f aca="false">IF('Timeline Estacas'!N174="","",'Timeline Estacas'!N174)</f>
        <v/>
      </c>
      <c r="O174" s="90" t="str">
        <f aca="false">IF(ISNUMBER('Timeline Estacas'!O174),'Timeline Estacas'!O174,"")</f>
        <v/>
      </c>
      <c r="P174" s="91" t="n">
        <f aca="false">IF($Q174&gt;0,1,0)</f>
        <v>0</v>
      </c>
      <c r="Q174" s="91" t="n">
        <f aca="false">IF($F174="",0,1)+IF($H174="",0,1)</f>
        <v>0</v>
      </c>
      <c r="R174" s="91" t="n">
        <f aca="false">IF($N174="",0,1)</f>
        <v>0</v>
      </c>
      <c r="S174" s="91" t="n">
        <f aca="false">IF($F174="",0,1)</f>
        <v>0</v>
      </c>
      <c r="T174" s="91" t="n">
        <f aca="false">IF($H174="",0,1)</f>
        <v>0</v>
      </c>
      <c r="U174" s="91" t="n">
        <f aca="false">IF($J174="",0,1)</f>
        <v>0</v>
      </c>
      <c r="V174" s="91" t="n">
        <f aca="true">IF($J174="",0,IF($J174&lt;=TODAY(),1,0))</f>
        <v>0</v>
      </c>
      <c r="W174" s="92" t="n">
        <f aca="false">IF($O174="",0,$O174)</f>
        <v>0</v>
      </c>
      <c r="X174" s="91" t="str">
        <f aca="false">IF($R174=1,SUM($R$2:$R174),"")</f>
        <v/>
      </c>
      <c r="Y174" s="91" t="n">
        <f aca="false">IF($F174="",0,IF(COUNTIF($F$2:$F174,$F174)+COUNTIF($H$2:$H174,$F174)&gt;1,1,0))+IF($H174="",0,IF(COUNTIF($F$2:$F174,$H174)+COUNTIF($H$2:$H174,$H174)&gt;1,1,0))</f>
        <v>0</v>
      </c>
      <c r="Z174" s="91" t="n">
        <f aca="false">IF($Q174=0,0,IF(COUNTIFS($A$2:$A174,$A174,$Q$2:$Q174,"&gt;0")=1,1,0))</f>
        <v>0</v>
      </c>
      <c r="AA174" s="93" t="str">
        <f aca="false">IF($Q174&gt;0,$A174,"")</f>
        <v/>
      </c>
      <c r="AB174" s="91" t="n">
        <f aca="false">IF($K174="",0,1)</f>
        <v>0</v>
      </c>
      <c r="AC174" s="91" t="n">
        <f aca="false">IF($L174="",0,1)</f>
        <v>0</v>
      </c>
      <c r="AD174" s="91" t="n">
        <f aca="false">IF($M174="",0,1)</f>
        <v>0</v>
      </c>
      <c r="AE174" s="91" t="str">
        <f aca="false">IF($Q174&gt;0,$D174,"")</f>
        <v/>
      </c>
      <c r="AF174" s="1"/>
      <c r="AG174" s="1"/>
      <c r="AH174" s="1"/>
      <c r="AI174" s="1"/>
      <c r="AJ174" s="1"/>
      <c r="AK174" s="1"/>
      <c r="AL174" s="1"/>
      <c r="AM174" s="1"/>
      <c r="AN174" s="1"/>
    </row>
    <row r="175" customFormat="false" ht="18" hidden="false" customHeight="true" outlineLevel="0" collapsed="false">
      <c r="A175" s="86" t="n">
        <f aca="false">IF(ISNUMBER('Timeline Estacas'!A175),'Timeline Estacas'!A175,"")</f>
        <v>46319</v>
      </c>
      <c r="B175" s="87" t="n">
        <f aca="false">IF($A175="","",$A175)</f>
        <v>46319</v>
      </c>
      <c r="C175" s="88" t="n">
        <f aca="false">IF(ISNUMBER('Timeline Estacas'!C175),'Timeline Estacas'!C175,"")</f>
        <v>358</v>
      </c>
      <c r="D175" s="88" t="n">
        <f aca="false">IF(ISNUMBER('Timeline Estacas'!D175),'Timeline Estacas'!D175,"")</f>
        <v>52</v>
      </c>
      <c r="E175" s="88" t="str">
        <f aca="false">IF($D175="","","S-"&amp;TEXT($D175,"00"))</f>
        <v>S-52</v>
      </c>
      <c r="F175" s="88" t="str">
        <f aca="false">IF(ISNUMBER('Timeline Estacas'!F175),'Timeline Estacas'!F175,"")</f>
        <v/>
      </c>
      <c r="G175" s="88" t="str">
        <f aca="false">IF($F175="","",IF('Timeline Estacas'!G175&lt;&gt;"",'Timeline Estacas'!G175,'Timeline Estacas'!I175))</f>
        <v/>
      </c>
      <c r="H175" s="88" t="str">
        <f aca="false">IF(ISNUMBER('Timeline Estacas'!H175),'Timeline Estacas'!H175,"")</f>
        <v/>
      </c>
      <c r="I175" s="88" t="str">
        <f aca="false">IF($H175="","",'Timeline Estacas'!I175)</f>
        <v/>
      </c>
      <c r="J175" s="86" t="str">
        <f aca="false">IF(ISNUMBER('Timeline Estacas'!J175),'Timeline Estacas'!J175,"")</f>
        <v/>
      </c>
      <c r="K175" s="88" t="str">
        <f aca="false">IF('Timeline Estacas'!K175="","",'Timeline Estacas'!K175)</f>
        <v/>
      </c>
      <c r="L175" s="88" t="str">
        <f aca="false">IF('Timeline Estacas'!L175="","",'Timeline Estacas'!L175)</f>
        <v/>
      </c>
      <c r="M175" s="88" t="str">
        <f aca="false">IF('Timeline Estacas'!M175="","",'Timeline Estacas'!M175)</f>
        <v/>
      </c>
      <c r="N175" s="89" t="str">
        <f aca="false">IF('Timeline Estacas'!N175="","",'Timeline Estacas'!N175)</f>
        <v/>
      </c>
      <c r="O175" s="90" t="str">
        <f aca="false">IF(ISNUMBER('Timeline Estacas'!O175),'Timeline Estacas'!O175,"")</f>
        <v/>
      </c>
      <c r="P175" s="91" t="n">
        <f aca="false">IF($Q175&gt;0,1,0)</f>
        <v>0</v>
      </c>
      <c r="Q175" s="91" t="n">
        <f aca="false">IF($F175="",0,1)+IF($H175="",0,1)</f>
        <v>0</v>
      </c>
      <c r="R175" s="91" t="n">
        <f aca="false">IF($N175="",0,1)</f>
        <v>0</v>
      </c>
      <c r="S175" s="91" t="n">
        <f aca="false">IF($F175="",0,1)</f>
        <v>0</v>
      </c>
      <c r="T175" s="91" t="n">
        <f aca="false">IF($H175="",0,1)</f>
        <v>0</v>
      </c>
      <c r="U175" s="91" t="n">
        <f aca="false">IF($J175="",0,1)</f>
        <v>0</v>
      </c>
      <c r="V175" s="91" t="n">
        <f aca="true">IF($J175="",0,IF($J175&lt;=TODAY(),1,0))</f>
        <v>0</v>
      </c>
      <c r="W175" s="92" t="n">
        <f aca="false">IF($O175="",0,$O175)</f>
        <v>0</v>
      </c>
      <c r="X175" s="91" t="str">
        <f aca="false">IF($R175=1,SUM($R$2:$R175),"")</f>
        <v/>
      </c>
      <c r="Y175" s="91" t="n">
        <f aca="false">IF($F175="",0,IF(COUNTIF($F$2:$F175,$F175)+COUNTIF($H$2:$H175,$F175)&gt;1,1,0))+IF($H175="",0,IF(COUNTIF($F$2:$F175,$H175)+COUNTIF($H$2:$H175,$H175)&gt;1,1,0))</f>
        <v>0</v>
      </c>
      <c r="Z175" s="91" t="n">
        <f aca="false">IF($Q175=0,0,IF(COUNTIFS($A$2:$A175,$A175,$Q$2:$Q175,"&gt;0")=1,1,0))</f>
        <v>0</v>
      </c>
      <c r="AA175" s="93" t="str">
        <f aca="false">IF($Q175&gt;0,$A175,"")</f>
        <v/>
      </c>
      <c r="AB175" s="91" t="n">
        <f aca="false">IF($K175="",0,1)</f>
        <v>0</v>
      </c>
      <c r="AC175" s="91" t="n">
        <f aca="false">IF($L175="",0,1)</f>
        <v>0</v>
      </c>
      <c r="AD175" s="91" t="n">
        <f aca="false">IF($M175="",0,1)</f>
        <v>0</v>
      </c>
      <c r="AE175" s="91" t="str">
        <f aca="false">IF($Q175&gt;0,$D175,"")</f>
        <v/>
      </c>
      <c r="AF175" s="1"/>
      <c r="AG175" s="1"/>
      <c r="AH175" s="1"/>
      <c r="AI175" s="1"/>
      <c r="AJ175" s="1"/>
      <c r="AK175" s="1"/>
      <c r="AL175" s="1"/>
      <c r="AM175" s="1"/>
      <c r="AN175" s="1"/>
    </row>
    <row r="176" customFormat="false" ht="18" hidden="false" customHeight="true" outlineLevel="0" collapsed="false">
      <c r="A176" s="86" t="n">
        <f aca="false">IF(ISNUMBER('Timeline Estacas'!A176),'Timeline Estacas'!A176,"")</f>
        <v>46320</v>
      </c>
      <c r="B176" s="87" t="n">
        <f aca="false">IF($A176="","",$A176)</f>
        <v>46320</v>
      </c>
      <c r="C176" s="88" t="n">
        <f aca="false">IF(ISNUMBER('Timeline Estacas'!C176),'Timeline Estacas'!C176,"")</f>
        <v>359</v>
      </c>
      <c r="D176" s="88" t="n">
        <f aca="false">IF(ISNUMBER('Timeline Estacas'!D176),'Timeline Estacas'!D176,"")</f>
        <v>52</v>
      </c>
      <c r="E176" s="88" t="str">
        <f aca="false">IF($D176="","","S-"&amp;TEXT($D176,"00"))</f>
        <v>S-52</v>
      </c>
      <c r="F176" s="88" t="str">
        <f aca="false">IF(ISNUMBER('Timeline Estacas'!F176),'Timeline Estacas'!F176,"")</f>
        <v/>
      </c>
      <c r="G176" s="88" t="str">
        <f aca="false">IF($F176="","",IF('Timeline Estacas'!G176&lt;&gt;"",'Timeline Estacas'!G176,'Timeline Estacas'!I176))</f>
        <v/>
      </c>
      <c r="H176" s="88" t="str">
        <f aca="false">IF(ISNUMBER('Timeline Estacas'!H176),'Timeline Estacas'!H176,"")</f>
        <v/>
      </c>
      <c r="I176" s="88" t="str">
        <f aca="false">IF($H176="","",'Timeline Estacas'!I176)</f>
        <v/>
      </c>
      <c r="J176" s="86" t="str">
        <f aca="false">IF(ISNUMBER('Timeline Estacas'!J176),'Timeline Estacas'!J176,"")</f>
        <v/>
      </c>
      <c r="K176" s="88" t="str">
        <f aca="false">IF('Timeline Estacas'!K176="","",'Timeline Estacas'!K176)</f>
        <v/>
      </c>
      <c r="L176" s="88" t="str">
        <f aca="false">IF('Timeline Estacas'!L176="","",'Timeline Estacas'!L176)</f>
        <v/>
      </c>
      <c r="M176" s="88" t="str">
        <f aca="false">IF('Timeline Estacas'!M176="","",'Timeline Estacas'!M176)</f>
        <v/>
      </c>
      <c r="N176" s="89" t="str">
        <f aca="false">IF('Timeline Estacas'!N176="","",'Timeline Estacas'!N176)</f>
        <v/>
      </c>
      <c r="O176" s="90" t="str">
        <f aca="false">IF(ISNUMBER('Timeline Estacas'!O176),'Timeline Estacas'!O176,"")</f>
        <v/>
      </c>
      <c r="P176" s="91" t="n">
        <f aca="false">IF($Q176&gt;0,1,0)</f>
        <v>0</v>
      </c>
      <c r="Q176" s="91" t="n">
        <f aca="false">IF($F176="",0,1)+IF($H176="",0,1)</f>
        <v>0</v>
      </c>
      <c r="R176" s="91" t="n">
        <f aca="false">IF($N176="",0,1)</f>
        <v>0</v>
      </c>
      <c r="S176" s="91" t="n">
        <f aca="false">IF($F176="",0,1)</f>
        <v>0</v>
      </c>
      <c r="T176" s="91" t="n">
        <f aca="false">IF($H176="",0,1)</f>
        <v>0</v>
      </c>
      <c r="U176" s="91" t="n">
        <f aca="false">IF($J176="",0,1)</f>
        <v>0</v>
      </c>
      <c r="V176" s="91" t="n">
        <f aca="true">IF($J176="",0,IF($J176&lt;=TODAY(),1,0))</f>
        <v>0</v>
      </c>
      <c r="W176" s="92" t="n">
        <f aca="false">IF($O176="",0,$O176)</f>
        <v>0</v>
      </c>
      <c r="X176" s="91" t="str">
        <f aca="false">IF($R176=1,SUM($R$2:$R176),"")</f>
        <v/>
      </c>
      <c r="Y176" s="91" t="n">
        <f aca="false">IF($F176="",0,IF(COUNTIF($F$2:$F176,$F176)+COUNTIF($H$2:$H176,$F176)&gt;1,1,0))+IF($H176="",0,IF(COUNTIF($F$2:$F176,$H176)+COUNTIF($H$2:$H176,$H176)&gt;1,1,0))</f>
        <v>0</v>
      </c>
      <c r="Z176" s="91" t="n">
        <f aca="false">IF($Q176=0,0,IF(COUNTIFS($A$2:$A176,$A176,$Q$2:$Q176,"&gt;0")=1,1,0))</f>
        <v>0</v>
      </c>
      <c r="AA176" s="93" t="str">
        <f aca="false">IF($Q176&gt;0,$A176,"")</f>
        <v/>
      </c>
      <c r="AB176" s="91" t="n">
        <f aca="false">IF($K176="",0,1)</f>
        <v>0</v>
      </c>
      <c r="AC176" s="91" t="n">
        <f aca="false">IF($L176="",0,1)</f>
        <v>0</v>
      </c>
      <c r="AD176" s="91" t="n">
        <f aca="false">IF($M176="",0,1)</f>
        <v>0</v>
      </c>
      <c r="AE176" s="91" t="str">
        <f aca="false">IF($Q176&gt;0,$D176,"")</f>
        <v/>
      </c>
      <c r="AF176" s="1"/>
      <c r="AG176" s="1"/>
      <c r="AH176" s="1"/>
      <c r="AI176" s="1"/>
      <c r="AJ176" s="1"/>
      <c r="AK176" s="1"/>
      <c r="AL176" s="1"/>
      <c r="AM176" s="1"/>
      <c r="AN176" s="1"/>
    </row>
    <row r="177" customFormat="false" ht="18" hidden="false" customHeight="true" outlineLevel="0" collapsed="false">
      <c r="A177" s="86" t="n">
        <f aca="false">IF(ISNUMBER('Timeline Estacas'!A177),'Timeline Estacas'!A177,"")</f>
        <v>46321</v>
      </c>
      <c r="B177" s="87" t="n">
        <f aca="false">IF($A177="","",$A177)</f>
        <v>46321</v>
      </c>
      <c r="C177" s="88" t="n">
        <f aca="false">IF(ISNUMBER('Timeline Estacas'!C177),'Timeline Estacas'!C177,"")</f>
        <v>360</v>
      </c>
      <c r="D177" s="88" t="n">
        <f aca="false">IF(ISNUMBER('Timeline Estacas'!D177),'Timeline Estacas'!D177,"")</f>
        <v>52</v>
      </c>
      <c r="E177" s="88" t="str">
        <f aca="false">IF($D177="","","S-"&amp;TEXT($D177,"00"))</f>
        <v>S-52</v>
      </c>
      <c r="F177" s="88" t="str">
        <f aca="false">IF(ISNUMBER('Timeline Estacas'!F177),'Timeline Estacas'!F177,"")</f>
        <v/>
      </c>
      <c r="G177" s="88" t="str">
        <f aca="false">IF($F177="","",IF('Timeline Estacas'!G177&lt;&gt;"",'Timeline Estacas'!G177,'Timeline Estacas'!I177))</f>
        <v/>
      </c>
      <c r="H177" s="88" t="str">
        <f aca="false">IF(ISNUMBER('Timeline Estacas'!H177),'Timeline Estacas'!H177,"")</f>
        <v/>
      </c>
      <c r="I177" s="88" t="str">
        <f aca="false">IF($H177="","",'Timeline Estacas'!I177)</f>
        <v/>
      </c>
      <c r="J177" s="86" t="str">
        <f aca="false">IF(ISNUMBER('Timeline Estacas'!J177),'Timeline Estacas'!J177,"")</f>
        <v/>
      </c>
      <c r="K177" s="88" t="str">
        <f aca="false">IF('Timeline Estacas'!K177="","",'Timeline Estacas'!K177)</f>
        <v/>
      </c>
      <c r="L177" s="88" t="str">
        <f aca="false">IF('Timeline Estacas'!L177="","",'Timeline Estacas'!L177)</f>
        <v/>
      </c>
      <c r="M177" s="88" t="str">
        <f aca="false">IF('Timeline Estacas'!M177="","",'Timeline Estacas'!M177)</f>
        <v/>
      </c>
      <c r="N177" s="89" t="str">
        <f aca="false">IF('Timeline Estacas'!N177="","",'Timeline Estacas'!N177)</f>
        <v/>
      </c>
      <c r="O177" s="90" t="str">
        <f aca="false">IF(ISNUMBER('Timeline Estacas'!O177),'Timeline Estacas'!O177,"")</f>
        <v/>
      </c>
      <c r="P177" s="91" t="n">
        <f aca="false">IF($Q177&gt;0,1,0)</f>
        <v>0</v>
      </c>
      <c r="Q177" s="91" t="n">
        <f aca="false">IF($F177="",0,1)+IF($H177="",0,1)</f>
        <v>0</v>
      </c>
      <c r="R177" s="91" t="n">
        <f aca="false">IF($N177="",0,1)</f>
        <v>0</v>
      </c>
      <c r="S177" s="91" t="n">
        <f aca="false">IF($F177="",0,1)</f>
        <v>0</v>
      </c>
      <c r="T177" s="91" t="n">
        <f aca="false">IF($H177="",0,1)</f>
        <v>0</v>
      </c>
      <c r="U177" s="91" t="n">
        <f aca="false">IF($J177="",0,1)</f>
        <v>0</v>
      </c>
      <c r="V177" s="91" t="n">
        <f aca="true">IF($J177="",0,IF($J177&lt;=TODAY(),1,0))</f>
        <v>0</v>
      </c>
      <c r="W177" s="92" t="n">
        <f aca="false">IF($O177="",0,$O177)</f>
        <v>0</v>
      </c>
      <c r="X177" s="91" t="str">
        <f aca="false">IF($R177=1,SUM($R$2:$R177),"")</f>
        <v/>
      </c>
      <c r="Y177" s="91" t="n">
        <f aca="false">IF($F177="",0,IF(COUNTIF($F$2:$F177,$F177)+COUNTIF($H$2:$H177,$F177)&gt;1,1,0))+IF($H177="",0,IF(COUNTIF($F$2:$F177,$H177)+COUNTIF($H$2:$H177,$H177)&gt;1,1,0))</f>
        <v>0</v>
      </c>
      <c r="Z177" s="91" t="n">
        <f aca="false">IF($Q177=0,0,IF(COUNTIFS($A$2:$A177,$A177,$Q$2:$Q177,"&gt;0")=1,1,0))</f>
        <v>0</v>
      </c>
      <c r="AA177" s="93" t="str">
        <f aca="false">IF($Q177&gt;0,$A177,"")</f>
        <v/>
      </c>
      <c r="AB177" s="91" t="n">
        <f aca="false">IF($K177="",0,1)</f>
        <v>0</v>
      </c>
      <c r="AC177" s="91" t="n">
        <f aca="false">IF($L177="",0,1)</f>
        <v>0</v>
      </c>
      <c r="AD177" s="91" t="n">
        <f aca="false">IF($M177="",0,1)</f>
        <v>0</v>
      </c>
      <c r="AE177" s="91" t="str">
        <f aca="false">IF($Q177&gt;0,$D177,"")</f>
        <v/>
      </c>
      <c r="AF177" s="1"/>
      <c r="AG177" s="1"/>
      <c r="AH177" s="1"/>
      <c r="AI177" s="1"/>
      <c r="AJ177" s="1"/>
      <c r="AK177" s="1"/>
      <c r="AL177" s="1"/>
      <c r="AM177" s="1"/>
      <c r="AN177" s="1"/>
    </row>
    <row r="178" customFormat="false" ht="18" hidden="false" customHeight="true" outlineLevel="0" collapsed="false">
      <c r="A178" s="86" t="n">
        <f aca="false">IF(ISNUMBER('Timeline Estacas'!A178),'Timeline Estacas'!A178,"")</f>
        <v>46322</v>
      </c>
      <c r="B178" s="87" t="n">
        <f aca="false">IF($A178="","",$A178)</f>
        <v>46322</v>
      </c>
      <c r="C178" s="88" t="n">
        <f aca="false">IF(ISNUMBER('Timeline Estacas'!C178),'Timeline Estacas'!C178,"")</f>
        <v>361</v>
      </c>
      <c r="D178" s="88" t="n">
        <f aca="false">IF(ISNUMBER('Timeline Estacas'!D178),'Timeline Estacas'!D178,"")</f>
        <v>52</v>
      </c>
      <c r="E178" s="88" t="str">
        <f aca="false">IF($D178="","","S-"&amp;TEXT($D178,"00"))</f>
        <v>S-52</v>
      </c>
      <c r="F178" s="88" t="str">
        <f aca="false">IF(ISNUMBER('Timeline Estacas'!F178),'Timeline Estacas'!F178,"")</f>
        <v/>
      </c>
      <c r="G178" s="88" t="str">
        <f aca="false">IF($F178="","",IF('Timeline Estacas'!G178&lt;&gt;"",'Timeline Estacas'!G178,'Timeline Estacas'!I178))</f>
        <v/>
      </c>
      <c r="H178" s="88" t="str">
        <f aca="false">IF(ISNUMBER('Timeline Estacas'!H178),'Timeline Estacas'!H178,"")</f>
        <v/>
      </c>
      <c r="I178" s="88" t="str">
        <f aca="false">IF($H178="","",'Timeline Estacas'!I178)</f>
        <v/>
      </c>
      <c r="J178" s="86" t="str">
        <f aca="false">IF(ISNUMBER('Timeline Estacas'!J178),'Timeline Estacas'!J178,"")</f>
        <v/>
      </c>
      <c r="K178" s="88" t="str">
        <f aca="false">IF('Timeline Estacas'!K178="","",'Timeline Estacas'!K178)</f>
        <v/>
      </c>
      <c r="L178" s="88" t="str">
        <f aca="false">IF('Timeline Estacas'!L178="","",'Timeline Estacas'!L178)</f>
        <v/>
      </c>
      <c r="M178" s="88" t="str">
        <f aca="false">IF('Timeline Estacas'!M178="","",'Timeline Estacas'!M178)</f>
        <v/>
      </c>
      <c r="N178" s="89" t="str">
        <f aca="false">IF('Timeline Estacas'!N178="","",'Timeline Estacas'!N178)</f>
        <v/>
      </c>
      <c r="O178" s="90" t="str">
        <f aca="false">IF(ISNUMBER('Timeline Estacas'!O178),'Timeline Estacas'!O178,"")</f>
        <v/>
      </c>
      <c r="P178" s="91" t="n">
        <f aca="false">IF($Q178&gt;0,1,0)</f>
        <v>0</v>
      </c>
      <c r="Q178" s="91" t="n">
        <f aca="false">IF($F178="",0,1)+IF($H178="",0,1)</f>
        <v>0</v>
      </c>
      <c r="R178" s="91" t="n">
        <f aca="false">IF($N178="",0,1)</f>
        <v>0</v>
      </c>
      <c r="S178" s="91" t="n">
        <f aca="false">IF($F178="",0,1)</f>
        <v>0</v>
      </c>
      <c r="T178" s="91" t="n">
        <f aca="false">IF($H178="",0,1)</f>
        <v>0</v>
      </c>
      <c r="U178" s="91" t="n">
        <f aca="false">IF($J178="",0,1)</f>
        <v>0</v>
      </c>
      <c r="V178" s="91" t="n">
        <f aca="true">IF($J178="",0,IF($J178&lt;=TODAY(),1,0))</f>
        <v>0</v>
      </c>
      <c r="W178" s="92" t="n">
        <f aca="false">IF($O178="",0,$O178)</f>
        <v>0</v>
      </c>
      <c r="X178" s="91" t="str">
        <f aca="false">IF($R178=1,SUM($R$2:$R178),"")</f>
        <v/>
      </c>
      <c r="Y178" s="91" t="n">
        <f aca="false">IF($F178="",0,IF(COUNTIF($F$2:$F178,$F178)+COUNTIF($H$2:$H178,$F178)&gt;1,1,0))+IF($H178="",0,IF(COUNTIF($F$2:$F178,$H178)+COUNTIF($H$2:$H178,$H178)&gt;1,1,0))</f>
        <v>0</v>
      </c>
      <c r="Z178" s="91" t="n">
        <f aca="false">IF($Q178=0,0,IF(COUNTIFS($A$2:$A178,$A178,$Q$2:$Q178,"&gt;0")=1,1,0))</f>
        <v>0</v>
      </c>
      <c r="AA178" s="93" t="str">
        <f aca="false">IF($Q178&gt;0,$A178,"")</f>
        <v/>
      </c>
      <c r="AB178" s="91" t="n">
        <f aca="false">IF($K178="",0,1)</f>
        <v>0</v>
      </c>
      <c r="AC178" s="91" t="n">
        <f aca="false">IF($L178="",0,1)</f>
        <v>0</v>
      </c>
      <c r="AD178" s="91" t="n">
        <f aca="false">IF($M178="",0,1)</f>
        <v>0</v>
      </c>
      <c r="AE178" s="91" t="str">
        <f aca="false">IF($Q178&gt;0,$D178,"")</f>
        <v/>
      </c>
      <c r="AF178" s="1"/>
      <c r="AG178" s="1"/>
      <c r="AH178" s="1"/>
      <c r="AI178" s="1"/>
      <c r="AJ178" s="1"/>
      <c r="AK178" s="1"/>
      <c r="AL178" s="1"/>
      <c r="AM178" s="1"/>
      <c r="AN178" s="1"/>
    </row>
    <row r="179" customFormat="false" ht="18" hidden="false" customHeight="true" outlineLevel="0" collapsed="false">
      <c r="A179" s="86" t="n">
        <f aca="false">IF(ISNUMBER('Timeline Estacas'!A179),'Timeline Estacas'!A179,"")</f>
        <v>46323</v>
      </c>
      <c r="B179" s="87" t="n">
        <f aca="false">IF($A179="","",$A179)</f>
        <v>46323</v>
      </c>
      <c r="C179" s="88" t="n">
        <f aca="false">IF(ISNUMBER('Timeline Estacas'!C179),'Timeline Estacas'!C179,"")</f>
        <v>362</v>
      </c>
      <c r="D179" s="88" t="n">
        <f aca="false">IF(ISNUMBER('Timeline Estacas'!D179),'Timeline Estacas'!D179,"")</f>
        <v>52</v>
      </c>
      <c r="E179" s="88" t="str">
        <f aca="false">IF($D179="","","S-"&amp;TEXT($D179,"00"))</f>
        <v>S-52</v>
      </c>
      <c r="F179" s="88" t="str">
        <f aca="false">IF(ISNUMBER('Timeline Estacas'!F179),'Timeline Estacas'!F179,"")</f>
        <v/>
      </c>
      <c r="G179" s="88" t="str">
        <f aca="false">IF($F179="","",IF('Timeline Estacas'!G179&lt;&gt;"",'Timeline Estacas'!G179,'Timeline Estacas'!I179))</f>
        <v/>
      </c>
      <c r="H179" s="88" t="str">
        <f aca="false">IF(ISNUMBER('Timeline Estacas'!H179),'Timeline Estacas'!H179,"")</f>
        <v/>
      </c>
      <c r="I179" s="88" t="str">
        <f aca="false">IF($H179="","",'Timeline Estacas'!I179)</f>
        <v/>
      </c>
      <c r="J179" s="86" t="str">
        <f aca="false">IF(ISNUMBER('Timeline Estacas'!J179),'Timeline Estacas'!J179,"")</f>
        <v/>
      </c>
      <c r="K179" s="88" t="str">
        <f aca="false">IF('Timeline Estacas'!K179="","",'Timeline Estacas'!K179)</f>
        <v/>
      </c>
      <c r="L179" s="88" t="str">
        <f aca="false">IF('Timeline Estacas'!L179="","",'Timeline Estacas'!L179)</f>
        <v/>
      </c>
      <c r="M179" s="88" t="str">
        <f aca="false">IF('Timeline Estacas'!M179="","",'Timeline Estacas'!M179)</f>
        <v/>
      </c>
      <c r="N179" s="89" t="str">
        <f aca="false">IF('Timeline Estacas'!N179="","",'Timeline Estacas'!N179)</f>
        <v/>
      </c>
      <c r="O179" s="90" t="str">
        <f aca="false">IF(ISNUMBER('Timeline Estacas'!O179),'Timeline Estacas'!O179,"")</f>
        <v/>
      </c>
      <c r="P179" s="91" t="n">
        <f aca="false">IF($Q179&gt;0,1,0)</f>
        <v>0</v>
      </c>
      <c r="Q179" s="91" t="n">
        <f aca="false">IF($F179="",0,1)+IF($H179="",0,1)</f>
        <v>0</v>
      </c>
      <c r="R179" s="91" t="n">
        <f aca="false">IF($N179="",0,1)</f>
        <v>0</v>
      </c>
      <c r="S179" s="91" t="n">
        <f aca="false">IF($F179="",0,1)</f>
        <v>0</v>
      </c>
      <c r="T179" s="91" t="n">
        <f aca="false">IF($H179="",0,1)</f>
        <v>0</v>
      </c>
      <c r="U179" s="91" t="n">
        <f aca="false">IF($J179="",0,1)</f>
        <v>0</v>
      </c>
      <c r="V179" s="91" t="n">
        <f aca="true">IF($J179="",0,IF($J179&lt;=TODAY(),1,0))</f>
        <v>0</v>
      </c>
      <c r="W179" s="92" t="n">
        <f aca="false">IF($O179="",0,$O179)</f>
        <v>0</v>
      </c>
      <c r="X179" s="91" t="str">
        <f aca="false">IF($R179=1,SUM($R$2:$R179),"")</f>
        <v/>
      </c>
      <c r="Y179" s="91" t="n">
        <f aca="false">IF($F179="",0,IF(COUNTIF($F$2:$F179,$F179)+COUNTIF($H$2:$H179,$F179)&gt;1,1,0))+IF($H179="",0,IF(COUNTIF($F$2:$F179,$H179)+COUNTIF($H$2:$H179,$H179)&gt;1,1,0))</f>
        <v>0</v>
      </c>
      <c r="Z179" s="91" t="n">
        <f aca="false">IF($Q179=0,0,IF(COUNTIFS($A$2:$A179,$A179,$Q$2:$Q179,"&gt;0")=1,1,0))</f>
        <v>0</v>
      </c>
      <c r="AA179" s="93" t="str">
        <f aca="false">IF($Q179&gt;0,$A179,"")</f>
        <v/>
      </c>
      <c r="AB179" s="91" t="n">
        <f aca="false">IF($K179="",0,1)</f>
        <v>0</v>
      </c>
      <c r="AC179" s="91" t="n">
        <f aca="false">IF($L179="",0,1)</f>
        <v>0</v>
      </c>
      <c r="AD179" s="91" t="n">
        <f aca="false">IF($M179="",0,1)</f>
        <v>0</v>
      </c>
      <c r="AE179" s="91" t="str">
        <f aca="false">IF($Q179&gt;0,$D179,"")</f>
        <v/>
      </c>
      <c r="AF179" s="1"/>
      <c r="AG179" s="1"/>
      <c r="AH179" s="1"/>
      <c r="AI179" s="1"/>
      <c r="AJ179" s="1"/>
      <c r="AK179" s="1"/>
      <c r="AL179" s="1"/>
      <c r="AM179" s="1"/>
      <c r="AN179" s="1"/>
    </row>
    <row r="180" customFormat="false" ht="18" hidden="false" customHeight="true" outlineLevel="0" collapsed="false">
      <c r="A180" s="86" t="n">
        <f aca="false">IF(ISNUMBER('Timeline Estacas'!A180),'Timeline Estacas'!A180,"")</f>
        <v>46324</v>
      </c>
      <c r="B180" s="87" t="n">
        <f aca="false">IF($A180="","",$A180)</f>
        <v>46324</v>
      </c>
      <c r="C180" s="88" t="n">
        <f aca="false">IF(ISNUMBER('Timeline Estacas'!C180),'Timeline Estacas'!C180,"")</f>
        <v>363</v>
      </c>
      <c r="D180" s="88" t="n">
        <f aca="false">IF(ISNUMBER('Timeline Estacas'!D180),'Timeline Estacas'!D180,"")</f>
        <v>52</v>
      </c>
      <c r="E180" s="88" t="str">
        <f aca="false">IF($D180="","","S-"&amp;TEXT($D180,"00"))</f>
        <v>S-52</v>
      </c>
      <c r="F180" s="88" t="str">
        <f aca="false">IF(ISNUMBER('Timeline Estacas'!F180),'Timeline Estacas'!F180,"")</f>
        <v/>
      </c>
      <c r="G180" s="88" t="str">
        <f aca="false">IF($F180="","",IF('Timeline Estacas'!G180&lt;&gt;"",'Timeline Estacas'!G180,'Timeline Estacas'!I180))</f>
        <v/>
      </c>
      <c r="H180" s="88" t="str">
        <f aca="false">IF(ISNUMBER('Timeline Estacas'!H180),'Timeline Estacas'!H180,"")</f>
        <v/>
      </c>
      <c r="I180" s="88" t="str">
        <f aca="false">IF($H180="","",'Timeline Estacas'!I180)</f>
        <v/>
      </c>
      <c r="J180" s="86" t="str">
        <f aca="false">IF(ISNUMBER('Timeline Estacas'!J180),'Timeline Estacas'!J180,"")</f>
        <v/>
      </c>
      <c r="K180" s="88" t="str">
        <f aca="false">IF('Timeline Estacas'!K180="","",'Timeline Estacas'!K180)</f>
        <v/>
      </c>
      <c r="L180" s="88" t="str">
        <f aca="false">IF('Timeline Estacas'!L180="","",'Timeline Estacas'!L180)</f>
        <v/>
      </c>
      <c r="M180" s="88" t="str">
        <f aca="false">IF('Timeline Estacas'!M180="","",'Timeline Estacas'!M180)</f>
        <v/>
      </c>
      <c r="N180" s="89" t="str">
        <f aca="false">IF('Timeline Estacas'!N180="","",'Timeline Estacas'!N180)</f>
        <v/>
      </c>
      <c r="O180" s="90" t="str">
        <f aca="false">IF(ISNUMBER('Timeline Estacas'!O180),'Timeline Estacas'!O180,"")</f>
        <v/>
      </c>
      <c r="P180" s="91" t="n">
        <f aca="false">IF($Q180&gt;0,1,0)</f>
        <v>0</v>
      </c>
      <c r="Q180" s="91" t="n">
        <f aca="false">IF($F180="",0,1)+IF($H180="",0,1)</f>
        <v>0</v>
      </c>
      <c r="R180" s="91" t="n">
        <f aca="false">IF($N180="",0,1)</f>
        <v>0</v>
      </c>
      <c r="S180" s="91" t="n">
        <f aca="false">IF($F180="",0,1)</f>
        <v>0</v>
      </c>
      <c r="T180" s="91" t="n">
        <f aca="false">IF($H180="",0,1)</f>
        <v>0</v>
      </c>
      <c r="U180" s="91" t="n">
        <f aca="false">IF($J180="",0,1)</f>
        <v>0</v>
      </c>
      <c r="V180" s="91" t="n">
        <f aca="true">IF($J180="",0,IF($J180&lt;=TODAY(),1,0))</f>
        <v>0</v>
      </c>
      <c r="W180" s="92" t="n">
        <f aca="false">IF($O180="",0,$O180)</f>
        <v>0</v>
      </c>
      <c r="X180" s="91" t="str">
        <f aca="false">IF($R180=1,SUM($R$2:$R180),"")</f>
        <v/>
      </c>
      <c r="Y180" s="91" t="n">
        <f aca="false">IF($F180="",0,IF(COUNTIF($F$2:$F180,$F180)+COUNTIF($H$2:$H180,$F180)&gt;1,1,0))+IF($H180="",0,IF(COUNTIF($F$2:$F180,$H180)+COUNTIF($H$2:$H180,$H180)&gt;1,1,0))</f>
        <v>0</v>
      </c>
      <c r="Z180" s="91" t="n">
        <f aca="false">IF($Q180=0,0,IF(COUNTIFS($A$2:$A180,$A180,$Q$2:$Q180,"&gt;0")=1,1,0))</f>
        <v>0</v>
      </c>
      <c r="AA180" s="93" t="str">
        <f aca="false">IF($Q180&gt;0,$A180,"")</f>
        <v/>
      </c>
      <c r="AB180" s="91" t="n">
        <f aca="false">IF($K180="",0,1)</f>
        <v>0</v>
      </c>
      <c r="AC180" s="91" t="n">
        <f aca="false">IF($L180="",0,1)</f>
        <v>0</v>
      </c>
      <c r="AD180" s="91" t="n">
        <f aca="false">IF($M180="",0,1)</f>
        <v>0</v>
      </c>
      <c r="AE180" s="91" t="str">
        <f aca="false">IF($Q180&gt;0,$D180,"")</f>
        <v/>
      </c>
      <c r="AF180" s="1"/>
      <c r="AG180" s="1"/>
      <c r="AH180" s="1"/>
      <c r="AI180" s="1"/>
      <c r="AJ180" s="1"/>
      <c r="AK180" s="1"/>
      <c r="AL180" s="1"/>
      <c r="AM180" s="1"/>
      <c r="AN180" s="1"/>
    </row>
    <row r="181" customFormat="false" ht="18" hidden="false" customHeight="true" outlineLevel="0" collapsed="false">
      <c r="A181" s="86" t="n">
        <f aca="false">IF(ISNUMBER('Timeline Estacas'!A181),'Timeline Estacas'!A181,"")</f>
        <v>46325</v>
      </c>
      <c r="B181" s="87" t="n">
        <f aca="false">IF($A181="","",$A181)</f>
        <v>46325</v>
      </c>
      <c r="C181" s="88" t="n">
        <f aca="false">IF(ISNUMBER('Timeline Estacas'!C181),'Timeline Estacas'!C181,"")</f>
        <v>364</v>
      </c>
      <c r="D181" s="88" t="n">
        <f aca="false">IF(ISNUMBER('Timeline Estacas'!D181),'Timeline Estacas'!D181,"")</f>
        <v>53</v>
      </c>
      <c r="E181" s="88" t="str">
        <f aca="false">IF($D181="","","S-"&amp;TEXT($D181,"00"))</f>
        <v>S-53</v>
      </c>
      <c r="F181" s="88" t="str">
        <f aca="false">IF(ISNUMBER('Timeline Estacas'!F181),'Timeline Estacas'!F181,"")</f>
        <v/>
      </c>
      <c r="G181" s="88" t="str">
        <f aca="false">IF($F181="","",IF('Timeline Estacas'!G181&lt;&gt;"",'Timeline Estacas'!G181,'Timeline Estacas'!I181))</f>
        <v/>
      </c>
      <c r="H181" s="88" t="str">
        <f aca="false">IF(ISNUMBER('Timeline Estacas'!H181),'Timeline Estacas'!H181,"")</f>
        <v/>
      </c>
      <c r="I181" s="88" t="str">
        <f aca="false">IF($H181="","",'Timeline Estacas'!I181)</f>
        <v/>
      </c>
      <c r="J181" s="86" t="str">
        <f aca="false">IF(ISNUMBER('Timeline Estacas'!J181),'Timeline Estacas'!J181,"")</f>
        <v/>
      </c>
      <c r="K181" s="88" t="str">
        <f aca="false">IF('Timeline Estacas'!K181="","",'Timeline Estacas'!K181)</f>
        <v/>
      </c>
      <c r="L181" s="88" t="str">
        <f aca="false">IF('Timeline Estacas'!L181="","",'Timeline Estacas'!L181)</f>
        <v/>
      </c>
      <c r="M181" s="88" t="str">
        <f aca="false">IF('Timeline Estacas'!M181="","",'Timeline Estacas'!M181)</f>
        <v/>
      </c>
      <c r="N181" s="89" t="str">
        <f aca="false">IF('Timeline Estacas'!N181="","",'Timeline Estacas'!N181)</f>
        <v/>
      </c>
      <c r="O181" s="90" t="str">
        <f aca="false">IF(ISNUMBER('Timeline Estacas'!O181),'Timeline Estacas'!O181,"")</f>
        <v/>
      </c>
      <c r="P181" s="91" t="n">
        <f aca="false">IF($Q181&gt;0,1,0)</f>
        <v>0</v>
      </c>
      <c r="Q181" s="91" t="n">
        <f aca="false">IF($F181="",0,1)+IF($H181="",0,1)</f>
        <v>0</v>
      </c>
      <c r="R181" s="91" t="n">
        <f aca="false">IF($N181="",0,1)</f>
        <v>0</v>
      </c>
      <c r="S181" s="91" t="n">
        <f aca="false">IF($F181="",0,1)</f>
        <v>0</v>
      </c>
      <c r="T181" s="91" t="n">
        <f aca="false">IF($H181="",0,1)</f>
        <v>0</v>
      </c>
      <c r="U181" s="91" t="n">
        <f aca="false">IF($J181="",0,1)</f>
        <v>0</v>
      </c>
      <c r="V181" s="91" t="n">
        <f aca="true">IF($J181="",0,IF($J181&lt;=TODAY(),1,0))</f>
        <v>0</v>
      </c>
      <c r="W181" s="92" t="n">
        <f aca="false">IF($O181="",0,$O181)</f>
        <v>0</v>
      </c>
      <c r="X181" s="91" t="str">
        <f aca="false">IF($R181=1,SUM($R$2:$R181),"")</f>
        <v/>
      </c>
      <c r="Y181" s="91" t="n">
        <f aca="false">IF($F181="",0,IF(COUNTIF($F$2:$F181,$F181)+COUNTIF($H$2:$H181,$F181)&gt;1,1,0))+IF($H181="",0,IF(COUNTIF($F$2:$F181,$H181)+COUNTIF($H$2:$H181,$H181)&gt;1,1,0))</f>
        <v>0</v>
      </c>
      <c r="Z181" s="91" t="n">
        <f aca="false">IF($Q181=0,0,IF(COUNTIFS($A$2:$A181,$A181,$Q$2:$Q181,"&gt;0")=1,1,0))</f>
        <v>0</v>
      </c>
      <c r="AA181" s="93" t="str">
        <f aca="false">IF($Q181&gt;0,$A181,"")</f>
        <v/>
      </c>
      <c r="AB181" s="91" t="n">
        <f aca="false">IF($K181="",0,1)</f>
        <v>0</v>
      </c>
      <c r="AC181" s="91" t="n">
        <f aca="false">IF($L181="",0,1)</f>
        <v>0</v>
      </c>
      <c r="AD181" s="91" t="n">
        <f aca="false">IF($M181="",0,1)</f>
        <v>0</v>
      </c>
      <c r="AE181" s="91" t="str">
        <f aca="false">IF($Q181&gt;0,$D181,"")</f>
        <v/>
      </c>
      <c r="AF181" s="1"/>
      <c r="AG181" s="1"/>
      <c r="AH181" s="1"/>
      <c r="AI181" s="1"/>
      <c r="AJ181" s="1"/>
      <c r="AK181" s="1"/>
      <c r="AL181" s="1"/>
      <c r="AM181" s="1"/>
      <c r="AN181" s="1"/>
    </row>
    <row r="182" customFormat="false" ht="18" hidden="false" customHeight="true" outlineLevel="0" collapsed="false">
      <c r="A182" s="86" t="n">
        <f aca="false">IF(ISNUMBER('Timeline Estacas'!A182),'Timeline Estacas'!A182,"")</f>
        <v>46326</v>
      </c>
      <c r="B182" s="87" t="n">
        <f aca="false">IF($A182="","",$A182)</f>
        <v>46326</v>
      </c>
      <c r="C182" s="88" t="n">
        <f aca="false">IF(ISNUMBER('Timeline Estacas'!C182),'Timeline Estacas'!C182,"")</f>
        <v>365</v>
      </c>
      <c r="D182" s="88" t="n">
        <f aca="false">IF(ISNUMBER('Timeline Estacas'!D182),'Timeline Estacas'!D182,"")</f>
        <v>53</v>
      </c>
      <c r="E182" s="88" t="str">
        <f aca="false">IF($D182="","","S-"&amp;TEXT($D182,"00"))</f>
        <v>S-53</v>
      </c>
      <c r="F182" s="88" t="str">
        <f aca="false">IF(ISNUMBER('Timeline Estacas'!F182),'Timeline Estacas'!F182,"")</f>
        <v/>
      </c>
      <c r="G182" s="88" t="str">
        <f aca="false">IF($F182="","",IF('Timeline Estacas'!G182&lt;&gt;"",'Timeline Estacas'!G182,'Timeline Estacas'!I182))</f>
        <v/>
      </c>
      <c r="H182" s="88" t="str">
        <f aca="false">IF(ISNUMBER('Timeline Estacas'!H182),'Timeline Estacas'!H182,"")</f>
        <v/>
      </c>
      <c r="I182" s="88" t="str">
        <f aca="false">IF($H182="","",'Timeline Estacas'!I182)</f>
        <v/>
      </c>
      <c r="J182" s="86" t="str">
        <f aca="false">IF(ISNUMBER('Timeline Estacas'!J182),'Timeline Estacas'!J182,"")</f>
        <v/>
      </c>
      <c r="K182" s="88" t="str">
        <f aca="false">IF('Timeline Estacas'!K182="","",'Timeline Estacas'!K182)</f>
        <v/>
      </c>
      <c r="L182" s="88" t="str">
        <f aca="false">IF('Timeline Estacas'!L182="","",'Timeline Estacas'!L182)</f>
        <v/>
      </c>
      <c r="M182" s="88" t="str">
        <f aca="false">IF('Timeline Estacas'!M182="","",'Timeline Estacas'!M182)</f>
        <v/>
      </c>
      <c r="N182" s="89" t="str">
        <f aca="false">IF('Timeline Estacas'!N182="","",'Timeline Estacas'!N182)</f>
        <v/>
      </c>
      <c r="O182" s="90" t="str">
        <f aca="false">IF(ISNUMBER('Timeline Estacas'!O182),'Timeline Estacas'!O182,"")</f>
        <v/>
      </c>
      <c r="P182" s="91" t="n">
        <f aca="false">IF($Q182&gt;0,1,0)</f>
        <v>0</v>
      </c>
      <c r="Q182" s="91" t="n">
        <f aca="false">IF($F182="",0,1)+IF($H182="",0,1)</f>
        <v>0</v>
      </c>
      <c r="R182" s="91" t="n">
        <f aca="false">IF($N182="",0,1)</f>
        <v>0</v>
      </c>
      <c r="S182" s="91" t="n">
        <f aca="false">IF($F182="",0,1)</f>
        <v>0</v>
      </c>
      <c r="T182" s="91" t="n">
        <f aca="false">IF($H182="",0,1)</f>
        <v>0</v>
      </c>
      <c r="U182" s="91" t="n">
        <f aca="false">IF($J182="",0,1)</f>
        <v>0</v>
      </c>
      <c r="V182" s="91" t="n">
        <f aca="true">IF($J182="",0,IF($J182&lt;=TODAY(),1,0))</f>
        <v>0</v>
      </c>
      <c r="W182" s="92" t="n">
        <f aca="false">IF($O182="",0,$O182)</f>
        <v>0</v>
      </c>
      <c r="X182" s="91" t="str">
        <f aca="false">IF($R182=1,SUM($R$2:$R182),"")</f>
        <v/>
      </c>
      <c r="Y182" s="91" t="n">
        <f aca="false">IF($F182="",0,IF(COUNTIF($F$2:$F182,$F182)+COUNTIF($H$2:$H182,$F182)&gt;1,1,0))+IF($H182="",0,IF(COUNTIF($F$2:$F182,$H182)+COUNTIF($H$2:$H182,$H182)&gt;1,1,0))</f>
        <v>0</v>
      </c>
      <c r="Z182" s="91" t="n">
        <f aca="false">IF($Q182=0,0,IF(COUNTIFS($A$2:$A182,$A182,$Q$2:$Q182,"&gt;0")=1,1,0))</f>
        <v>0</v>
      </c>
      <c r="AA182" s="93" t="str">
        <f aca="false">IF($Q182&gt;0,$A182,"")</f>
        <v/>
      </c>
      <c r="AB182" s="91" t="n">
        <f aca="false">IF($K182="",0,1)</f>
        <v>0</v>
      </c>
      <c r="AC182" s="91" t="n">
        <f aca="false">IF($L182="",0,1)</f>
        <v>0</v>
      </c>
      <c r="AD182" s="91" t="n">
        <f aca="false">IF($M182="",0,1)</f>
        <v>0</v>
      </c>
      <c r="AE182" s="91" t="str">
        <f aca="false">IF($Q182&gt;0,$D182,"")</f>
        <v/>
      </c>
      <c r="AF182" s="1"/>
      <c r="AG182" s="1"/>
      <c r="AH182" s="1"/>
      <c r="AI182" s="1"/>
      <c r="AJ182" s="1"/>
      <c r="AK182" s="1"/>
      <c r="AL182" s="1"/>
      <c r="AM182" s="1"/>
      <c r="AN182" s="1"/>
    </row>
    <row r="183" customFormat="false" ht="18" hidden="false" customHeight="true" outlineLevel="0" collapsed="false">
      <c r="A183" s="86" t="n">
        <f aca="false">IF(ISNUMBER('Timeline Estacas'!A183),'Timeline Estacas'!A183,"")</f>
        <v>46327</v>
      </c>
      <c r="B183" s="87" t="n">
        <f aca="false">IF($A183="","",$A183)</f>
        <v>46327</v>
      </c>
      <c r="C183" s="88" t="n">
        <f aca="false">IF(ISNUMBER('Timeline Estacas'!C183),'Timeline Estacas'!C183,"")</f>
        <v>366</v>
      </c>
      <c r="D183" s="88" t="n">
        <f aca="false">IF(ISNUMBER('Timeline Estacas'!D183),'Timeline Estacas'!D183,"")</f>
        <v>53</v>
      </c>
      <c r="E183" s="88" t="str">
        <f aca="false">IF($D183="","","S-"&amp;TEXT($D183,"00"))</f>
        <v>S-53</v>
      </c>
      <c r="F183" s="88" t="str">
        <f aca="false">IF(ISNUMBER('Timeline Estacas'!F183),'Timeline Estacas'!F183,"")</f>
        <v/>
      </c>
      <c r="G183" s="88" t="str">
        <f aca="false">IF($F183="","",IF('Timeline Estacas'!G183&lt;&gt;"",'Timeline Estacas'!G183,'Timeline Estacas'!I183))</f>
        <v/>
      </c>
      <c r="H183" s="88" t="str">
        <f aca="false">IF(ISNUMBER('Timeline Estacas'!H183),'Timeline Estacas'!H183,"")</f>
        <v/>
      </c>
      <c r="I183" s="88" t="str">
        <f aca="false">IF($H183="","",'Timeline Estacas'!I183)</f>
        <v/>
      </c>
      <c r="J183" s="86" t="str">
        <f aca="false">IF(ISNUMBER('Timeline Estacas'!J183),'Timeline Estacas'!J183,"")</f>
        <v/>
      </c>
      <c r="K183" s="88" t="str">
        <f aca="false">IF('Timeline Estacas'!K183="","",'Timeline Estacas'!K183)</f>
        <v/>
      </c>
      <c r="L183" s="88" t="str">
        <f aca="false">IF('Timeline Estacas'!L183="","",'Timeline Estacas'!L183)</f>
        <v/>
      </c>
      <c r="M183" s="88" t="str">
        <f aca="false">IF('Timeline Estacas'!M183="","",'Timeline Estacas'!M183)</f>
        <v/>
      </c>
      <c r="N183" s="89" t="str">
        <f aca="false">IF('Timeline Estacas'!N183="","",'Timeline Estacas'!N183)</f>
        <v/>
      </c>
      <c r="O183" s="90" t="str">
        <f aca="false">IF(ISNUMBER('Timeline Estacas'!O183),'Timeline Estacas'!O183,"")</f>
        <v/>
      </c>
      <c r="P183" s="91" t="n">
        <f aca="false">IF($Q183&gt;0,1,0)</f>
        <v>0</v>
      </c>
      <c r="Q183" s="91" t="n">
        <f aca="false">IF($F183="",0,1)+IF($H183="",0,1)</f>
        <v>0</v>
      </c>
      <c r="R183" s="91" t="n">
        <f aca="false">IF($N183="",0,1)</f>
        <v>0</v>
      </c>
      <c r="S183" s="91" t="n">
        <f aca="false">IF($F183="",0,1)</f>
        <v>0</v>
      </c>
      <c r="T183" s="91" t="n">
        <f aca="false">IF($H183="",0,1)</f>
        <v>0</v>
      </c>
      <c r="U183" s="91" t="n">
        <f aca="false">IF($J183="",0,1)</f>
        <v>0</v>
      </c>
      <c r="V183" s="91" t="n">
        <f aca="true">IF($J183="",0,IF($J183&lt;=TODAY(),1,0))</f>
        <v>0</v>
      </c>
      <c r="W183" s="92" t="n">
        <f aca="false">IF($O183="",0,$O183)</f>
        <v>0</v>
      </c>
      <c r="X183" s="91" t="str">
        <f aca="false">IF($R183=1,SUM($R$2:$R183),"")</f>
        <v/>
      </c>
      <c r="Y183" s="91" t="n">
        <f aca="false">IF($F183="",0,IF(COUNTIF($F$2:$F183,$F183)+COUNTIF($H$2:$H183,$F183)&gt;1,1,0))+IF($H183="",0,IF(COUNTIF($F$2:$F183,$H183)+COUNTIF($H$2:$H183,$H183)&gt;1,1,0))</f>
        <v>0</v>
      </c>
      <c r="Z183" s="91" t="n">
        <f aca="false">IF($Q183=0,0,IF(COUNTIFS($A$2:$A183,$A183,$Q$2:$Q183,"&gt;0")=1,1,0))</f>
        <v>0</v>
      </c>
      <c r="AA183" s="93" t="str">
        <f aca="false">IF($Q183&gt;0,$A183,"")</f>
        <v/>
      </c>
      <c r="AB183" s="91" t="n">
        <f aca="false">IF($K183="",0,1)</f>
        <v>0</v>
      </c>
      <c r="AC183" s="91" t="n">
        <f aca="false">IF($L183="",0,1)</f>
        <v>0</v>
      </c>
      <c r="AD183" s="91" t="n">
        <f aca="false">IF($M183="",0,1)</f>
        <v>0</v>
      </c>
      <c r="AE183" s="91" t="str">
        <f aca="false">IF($Q183&gt;0,$D183,"")</f>
        <v/>
      </c>
      <c r="AF183" s="1"/>
      <c r="AG183" s="1"/>
      <c r="AH183" s="1"/>
      <c r="AI183" s="1"/>
      <c r="AJ183" s="1"/>
      <c r="AK183" s="1"/>
      <c r="AL183" s="1"/>
      <c r="AM183" s="1"/>
      <c r="AN183" s="1"/>
    </row>
    <row r="184" customFormat="false" ht="18" hidden="false" customHeight="true" outlineLevel="0" collapsed="false">
      <c r="A184" s="86" t="n">
        <f aca="false">IF(ISNUMBER('Timeline Estacas'!A184),'Timeline Estacas'!A184,"")</f>
        <v>46328</v>
      </c>
      <c r="B184" s="87" t="n">
        <f aca="false">IF($A184="","",$A184)</f>
        <v>46328</v>
      </c>
      <c r="C184" s="88" t="n">
        <f aca="false">IF(ISNUMBER('Timeline Estacas'!C184),'Timeline Estacas'!C184,"")</f>
        <v>367</v>
      </c>
      <c r="D184" s="88" t="n">
        <f aca="false">IF(ISNUMBER('Timeline Estacas'!D184),'Timeline Estacas'!D184,"")</f>
        <v>53</v>
      </c>
      <c r="E184" s="88" t="str">
        <f aca="false">IF($D184="","","S-"&amp;TEXT($D184,"00"))</f>
        <v>S-53</v>
      </c>
      <c r="F184" s="88" t="str">
        <f aca="false">IF(ISNUMBER('Timeline Estacas'!F184),'Timeline Estacas'!F184,"")</f>
        <v/>
      </c>
      <c r="G184" s="88" t="str">
        <f aca="false">IF($F184="","",IF('Timeline Estacas'!G184&lt;&gt;"",'Timeline Estacas'!G184,'Timeline Estacas'!I184))</f>
        <v/>
      </c>
      <c r="H184" s="88" t="str">
        <f aca="false">IF(ISNUMBER('Timeline Estacas'!H184),'Timeline Estacas'!H184,"")</f>
        <v/>
      </c>
      <c r="I184" s="88" t="str">
        <f aca="false">IF($H184="","",'Timeline Estacas'!I184)</f>
        <v/>
      </c>
      <c r="J184" s="86" t="str">
        <f aca="false">IF(ISNUMBER('Timeline Estacas'!J184),'Timeline Estacas'!J184,"")</f>
        <v/>
      </c>
      <c r="K184" s="88" t="str">
        <f aca="false">IF('Timeline Estacas'!K184="","",'Timeline Estacas'!K184)</f>
        <v/>
      </c>
      <c r="L184" s="88" t="str">
        <f aca="false">IF('Timeline Estacas'!L184="","",'Timeline Estacas'!L184)</f>
        <v/>
      </c>
      <c r="M184" s="88" t="str">
        <f aca="false">IF('Timeline Estacas'!M184="","",'Timeline Estacas'!M184)</f>
        <v/>
      </c>
      <c r="N184" s="89" t="str">
        <f aca="false">IF('Timeline Estacas'!N184="","",'Timeline Estacas'!N184)</f>
        <v/>
      </c>
      <c r="O184" s="90" t="str">
        <f aca="false">IF(ISNUMBER('Timeline Estacas'!O184),'Timeline Estacas'!O184,"")</f>
        <v/>
      </c>
      <c r="P184" s="91" t="n">
        <f aca="false">IF($Q184&gt;0,1,0)</f>
        <v>0</v>
      </c>
      <c r="Q184" s="91" t="n">
        <f aca="false">IF($F184="",0,1)+IF($H184="",0,1)</f>
        <v>0</v>
      </c>
      <c r="R184" s="91" t="n">
        <f aca="false">IF($N184="",0,1)</f>
        <v>0</v>
      </c>
      <c r="S184" s="91" t="n">
        <f aca="false">IF($F184="",0,1)</f>
        <v>0</v>
      </c>
      <c r="T184" s="91" t="n">
        <f aca="false">IF($H184="",0,1)</f>
        <v>0</v>
      </c>
      <c r="U184" s="91" t="n">
        <f aca="false">IF($J184="",0,1)</f>
        <v>0</v>
      </c>
      <c r="V184" s="91" t="n">
        <f aca="true">IF($J184="",0,IF($J184&lt;=TODAY(),1,0))</f>
        <v>0</v>
      </c>
      <c r="W184" s="92" t="n">
        <f aca="false">IF($O184="",0,$O184)</f>
        <v>0</v>
      </c>
      <c r="X184" s="91" t="str">
        <f aca="false">IF($R184=1,SUM($R$2:$R184),"")</f>
        <v/>
      </c>
      <c r="Y184" s="91" t="n">
        <f aca="false">IF($F184="",0,IF(COUNTIF($F$2:$F184,$F184)+COUNTIF($H$2:$H184,$F184)&gt;1,1,0))+IF($H184="",0,IF(COUNTIF($F$2:$F184,$H184)+COUNTIF($H$2:$H184,$H184)&gt;1,1,0))</f>
        <v>0</v>
      </c>
      <c r="Z184" s="91" t="n">
        <f aca="false">IF($Q184=0,0,IF(COUNTIFS($A$2:$A184,$A184,$Q$2:$Q184,"&gt;0")=1,1,0))</f>
        <v>0</v>
      </c>
      <c r="AA184" s="93" t="str">
        <f aca="false">IF($Q184&gt;0,$A184,"")</f>
        <v/>
      </c>
      <c r="AB184" s="91" t="n">
        <f aca="false">IF($K184="",0,1)</f>
        <v>0</v>
      </c>
      <c r="AC184" s="91" t="n">
        <f aca="false">IF($L184="",0,1)</f>
        <v>0</v>
      </c>
      <c r="AD184" s="91" t="n">
        <f aca="false">IF($M184="",0,1)</f>
        <v>0</v>
      </c>
      <c r="AE184" s="91" t="str">
        <f aca="false">IF($Q184&gt;0,$D184,"")</f>
        <v/>
      </c>
      <c r="AF184" s="1"/>
      <c r="AG184" s="1"/>
      <c r="AH184" s="1"/>
      <c r="AI184" s="1"/>
      <c r="AJ184" s="1"/>
      <c r="AK184" s="1"/>
      <c r="AL184" s="1"/>
      <c r="AM184" s="1"/>
      <c r="AN184" s="1"/>
    </row>
    <row r="185" customFormat="false" ht="18" hidden="false" customHeight="true" outlineLevel="0" collapsed="false">
      <c r="A185" s="86" t="n">
        <f aca="false">IF(ISNUMBER('Timeline Estacas'!A185),'Timeline Estacas'!A185,"")</f>
        <v>46329</v>
      </c>
      <c r="B185" s="87" t="n">
        <f aca="false">IF($A185="","",$A185)</f>
        <v>46329</v>
      </c>
      <c r="C185" s="88" t="n">
        <f aca="false">IF(ISNUMBER('Timeline Estacas'!C185),'Timeline Estacas'!C185,"")</f>
        <v>368</v>
      </c>
      <c r="D185" s="88" t="n">
        <f aca="false">IF(ISNUMBER('Timeline Estacas'!D185),'Timeline Estacas'!D185,"")</f>
        <v>53</v>
      </c>
      <c r="E185" s="88" t="str">
        <f aca="false">IF($D185="","","S-"&amp;TEXT($D185,"00"))</f>
        <v>S-53</v>
      </c>
      <c r="F185" s="88" t="str">
        <f aca="false">IF(ISNUMBER('Timeline Estacas'!F185),'Timeline Estacas'!F185,"")</f>
        <v/>
      </c>
      <c r="G185" s="88" t="str">
        <f aca="false">IF($F185="","",IF('Timeline Estacas'!G185&lt;&gt;"",'Timeline Estacas'!G185,'Timeline Estacas'!I185))</f>
        <v/>
      </c>
      <c r="H185" s="88" t="str">
        <f aca="false">IF(ISNUMBER('Timeline Estacas'!H185),'Timeline Estacas'!H185,"")</f>
        <v/>
      </c>
      <c r="I185" s="88" t="str">
        <f aca="false">IF($H185="","",'Timeline Estacas'!I185)</f>
        <v/>
      </c>
      <c r="J185" s="86" t="str">
        <f aca="false">IF(ISNUMBER('Timeline Estacas'!J185),'Timeline Estacas'!J185,"")</f>
        <v/>
      </c>
      <c r="K185" s="88" t="str">
        <f aca="false">IF('Timeline Estacas'!K185="","",'Timeline Estacas'!K185)</f>
        <v/>
      </c>
      <c r="L185" s="88" t="str">
        <f aca="false">IF('Timeline Estacas'!L185="","",'Timeline Estacas'!L185)</f>
        <v/>
      </c>
      <c r="M185" s="88" t="str">
        <f aca="false">IF('Timeline Estacas'!M185="","",'Timeline Estacas'!M185)</f>
        <v/>
      </c>
      <c r="N185" s="89" t="str">
        <f aca="false">IF('Timeline Estacas'!N185="","",'Timeline Estacas'!N185)</f>
        <v/>
      </c>
      <c r="O185" s="90" t="str">
        <f aca="false">IF(ISNUMBER('Timeline Estacas'!O185),'Timeline Estacas'!O185,"")</f>
        <v/>
      </c>
      <c r="P185" s="91" t="n">
        <f aca="false">IF($Q185&gt;0,1,0)</f>
        <v>0</v>
      </c>
      <c r="Q185" s="91" t="n">
        <f aca="false">IF($F185="",0,1)+IF($H185="",0,1)</f>
        <v>0</v>
      </c>
      <c r="R185" s="91" t="n">
        <f aca="false">IF($N185="",0,1)</f>
        <v>0</v>
      </c>
      <c r="S185" s="91" t="n">
        <f aca="false">IF($F185="",0,1)</f>
        <v>0</v>
      </c>
      <c r="T185" s="91" t="n">
        <f aca="false">IF($H185="",0,1)</f>
        <v>0</v>
      </c>
      <c r="U185" s="91" t="n">
        <f aca="false">IF($J185="",0,1)</f>
        <v>0</v>
      </c>
      <c r="V185" s="91" t="n">
        <f aca="true">IF($J185="",0,IF($J185&lt;=TODAY(),1,0))</f>
        <v>0</v>
      </c>
      <c r="W185" s="92" t="n">
        <f aca="false">IF($O185="",0,$O185)</f>
        <v>0</v>
      </c>
      <c r="X185" s="91" t="str">
        <f aca="false">IF($R185=1,SUM($R$2:$R185),"")</f>
        <v/>
      </c>
      <c r="Y185" s="91" t="n">
        <f aca="false">IF($F185="",0,IF(COUNTIF($F$2:$F185,$F185)+COUNTIF($H$2:$H185,$F185)&gt;1,1,0))+IF($H185="",0,IF(COUNTIF($F$2:$F185,$H185)+COUNTIF($H$2:$H185,$H185)&gt;1,1,0))</f>
        <v>0</v>
      </c>
      <c r="Z185" s="91" t="n">
        <f aca="false">IF($Q185=0,0,IF(COUNTIFS($A$2:$A185,$A185,$Q$2:$Q185,"&gt;0")=1,1,0))</f>
        <v>0</v>
      </c>
      <c r="AA185" s="93" t="str">
        <f aca="false">IF($Q185&gt;0,$A185,"")</f>
        <v/>
      </c>
      <c r="AB185" s="91" t="n">
        <f aca="false">IF($K185="",0,1)</f>
        <v>0</v>
      </c>
      <c r="AC185" s="91" t="n">
        <f aca="false">IF($L185="",0,1)</f>
        <v>0</v>
      </c>
      <c r="AD185" s="91" t="n">
        <f aca="false">IF($M185="",0,1)</f>
        <v>0</v>
      </c>
      <c r="AE185" s="91" t="str">
        <f aca="false">IF($Q185&gt;0,$D185,"")</f>
        <v/>
      </c>
      <c r="AF185" s="1"/>
      <c r="AG185" s="1"/>
      <c r="AH185" s="1"/>
      <c r="AI185" s="1"/>
      <c r="AJ185" s="1"/>
      <c r="AK185" s="1"/>
      <c r="AL185" s="1"/>
      <c r="AM185" s="1"/>
      <c r="AN185" s="1"/>
    </row>
    <row r="186" customFormat="false" ht="18" hidden="false" customHeight="true" outlineLevel="0" collapsed="false">
      <c r="A186" s="86" t="n">
        <f aca="false">IF(ISNUMBER('Timeline Estacas'!A186),'Timeline Estacas'!A186,"")</f>
        <v>46330</v>
      </c>
      <c r="B186" s="87" t="n">
        <f aca="false">IF($A186="","",$A186)</f>
        <v>46330</v>
      </c>
      <c r="C186" s="88" t="n">
        <f aca="false">IF(ISNUMBER('Timeline Estacas'!C186),'Timeline Estacas'!C186,"")</f>
        <v>369</v>
      </c>
      <c r="D186" s="88" t="n">
        <f aca="false">IF(ISNUMBER('Timeline Estacas'!D186),'Timeline Estacas'!D186,"")</f>
        <v>53</v>
      </c>
      <c r="E186" s="88" t="str">
        <f aca="false">IF($D186="","","S-"&amp;TEXT($D186,"00"))</f>
        <v>S-53</v>
      </c>
      <c r="F186" s="88" t="str">
        <f aca="false">IF(ISNUMBER('Timeline Estacas'!F186),'Timeline Estacas'!F186,"")</f>
        <v/>
      </c>
      <c r="G186" s="88" t="str">
        <f aca="false">IF($F186="","",IF('Timeline Estacas'!G186&lt;&gt;"",'Timeline Estacas'!G186,'Timeline Estacas'!I186))</f>
        <v/>
      </c>
      <c r="H186" s="88" t="str">
        <f aca="false">IF(ISNUMBER('Timeline Estacas'!H186),'Timeline Estacas'!H186,"")</f>
        <v/>
      </c>
      <c r="I186" s="88" t="str">
        <f aca="false">IF($H186="","",'Timeline Estacas'!I186)</f>
        <v/>
      </c>
      <c r="J186" s="86" t="str">
        <f aca="false">IF(ISNUMBER('Timeline Estacas'!J186),'Timeline Estacas'!J186,"")</f>
        <v/>
      </c>
      <c r="K186" s="88" t="str">
        <f aca="false">IF('Timeline Estacas'!K186="","",'Timeline Estacas'!K186)</f>
        <v/>
      </c>
      <c r="L186" s="88" t="str">
        <f aca="false">IF('Timeline Estacas'!L186="","",'Timeline Estacas'!L186)</f>
        <v/>
      </c>
      <c r="M186" s="88" t="str">
        <f aca="false">IF('Timeline Estacas'!M186="","",'Timeline Estacas'!M186)</f>
        <v/>
      </c>
      <c r="N186" s="89" t="str">
        <f aca="false">IF('Timeline Estacas'!N186="","",'Timeline Estacas'!N186)</f>
        <v/>
      </c>
      <c r="O186" s="90" t="str">
        <f aca="false">IF(ISNUMBER('Timeline Estacas'!O186),'Timeline Estacas'!O186,"")</f>
        <v/>
      </c>
      <c r="P186" s="91" t="n">
        <f aca="false">IF($Q186&gt;0,1,0)</f>
        <v>0</v>
      </c>
      <c r="Q186" s="91" t="n">
        <f aca="false">IF($F186="",0,1)+IF($H186="",0,1)</f>
        <v>0</v>
      </c>
      <c r="R186" s="91" t="n">
        <f aca="false">IF($N186="",0,1)</f>
        <v>0</v>
      </c>
      <c r="S186" s="91" t="n">
        <f aca="false">IF($F186="",0,1)</f>
        <v>0</v>
      </c>
      <c r="T186" s="91" t="n">
        <f aca="false">IF($H186="",0,1)</f>
        <v>0</v>
      </c>
      <c r="U186" s="91" t="n">
        <f aca="false">IF($J186="",0,1)</f>
        <v>0</v>
      </c>
      <c r="V186" s="91" t="n">
        <f aca="true">IF($J186="",0,IF($J186&lt;=TODAY(),1,0))</f>
        <v>0</v>
      </c>
      <c r="W186" s="92" t="n">
        <f aca="false">IF($O186="",0,$O186)</f>
        <v>0</v>
      </c>
      <c r="X186" s="91" t="str">
        <f aca="false">IF($R186=1,SUM($R$2:$R186),"")</f>
        <v/>
      </c>
      <c r="Y186" s="91" t="n">
        <f aca="false">IF($F186="",0,IF(COUNTIF($F$2:$F186,$F186)+COUNTIF($H$2:$H186,$F186)&gt;1,1,0))+IF($H186="",0,IF(COUNTIF($F$2:$F186,$H186)+COUNTIF($H$2:$H186,$H186)&gt;1,1,0))</f>
        <v>0</v>
      </c>
      <c r="Z186" s="91" t="n">
        <f aca="false">IF($Q186=0,0,IF(COUNTIFS($A$2:$A186,$A186,$Q$2:$Q186,"&gt;0")=1,1,0))</f>
        <v>0</v>
      </c>
      <c r="AA186" s="93" t="str">
        <f aca="false">IF($Q186&gt;0,$A186,"")</f>
        <v/>
      </c>
      <c r="AB186" s="91" t="n">
        <f aca="false">IF($K186="",0,1)</f>
        <v>0</v>
      </c>
      <c r="AC186" s="91" t="n">
        <f aca="false">IF($L186="",0,1)</f>
        <v>0</v>
      </c>
      <c r="AD186" s="91" t="n">
        <f aca="false">IF($M186="",0,1)</f>
        <v>0</v>
      </c>
      <c r="AE186" s="91" t="str">
        <f aca="false">IF($Q186&gt;0,$D186,"")</f>
        <v/>
      </c>
      <c r="AF186" s="1"/>
      <c r="AG186" s="1"/>
      <c r="AH186" s="1"/>
      <c r="AI186" s="1"/>
      <c r="AJ186" s="1"/>
      <c r="AK186" s="1"/>
      <c r="AL186" s="1"/>
      <c r="AM186" s="1"/>
      <c r="AN186" s="1"/>
    </row>
    <row r="187" customFormat="false" ht="18" hidden="false" customHeight="true" outlineLevel="0" collapsed="false">
      <c r="A187" s="86" t="n">
        <f aca="false">IF(ISNUMBER('Timeline Estacas'!A187),'Timeline Estacas'!A187,"")</f>
        <v>46331</v>
      </c>
      <c r="B187" s="87" t="n">
        <f aca="false">IF($A187="","",$A187)</f>
        <v>46331</v>
      </c>
      <c r="C187" s="88" t="n">
        <f aca="false">IF(ISNUMBER('Timeline Estacas'!C187),'Timeline Estacas'!C187,"")</f>
        <v>370</v>
      </c>
      <c r="D187" s="88" t="n">
        <f aca="false">IF(ISNUMBER('Timeline Estacas'!D187),'Timeline Estacas'!D187,"")</f>
        <v>53</v>
      </c>
      <c r="E187" s="88" t="str">
        <f aca="false">IF($D187="","","S-"&amp;TEXT($D187,"00"))</f>
        <v>S-53</v>
      </c>
      <c r="F187" s="88" t="str">
        <f aca="false">IF(ISNUMBER('Timeline Estacas'!F187),'Timeline Estacas'!F187,"")</f>
        <v/>
      </c>
      <c r="G187" s="88" t="str">
        <f aca="false">IF($F187="","",IF('Timeline Estacas'!G187&lt;&gt;"",'Timeline Estacas'!G187,'Timeline Estacas'!I187))</f>
        <v/>
      </c>
      <c r="H187" s="88" t="str">
        <f aca="false">IF(ISNUMBER('Timeline Estacas'!H187),'Timeline Estacas'!H187,"")</f>
        <v/>
      </c>
      <c r="I187" s="88" t="str">
        <f aca="false">IF($H187="","",'Timeline Estacas'!I187)</f>
        <v/>
      </c>
      <c r="J187" s="86" t="str">
        <f aca="false">IF(ISNUMBER('Timeline Estacas'!J187),'Timeline Estacas'!J187,"")</f>
        <v/>
      </c>
      <c r="K187" s="88" t="str">
        <f aca="false">IF('Timeline Estacas'!K187="","",'Timeline Estacas'!K187)</f>
        <v/>
      </c>
      <c r="L187" s="88" t="str">
        <f aca="false">IF('Timeline Estacas'!L187="","",'Timeline Estacas'!L187)</f>
        <v/>
      </c>
      <c r="M187" s="88" t="str">
        <f aca="false">IF('Timeline Estacas'!M187="","",'Timeline Estacas'!M187)</f>
        <v/>
      </c>
      <c r="N187" s="89" t="str">
        <f aca="false">IF('Timeline Estacas'!N187="","",'Timeline Estacas'!N187)</f>
        <v/>
      </c>
      <c r="O187" s="90" t="str">
        <f aca="false">IF(ISNUMBER('Timeline Estacas'!O187),'Timeline Estacas'!O187,"")</f>
        <v/>
      </c>
      <c r="P187" s="91" t="n">
        <f aca="false">IF($Q187&gt;0,1,0)</f>
        <v>0</v>
      </c>
      <c r="Q187" s="91" t="n">
        <f aca="false">IF($F187="",0,1)+IF($H187="",0,1)</f>
        <v>0</v>
      </c>
      <c r="R187" s="91" t="n">
        <f aca="false">IF($N187="",0,1)</f>
        <v>0</v>
      </c>
      <c r="S187" s="91" t="n">
        <f aca="false">IF($F187="",0,1)</f>
        <v>0</v>
      </c>
      <c r="T187" s="91" t="n">
        <f aca="false">IF($H187="",0,1)</f>
        <v>0</v>
      </c>
      <c r="U187" s="91" t="n">
        <f aca="false">IF($J187="",0,1)</f>
        <v>0</v>
      </c>
      <c r="V187" s="91" t="n">
        <f aca="true">IF($J187="",0,IF($J187&lt;=TODAY(),1,0))</f>
        <v>0</v>
      </c>
      <c r="W187" s="92" t="n">
        <f aca="false">IF($O187="",0,$O187)</f>
        <v>0</v>
      </c>
      <c r="X187" s="91" t="str">
        <f aca="false">IF($R187=1,SUM($R$2:$R187),"")</f>
        <v/>
      </c>
      <c r="Y187" s="91" t="n">
        <f aca="false">IF($F187="",0,IF(COUNTIF($F$2:$F187,$F187)+COUNTIF($H$2:$H187,$F187)&gt;1,1,0))+IF($H187="",0,IF(COUNTIF($F$2:$F187,$H187)+COUNTIF($H$2:$H187,$H187)&gt;1,1,0))</f>
        <v>0</v>
      </c>
      <c r="Z187" s="91" t="n">
        <f aca="false">IF($Q187=0,0,IF(COUNTIFS($A$2:$A187,$A187,$Q$2:$Q187,"&gt;0")=1,1,0))</f>
        <v>0</v>
      </c>
      <c r="AA187" s="93" t="str">
        <f aca="false">IF($Q187&gt;0,$A187,"")</f>
        <v/>
      </c>
      <c r="AB187" s="91" t="n">
        <f aca="false">IF($K187="",0,1)</f>
        <v>0</v>
      </c>
      <c r="AC187" s="91" t="n">
        <f aca="false">IF($L187="",0,1)</f>
        <v>0</v>
      </c>
      <c r="AD187" s="91" t="n">
        <f aca="false">IF($M187="",0,1)</f>
        <v>0</v>
      </c>
      <c r="AE187" s="91" t="str">
        <f aca="false">IF($Q187&gt;0,$D187,"")</f>
        <v/>
      </c>
      <c r="AF187" s="1"/>
      <c r="AG187" s="1"/>
      <c r="AH187" s="1"/>
      <c r="AI187" s="1"/>
      <c r="AJ187" s="1"/>
      <c r="AK187" s="1"/>
      <c r="AL187" s="1"/>
      <c r="AM187" s="1"/>
      <c r="AN187" s="1"/>
    </row>
    <row r="188" customFormat="false" ht="18" hidden="false" customHeight="true" outlineLevel="0" collapsed="false">
      <c r="A188" s="86" t="n">
        <f aca="false">IF(ISNUMBER('Timeline Estacas'!A188),'Timeline Estacas'!A188,"")</f>
        <v>46332</v>
      </c>
      <c r="B188" s="87" t="n">
        <f aca="false">IF($A188="","",$A188)</f>
        <v>46332</v>
      </c>
      <c r="C188" s="88" t="n">
        <f aca="false">IF(ISNUMBER('Timeline Estacas'!C188),'Timeline Estacas'!C188,"")</f>
        <v>371</v>
      </c>
      <c r="D188" s="88" t="n">
        <f aca="false">IF(ISNUMBER('Timeline Estacas'!D188),'Timeline Estacas'!D188,"")</f>
        <v>54</v>
      </c>
      <c r="E188" s="88" t="str">
        <f aca="false">IF($D188="","","S-"&amp;TEXT($D188,"00"))</f>
        <v>S-54</v>
      </c>
      <c r="F188" s="88" t="str">
        <f aca="false">IF(ISNUMBER('Timeline Estacas'!F188),'Timeline Estacas'!F188,"")</f>
        <v/>
      </c>
      <c r="G188" s="88" t="str">
        <f aca="false">IF($F188="","",IF('Timeline Estacas'!G188&lt;&gt;"",'Timeline Estacas'!G188,'Timeline Estacas'!I188))</f>
        <v/>
      </c>
      <c r="H188" s="88" t="str">
        <f aca="false">IF(ISNUMBER('Timeline Estacas'!H188),'Timeline Estacas'!H188,"")</f>
        <v/>
      </c>
      <c r="I188" s="88" t="str">
        <f aca="false">IF($H188="","",'Timeline Estacas'!I188)</f>
        <v/>
      </c>
      <c r="J188" s="86" t="str">
        <f aca="false">IF(ISNUMBER('Timeline Estacas'!J188),'Timeline Estacas'!J188,"")</f>
        <v/>
      </c>
      <c r="K188" s="88" t="str">
        <f aca="false">IF('Timeline Estacas'!K188="","",'Timeline Estacas'!K188)</f>
        <v/>
      </c>
      <c r="L188" s="88" t="str">
        <f aca="false">IF('Timeline Estacas'!L188="","",'Timeline Estacas'!L188)</f>
        <v/>
      </c>
      <c r="M188" s="88" t="str">
        <f aca="false">IF('Timeline Estacas'!M188="","",'Timeline Estacas'!M188)</f>
        <v/>
      </c>
      <c r="N188" s="89" t="str">
        <f aca="false">IF('Timeline Estacas'!N188="","",'Timeline Estacas'!N188)</f>
        <v/>
      </c>
      <c r="O188" s="90" t="str">
        <f aca="false">IF(ISNUMBER('Timeline Estacas'!O188),'Timeline Estacas'!O188,"")</f>
        <v/>
      </c>
      <c r="P188" s="91" t="n">
        <f aca="false">IF($Q188&gt;0,1,0)</f>
        <v>0</v>
      </c>
      <c r="Q188" s="91" t="n">
        <f aca="false">IF($F188="",0,1)+IF($H188="",0,1)</f>
        <v>0</v>
      </c>
      <c r="R188" s="91" t="n">
        <f aca="false">IF($N188="",0,1)</f>
        <v>0</v>
      </c>
      <c r="S188" s="91" t="n">
        <f aca="false">IF($F188="",0,1)</f>
        <v>0</v>
      </c>
      <c r="T188" s="91" t="n">
        <f aca="false">IF($H188="",0,1)</f>
        <v>0</v>
      </c>
      <c r="U188" s="91" t="n">
        <f aca="false">IF($J188="",0,1)</f>
        <v>0</v>
      </c>
      <c r="V188" s="91" t="n">
        <f aca="true">IF($J188="",0,IF($J188&lt;=TODAY(),1,0))</f>
        <v>0</v>
      </c>
      <c r="W188" s="92" t="n">
        <f aca="false">IF($O188="",0,$O188)</f>
        <v>0</v>
      </c>
      <c r="X188" s="91" t="str">
        <f aca="false">IF($R188=1,SUM($R$2:$R188),"")</f>
        <v/>
      </c>
      <c r="Y188" s="91" t="n">
        <f aca="false">IF($F188="",0,IF(COUNTIF($F$2:$F188,$F188)+COUNTIF($H$2:$H188,$F188)&gt;1,1,0))+IF($H188="",0,IF(COUNTIF($F$2:$F188,$H188)+COUNTIF($H$2:$H188,$H188)&gt;1,1,0))</f>
        <v>0</v>
      </c>
      <c r="Z188" s="91" t="n">
        <f aca="false">IF($Q188=0,0,IF(COUNTIFS($A$2:$A188,$A188,$Q$2:$Q188,"&gt;0")=1,1,0))</f>
        <v>0</v>
      </c>
      <c r="AA188" s="93" t="str">
        <f aca="false">IF($Q188&gt;0,$A188,"")</f>
        <v/>
      </c>
      <c r="AB188" s="91" t="n">
        <f aca="false">IF($K188="",0,1)</f>
        <v>0</v>
      </c>
      <c r="AC188" s="91" t="n">
        <f aca="false">IF($L188="",0,1)</f>
        <v>0</v>
      </c>
      <c r="AD188" s="91" t="n">
        <f aca="false">IF($M188="",0,1)</f>
        <v>0</v>
      </c>
      <c r="AE188" s="91" t="str">
        <f aca="false">IF($Q188&gt;0,$D188,"")</f>
        <v/>
      </c>
      <c r="AF188" s="1"/>
      <c r="AG188" s="1"/>
      <c r="AH188" s="1"/>
      <c r="AI188" s="1"/>
      <c r="AJ188" s="1"/>
      <c r="AK188" s="1"/>
      <c r="AL188" s="1"/>
      <c r="AM188" s="1"/>
      <c r="AN188" s="1"/>
    </row>
    <row r="189" customFormat="false" ht="18" hidden="false" customHeight="true" outlineLevel="0" collapsed="false">
      <c r="A189" s="86" t="n">
        <f aca="false">IF(ISNUMBER('Timeline Estacas'!A189),'Timeline Estacas'!A189,"")</f>
        <v>46333</v>
      </c>
      <c r="B189" s="87" t="n">
        <f aca="false">IF($A189="","",$A189)</f>
        <v>46333</v>
      </c>
      <c r="C189" s="88" t="n">
        <f aca="false">IF(ISNUMBER('Timeline Estacas'!C189),'Timeline Estacas'!C189,"")</f>
        <v>372</v>
      </c>
      <c r="D189" s="88" t="n">
        <f aca="false">IF(ISNUMBER('Timeline Estacas'!D189),'Timeline Estacas'!D189,"")</f>
        <v>54</v>
      </c>
      <c r="E189" s="88" t="str">
        <f aca="false">IF($D189="","","S-"&amp;TEXT($D189,"00"))</f>
        <v>S-54</v>
      </c>
      <c r="F189" s="88" t="str">
        <f aca="false">IF(ISNUMBER('Timeline Estacas'!F189),'Timeline Estacas'!F189,"")</f>
        <v/>
      </c>
      <c r="G189" s="88" t="str">
        <f aca="false">IF($F189="","",IF('Timeline Estacas'!G189&lt;&gt;"",'Timeline Estacas'!G189,'Timeline Estacas'!I189))</f>
        <v/>
      </c>
      <c r="H189" s="88" t="str">
        <f aca="false">IF(ISNUMBER('Timeline Estacas'!H189),'Timeline Estacas'!H189,"")</f>
        <v/>
      </c>
      <c r="I189" s="88" t="str">
        <f aca="false">IF($H189="","",'Timeline Estacas'!I189)</f>
        <v/>
      </c>
      <c r="J189" s="86" t="str">
        <f aca="false">IF(ISNUMBER('Timeline Estacas'!J189),'Timeline Estacas'!J189,"")</f>
        <v/>
      </c>
      <c r="K189" s="88" t="str">
        <f aca="false">IF('Timeline Estacas'!K189="","",'Timeline Estacas'!K189)</f>
        <v/>
      </c>
      <c r="L189" s="88" t="str">
        <f aca="false">IF('Timeline Estacas'!L189="","",'Timeline Estacas'!L189)</f>
        <v/>
      </c>
      <c r="M189" s="88" t="str">
        <f aca="false">IF('Timeline Estacas'!M189="","",'Timeline Estacas'!M189)</f>
        <v/>
      </c>
      <c r="N189" s="89" t="str">
        <f aca="false">IF('Timeline Estacas'!N189="","",'Timeline Estacas'!N189)</f>
        <v/>
      </c>
      <c r="O189" s="90" t="str">
        <f aca="false">IF(ISNUMBER('Timeline Estacas'!O189),'Timeline Estacas'!O189,"")</f>
        <v/>
      </c>
      <c r="P189" s="91" t="n">
        <f aca="false">IF($Q189&gt;0,1,0)</f>
        <v>0</v>
      </c>
      <c r="Q189" s="91" t="n">
        <f aca="false">IF($F189="",0,1)+IF($H189="",0,1)</f>
        <v>0</v>
      </c>
      <c r="R189" s="91" t="n">
        <f aca="false">IF($N189="",0,1)</f>
        <v>0</v>
      </c>
      <c r="S189" s="91" t="n">
        <f aca="false">IF($F189="",0,1)</f>
        <v>0</v>
      </c>
      <c r="T189" s="91" t="n">
        <f aca="false">IF($H189="",0,1)</f>
        <v>0</v>
      </c>
      <c r="U189" s="91" t="n">
        <f aca="false">IF($J189="",0,1)</f>
        <v>0</v>
      </c>
      <c r="V189" s="91" t="n">
        <f aca="true">IF($J189="",0,IF($J189&lt;=TODAY(),1,0))</f>
        <v>0</v>
      </c>
      <c r="W189" s="92" t="n">
        <f aca="false">IF($O189="",0,$O189)</f>
        <v>0</v>
      </c>
      <c r="X189" s="91" t="str">
        <f aca="false">IF($R189=1,SUM($R$2:$R189),"")</f>
        <v/>
      </c>
      <c r="Y189" s="91" t="n">
        <f aca="false">IF($F189="",0,IF(COUNTIF($F$2:$F189,$F189)+COUNTIF($H$2:$H189,$F189)&gt;1,1,0))+IF($H189="",0,IF(COUNTIF($F$2:$F189,$H189)+COUNTIF($H$2:$H189,$H189)&gt;1,1,0))</f>
        <v>0</v>
      </c>
      <c r="Z189" s="91" t="n">
        <f aca="false">IF($Q189=0,0,IF(COUNTIFS($A$2:$A189,$A189,$Q$2:$Q189,"&gt;0")=1,1,0))</f>
        <v>0</v>
      </c>
      <c r="AA189" s="93" t="str">
        <f aca="false">IF($Q189&gt;0,$A189,"")</f>
        <v/>
      </c>
      <c r="AB189" s="91" t="n">
        <f aca="false">IF($K189="",0,1)</f>
        <v>0</v>
      </c>
      <c r="AC189" s="91" t="n">
        <f aca="false">IF($L189="",0,1)</f>
        <v>0</v>
      </c>
      <c r="AD189" s="91" t="n">
        <f aca="false">IF($M189="",0,1)</f>
        <v>0</v>
      </c>
      <c r="AE189" s="91" t="str">
        <f aca="false">IF($Q189&gt;0,$D189,"")</f>
        <v/>
      </c>
      <c r="AF189" s="1"/>
      <c r="AG189" s="1"/>
      <c r="AH189" s="1"/>
      <c r="AI189" s="1"/>
      <c r="AJ189" s="1"/>
      <c r="AK189" s="1"/>
      <c r="AL189" s="1"/>
      <c r="AM189" s="1"/>
      <c r="AN189" s="1"/>
    </row>
    <row r="190" customFormat="false" ht="18" hidden="false" customHeight="true" outlineLevel="0" collapsed="false">
      <c r="A190" s="86" t="n">
        <f aca="false">IF(ISNUMBER('Timeline Estacas'!A190),'Timeline Estacas'!A190,"")</f>
        <v>46334</v>
      </c>
      <c r="B190" s="87" t="n">
        <f aca="false">IF($A190="","",$A190)</f>
        <v>46334</v>
      </c>
      <c r="C190" s="88" t="n">
        <f aca="false">IF(ISNUMBER('Timeline Estacas'!C190),'Timeline Estacas'!C190,"")</f>
        <v>373</v>
      </c>
      <c r="D190" s="88" t="n">
        <f aca="false">IF(ISNUMBER('Timeline Estacas'!D190),'Timeline Estacas'!D190,"")</f>
        <v>54</v>
      </c>
      <c r="E190" s="88" t="str">
        <f aca="false">IF($D190="","","S-"&amp;TEXT($D190,"00"))</f>
        <v>S-54</v>
      </c>
      <c r="F190" s="88" t="str">
        <f aca="false">IF(ISNUMBER('Timeline Estacas'!F190),'Timeline Estacas'!F190,"")</f>
        <v/>
      </c>
      <c r="G190" s="88" t="str">
        <f aca="false">IF($F190="","",IF('Timeline Estacas'!G190&lt;&gt;"",'Timeline Estacas'!G190,'Timeline Estacas'!I190))</f>
        <v/>
      </c>
      <c r="H190" s="88" t="str">
        <f aca="false">IF(ISNUMBER('Timeline Estacas'!H190),'Timeline Estacas'!H190,"")</f>
        <v/>
      </c>
      <c r="I190" s="88" t="str">
        <f aca="false">IF($H190="","",'Timeline Estacas'!I190)</f>
        <v/>
      </c>
      <c r="J190" s="86" t="str">
        <f aca="false">IF(ISNUMBER('Timeline Estacas'!J190),'Timeline Estacas'!J190,"")</f>
        <v/>
      </c>
      <c r="K190" s="88" t="str">
        <f aca="false">IF('Timeline Estacas'!K190="","",'Timeline Estacas'!K190)</f>
        <v/>
      </c>
      <c r="L190" s="88" t="str">
        <f aca="false">IF('Timeline Estacas'!L190="","",'Timeline Estacas'!L190)</f>
        <v/>
      </c>
      <c r="M190" s="88" t="str">
        <f aca="false">IF('Timeline Estacas'!M190="","",'Timeline Estacas'!M190)</f>
        <v/>
      </c>
      <c r="N190" s="89" t="str">
        <f aca="false">IF('Timeline Estacas'!N190="","",'Timeline Estacas'!N190)</f>
        <v/>
      </c>
      <c r="O190" s="90" t="str">
        <f aca="false">IF(ISNUMBER('Timeline Estacas'!O190),'Timeline Estacas'!O190,"")</f>
        <v/>
      </c>
      <c r="P190" s="91" t="n">
        <f aca="false">IF($Q190&gt;0,1,0)</f>
        <v>0</v>
      </c>
      <c r="Q190" s="91" t="n">
        <f aca="false">IF($F190="",0,1)+IF($H190="",0,1)</f>
        <v>0</v>
      </c>
      <c r="R190" s="91" t="n">
        <f aca="false">IF($N190="",0,1)</f>
        <v>0</v>
      </c>
      <c r="S190" s="91" t="n">
        <f aca="false">IF($F190="",0,1)</f>
        <v>0</v>
      </c>
      <c r="T190" s="91" t="n">
        <f aca="false">IF($H190="",0,1)</f>
        <v>0</v>
      </c>
      <c r="U190" s="91" t="n">
        <f aca="false">IF($J190="",0,1)</f>
        <v>0</v>
      </c>
      <c r="V190" s="91" t="n">
        <f aca="true">IF($J190="",0,IF($J190&lt;=TODAY(),1,0))</f>
        <v>0</v>
      </c>
      <c r="W190" s="92" t="n">
        <f aca="false">IF($O190="",0,$O190)</f>
        <v>0</v>
      </c>
      <c r="X190" s="91" t="str">
        <f aca="false">IF($R190=1,SUM($R$2:$R190),"")</f>
        <v/>
      </c>
      <c r="Y190" s="91" t="n">
        <f aca="false">IF($F190="",0,IF(COUNTIF($F$2:$F190,$F190)+COUNTIF($H$2:$H190,$F190)&gt;1,1,0))+IF($H190="",0,IF(COUNTIF($F$2:$F190,$H190)+COUNTIF($H$2:$H190,$H190)&gt;1,1,0))</f>
        <v>0</v>
      </c>
      <c r="Z190" s="91" t="n">
        <f aca="false">IF($Q190=0,0,IF(COUNTIFS($A$2:$A190,$A190,$Q$2:$Q190,"&gt;0")=1,1,0))</f>
        <v>0</v>
      </c>
      <c r="AA190" s="93" t="str">
        <f aca="false">IF($Q190&gt;0,$A190,"")</f>
        <v/>
      </c>
      <c r="AB190" s="91" t="n">
        <f aca="false">IF($K190="",0,1)</f>
        <v>0</v>
      </c>
      <c r="AC190" s="91" t="n">
        <f aca="false">IF($L190="",0,1)</f>
        <v>0</v>
      </c>
      <c r="AD190" s="91" t="n">
        <f aca="false">IF($M190="",0,1)</f>
        <v>0</v>
      </c>
      <c r="AE190" s="91" t="str">
        <f aca="false">IF($Q190&gt;0,$D190,"")</f>
        <v/>
      </c>
      <c r="AF190" s="1"/>
      <c r="AG190" s="1"/>
      <c r="AH190" s="1"/>
      <c r="AI190" s="1"/>
      <c r="AJ190" s="1"/>
      <c r="AK190" s="1"/>
      <c r="AL190" s="1"/>
      <c r="AM190" s="1"/>
      <c r="AN190" s="1"/>
    </row>
    <row r="191" customFormat="false" ht="18" hidden="false" customHeight="true" outlineLevel="0" collapsed="false">
      <c r="A191" s="86" t="n">
        <f aca="false">IF(ISNUMBER('Timeline Estacas'!A191),'Timeline Estacas'!A191,"")</f>
        <v>46335</v>
      </c>
      <c r="B191" s="87" t="n">
        <f aca="false">IF($A191="","",$A191)</f>
        <v>46335</v>
      </c>
      <c r="C191" s="88" t="n">
        <f aca="false">IF(ISNUMBER('Timeline Estacas'!C191),'Timeline Estacas'!C191,"")</f>
        <v>374</v>
      </c>
      <c r="D191" s="88" t="n">
        <f aca="false">IF(ISNUMBER('Timeline Estacas'!D191),'Timeline Estacas'!D191,"")</f>
        <v>54</v>
      </c>
      <c r="E191" s="88" t="str">
        <f aca="false">IF($D191="","","S-"&amp;TEXT($D191,"00"))</f>
        <v>S-54</v>
      </c>
      <c r="F191" s="88" t="str">
        <f aca="false">IF(ISNUMBER('Timeline Estacas'!F191),'Timeline Estacas'!F191,"")</f>
        <v/>
      </c>
      <c r="G191" s="88" t="str">
        <f aca="false">IF($F191="","",IF('Timeline Estacas'!G191&lt;&gt;"",'Timeline Estacas'!G191,'Timeline Estacas'!I191))</f>
        <v/>
      </c>
      <c r="H191" s="88" t="str">
        <f aca="false">IF(ISNUMBER('Timeline Estacas'!H191),'Timeline Estacas'!H191,"")</f>
        <v/>
      </c>
      <c r="I191" s="88" t="str">
        <f aca="false">IF($H191="","",'Timeline Estacas'!I191)</f>
        <v/>
      </c>
      <c r="J191" s="86" t="str">
        <f aca="false">IF(ISNUMBER('Timeline Estacas'!J191),'Timeline Estacas'!J191,"")</f>
        <v/>
      </c>
      <c r="K191" s="88" t="str">
        <f aca="false">IF('Timeline Estacas'!K191="","",'Timeline Estacas'!K191)</f>
        <v/>
      </c>
      <c r="L191" s="88" t="str">
        <f aca="false">IF('Timeline Estacas'!L191="","",'Timeline Estacas'!L191)</f>
        <v/>
      </c>
      <c r="M191" s="88" t="str">
        <f aca="false">IF('Timeline Estacas'!M191="","",'Timeline Estacas'!M191)</f>
        <v/>
      </c>
      <c r="N191" s="89" t="str">
        <f aca="false">IF('Timeline Estacas'!N191="","",'Timeline Estacas'!N191)</f>
        <v/>
      </c>
      <c r="O191" s="90" t="str">
        <f aca="false">IF(ISNUMBER('Timeline Estacas'!O191),'Timeline Estacas'!O191,"")</f>
        <v/>
      </c>
      <c r="P191" s="91" t="n">
        <f aca="false">IF($Q191&gt;0,1,0)</f>
        <v>0</v>
      </c>
      <c r="Q191" s="91" t="n">
        <f aca="false">IF($F191="",0,1)+IF($H191="",0,1)</f>
        <v>0</v>
      </c>
      <c r="R191" s="91" t="n">
        <f aca="false">IF($N191="",0,1)</f>
        <v>0</v>
      </c>
      <c r="S191" s="91" t="n">
        <f aca="false">IF($F191="",0,1)</f>
        <v>0</v>
      </c>
      <c r="T191" s="91" t="n">
        <f aca="false">IF($H191="",0,1)</f>
        <v>0</v>
      </c>
      <c r="U191" s="91" t="n">
        <f aca="false">IF($J191="",0,1)</f>
        <v>0</v>
      </c>
      <c r="V191" s="91" t="n">
        <f aca="true">IF($J191="",0,IF($J191&lt;=TODAY(),1,0))</f>
        <v>0</v>
      </c>
      <c r="W191" s="92" t="n">
        <f aca="false">IF($O191="",0,$O191)</f>
        <v>0</v>
      </c>
      <c r="X191" s="91" t="str">
        <f aca="false">IF($R191=1,SUM($R$2:$R191),"")</f>
        <v/>
      </c>
      <c r="Y191" s="91" t="n">
        <f aca="false">IF($F191="",0,IF(COUNTIF($F$2:$F191,$F191)+COUNTIF($H$2:$H191,$F191)&gt;1,1,0))+IF($H191="",0,IF(COUNTIF($F$2:$F191,$H191)+COUNTIF($H$2:$H191,$H191)&gt;1,1,0))</f>
        <v>0</v>
      </c>
      <c r="Z191" s="91" t="n">
        <f aca="false">IF($Q191=0,0,IF(COUNTIFS($A$2:$A191,$A191,$Q$2:$Q191,"&gt;0")=1,1,0))</f>
        <v>0</v>
      </c>
      <c r="AA191" s="93" t="str">
        <f aca="false">IF($Q191&gt;0,$A191,"")</f>
        <v/>
      </c>
      <c r="AB191" s="91" t="n">
        <f aca="false">IF($K191="",0,1)</f>
        <v>0</v>
      </c>
      <c r="AC191" s="91" t="n">
        <f aca="false">IF($L191="",0,1)</f>
        <v>0</v>
      </c>
      <c r="AD191" s="91" t="n">
        <f aca="false">IF($M191="",0,1)</f>
        <v>0</v>
      </c>
      <c r="AE191" s="91" t="str">
        <f aca="false">IF($Q191&gt;0,$D191,"")</f>
        <v/>
      </c>
      <c r="AF191" s="1"/>
      <c r="AG191" s="1"/>
      <c r="AH191" s="1"/>
      <c r="AI191" s="1"/>
      <c r="AJ191" s="1"/>
      <c r="AK191" s="1"/>
      <c r="AL191" s="1"/>
      <c r="AM191" s="1"/>
      <c r="AN191" s="1"/>
    </row>
    <row r="192" customFormat="false" ht="18" hidden="false" customHeight="true" outlineLevel="0" collapsed="false">
      <c r="A192" s="86" t="n">
        <f aca="false">IF(ISNUMBER('Timeline Estacas'!A192),'Timeline Estacas'!A192,"")</f>
        <v>46336</v>
      </c>
      <c r="B192" s="87" t="n">
        <f aca="false">IF($A192="","",$A192)</f>
        <v>46336</v>
      </c>
      <c r="C192" s="88" t="n">
        <f aca="false">IF(ISNUMBER('Timeline Estacas'!C192),'Timeline Estacas'!C192,"")</f>
        <v>375</v>
      </c>
      <c r="D192" s="88" t="n">
        <f aca="false">IF(ISNUMBER('Timeline Estacas'!D192),'Timeline Estacas'!D192,"")</f>
        <v>54</v>
      </c>
      <c r="E192" s="88" t="str">
        <f aca="false">IF($D192="","","S-"&amp;TEXT($D192,"00"))</f>
        <v>S-54</v>
      </c>
      <c r="F192" s="88" t="str">
        <f aca="false">IF(ISNUMBER('Timeline Estacas'!F192),'Timeline Estacas'!F192,"")</f>
        <v/>
      </c>
      <c r="G192" s="88" t="str">
        <f aca="false">IF($F192="","",IF('Timeline Estacas'!G192&lt;&gt;"",'Timeline Estacas'!G192,'Timeline Estacas'!I192))</f>
        <v/>
      </c>
      <c r="H192" s="88" t="str">
        <f aca="false">IF(ISNUMBER('Timeline Estacas'!H192),'Timeline Estacas'!H192,"")</f>
        <v/>
      </c>
      <c r="I192" s="88" t="str">
        <f aca="false">IF($H192="","",'Timeline Estacas'!I192)</f>
        <v/>
      </c>
      <c r="J192" s="86" t="str">
        <f aca="false">IF(ISNUMBER('Timeline Estacas'!J192),'Timeline Estacas'!J192,"")</f>
        <v/>
      </c>
      <c r="K192" s="88" t="str">
        <f aca="false">IF('Timeline Estacas'!K192="","",'Timeline Estacas'!K192)</f>
        <v/>
      </c>
      <c r="L192" s="88" t="str">
        <f aca="false">IF('Timeline Estacas'!L192="","",'Timeline Estacas'!L192)</f>
        <v/>
      </c>
      <c r="M192" s="88" t="str">
        <f aca="false">IF('Timeline Estacas'!M192="","",'Timeline Estacas'!M192)</f>
        <v/>
      </c>
      <c r="N192" s="89" t="str">
        <f aca="false">IF('Timeline Estacas'!N192="","",'Timeline Estacas'!N192)</f>
        <v/>
      </c>
      <c r="O192" s="90" t="str">
        <f aca="false">IF(ISNUMBER('Timeline Estacas'!O192),'Timeline Estacas'!O192,"")</f>
        <v/>
      </c>
      <c r="P192" s="91" t="n">
        <f aca="false">IF($Q192&gt;0,1,0)</f>
        <v>0</v>
      </c>
      <c r="Q192" s="91" t="n">
        <f aca="false">IF($F192="",0,1)+IF($H192="",0,1)</f>
        <v>0</v>
      </c>
      <c r="R192" s="91" t="n">
        <f aca="false">IF($N192="",0,1)</f>
        <v>0</v>
      </c>
      <c r="S192" s="91" t="n">
        <f aca="false">IF($F192="",0,1)</f>
        <v>0</v>
      </c>
      <c r="T192" s="91" t="n">
        <f aca="false">IF($H192="",0,1)</f>
        <v>0</v>
      </c>
      <c r="U192" s="91" t="n">
        <f aca="false">IF($J192="",0,1)</f>
        <v>0</v>
      </c>
      <c r="V192" s="91" t="n">
        <f aca="true">IF($J192="",0,IF($J192&lt;=TODAY(),1,0))</f>
        <v>0</v>
      </c>
      <c r="W192" s="92" t="n">
        <f aca="false">IF($O192="",0,$O192)</f>
        <v>0</v>
      </c>
      <c r="X192" s="91" t="str">
        <f aca="false">IF($R192=1,SUM($R$2:$R192),"")</f>
        <v/>
      </c>
      <c r="Y192" s="91" t="n">
        <f aca="false">IF($F192="",0,IF(COUNTIF($F$2:$F192,$F192)+COUNTIF($H$2:$H192,$F192)&gt;1,1,0))+IF($H192="",0,IF(COUNTIF($F$2:$F192,$H192)+COUNTIF($H$2:$H192,$H192)&gt;1,1,0))</f>
        <v>0</v>
      </c>
      <c r="Z192" s="91" t="n">
        <f aca="false">IF($Q192=0,0,IF(COUNTIFS($A$2:$A192,$A192,$Q$2:$Q192,"&gt;0")=1,1,0))</f>
        <v>0</v>
      </c>
      <c r="AA192" s="93" t="str">
        <f aca="false">IF($Q192&gt;0,$A192,"")</f>
        <v/>
      </c>
      <c r="AB192" s="91" t="n">
        <f aca="false">IF($K192="",0,1)</f>
        <v>0</v>
      </c>
      <c r="AC192" s="91" t="n">
        <f aca="false">IF($L192="",0,1)</f>
        <v>0</v>
      </c>
      <c r="AD192" s="91" t="n">
        <f aca="false">IF($M192="",0,1)</f>
        <v>0</v>
      </c>
      <c r="AE192" s="91" t="str">
        <f aca="false">IF($Q192&gt;0,$D192,"")</f>
        <v/>
      </c>
      <c r="AF192" s="1"/>
      <c r="AG192" s="1"/>
      <c r="AH192" s="1"/>
      <c r="AI192" s="1"/>
      <c r="AJ192" s="1"/>
      <c r="AK192" s="1"/>
      <c r="AL192" s="1"/>
      <c r="AM192" s="1"/>
      <c r="AN192" s="1"/>
    </row>
    <row r="193" customFormat="false" ht="18" hidden="false" customHeight="true" outlineLevel="0" collapsed="false">
      <c r="A193" s="86" t="n">
        <f aca="false">IF(ISNUMBER('Timeline Estacas'!A193),'Timeline Estacas'!A193,"")</f>
        <v>46337</v>
      </c>
      <c r="B193" s="87" t="n">
        <f aca="false">IF($A193="","",$A193)</f>
        <v>46337</v>
      </c>
      <c r="C193" s="88" t="n">
        <f aca="false">IF(ISNUMBER('Timeline Estacas'!C193),'Timeline Estacas'!C193,"")</f>
        <v>376</v>
      </c>
      <c r="D193" s="88" t="n">
        <f aca="false">IF(ISNUMBER('Timeline Estacas'!D193),'Timeline Estacas'!D193,"")</f>
        <v>54</v>
      </c>
      <c r="E193" s="88" t="str">
        <f aca="false">IF($D193="","","S-"&amp;TEXT($D193,"00"))</f>
        <v>S-54</v>
      </c>
      <c r="F193" s="88" t="str">
        <f aca="false">IF(ISNUMBER('Timeline Estacas'!F193),'Timeline Estacas'!F193,"")</f>
        <v/>
      </c>
      <c r="G193" s="88" t="str">
        <f aca="false">IF($F193="","",IF('Timeline Estacas'!G193&lt;&gt;"",'Timeline Estacas'!G193,'Timeline Estacas'!I193))</f>
        <v/>
      </c>
      <c r="H193" s="88" t="str">
        <f aca="false">IF(ISNUMBER('Timeline Estacas'!H193),'Timeline Estacas'!H193,"")</f>
        <v/>
      </c>
      <c r="I193" s="88" t="str">
        <f aca="false">IF($H193="","",'Timeline Estacas'!I193)</f>
        <v/>
      </c>
      <c r="J193" s="86" t="str">
        <f aca="false">IF(ISNUMBER('Timeline Estacas'!J193),'Timeline Estacas'!J193,"")</f>
        <v/>
      </c>
      <c r="K193" s="88" t="str">
        <f aca="false">IF('Timeline Estacas'!K193="","",'Timeline Estacas'!K193)</f>
        <v/>
      </c>
      <c r="L193" s="88" t="str">
        <f aca="false">IF('Timeline Estacas'!L193="","",'Timeline Estacas'!L193)</f>
        <v/>
      </c>
      <c r="M193" s="88" t="str">
        <f aca="false">IF('Timeline Estacas'!M193="","",'Timeline Estacas'!M193)</f>
        <v/>
      </c>
      <c r="N193" s="89" t="str">
        <f aca="false">IF('Timeline Estacas'!N193="","",'Timeline Estacas'!N193)</f>
        <v/>
      </c>
      <c r="O193" s="90" t="str">
        <f aca="false">IF(ISNUMBER('Timeline Estacas'!O193),'Timeline Estacas'!O193,"")</f>
        <v/>
      </c>
      <c r="P193" s="91" t="n">
        <f aca="false">IF($Q193&gt;0,1,0)</f>
        <v>0</v>
      </c>
      <c r="Q193" s="91" t="n">
        <f aca="false">IF($F193="",0,1)+IF($H193="",0,1)</f>
        <v>0</v>
      </c>
      <c r="R193" s="91" t="n">
        <f aca="false">IF($N193="",0,1)</f>
        <v>0</v>
      </c>
      <c r="S193" s="91" t="n">
        <f aca="false">IF($F193="",0,1)</f>
        <v>0</v>
      </c>
      <c r="T193" s="91" t="n">
        <f aca="false">IF($H193="",0,1)</f>
        <v>0</v>
      </c>
      <c r="U193" s="91" t="n">
        <f aca="false">IF($J193="",0,1)</f>
        <v>0</v>
      </c>
      <c r="V193" s="91" t="n">
        <f aca="true">IF($J193="",0,IF($J193&lt;=TODAY(),1,0))</f>
        <v>0</v>
      </c>
      <c r="W193" s="92" t="n">
        <f aca="false">IF($O193="",0,$O193)</f>
        <v>0</v>
      </c>
      <c r="X193" s="91" t="str">
        <f aca="false">IF($R193=1,SUM($R$2:$R193),"")</f>
        <v/>
      </c>
      <c r="Y193" s="91" t="n">
        <f aca="false">IF($F193="",0,IF(COUNTIF($F$2:$F193,$F193)+COUNTIF($H$2:$H193,$F193)&gt;1,1,0))+IF($H193="",0,IF(COUNTIF($F$2:$F193,$H193)+COUNTIF($H$2:$H193,$H193)&gt;1,1,0))</f>
        <v>0</v>
      </c>
      <c r="Z193" s="91" t="n">
        <f aca="false">IF($Q193=0,0,IF(COUNTIFS($A$2:$A193,$A193,$Q$2:$Q193,"&gt;0")=1,1,0))</f>
        <v>0</v>
      </c>
      <c r="AA193" s="93" t="str">
        <f aca="false">IF($Q193&gt;0,$A193,"")</f>
        <v/>
      </c>
      <c r="AB193" s="91" t="n">
        <f aca="false">IF($K193="",0,1)</f>
        <v>0</v>
      </c>
      <c r="AC193" s="91" t="n">
        <f aca="false">IF($L193="",0,1)</f>
        <v>0</v>
      </c>
      <c r="AD193" s="91" t="n">
        <f aca="false">IF($M193="",0,1)</f>
        <v>0</v>
      </c>
      <c r="AE193" s="91" t="str">
        <f aca="false">IF($Q193&gt;0,$D193,"")</f>
        <v/>
      </c>
      <c r="AF193" s="1"/>
      <c r="AG193" s="1"/>
      <c r="AH193" s="1"/>
      <c r="AI193" s="1"/>
      <c r="AJ193" s="1"/>
      <c r="AK193" s="1"/>
      <c r="AL193" s="1"/>
      <c r="AM193" s="1"/>
      <c r="AN193" s="1"/>
    </row>
    <row r="194" customFormat="false" ht="18" hidden="false" customHeight="true" outlineLevel="0" collapsed="false">
      <c r="A194" s="86" t="n">
        <f aca="false">IF(ISNUMBER('Timeline Estacas'!A194),'Timeline Estacas'!A194,"")</f>
        <v>46338</v>
      </c>
      <c r="B194" s="87" t="n">
        <f aca="false">IF($A194="","",$A194)</f>
        <v>46338</v>
      </c>
      <c r="C194" s="88" t="n">
        <f aca="false">IF(ISNUMBER('Timeline Estacas'!C194),'Timeline Estacas'!C194,"")</f>
        <v>377</v>
      </c>
      <c r="D194" s="88" t="n">
        <f aca="false">IF(ISNUMBER('Timeline Estacas'!D194),'Timeline Estacas'!D194,"")</f>
        <v>54</v>
      </c>
      <c r="E194" s="88" t="str">
        <f aca="false">IF($D194="","","S-"&amp;TEXT($D194,"00"))</f>
        <v>S-54</v>
      </c>
      <c r="F194" s="88" t="str">
        <f aca="false">IF(ISNUMBER('Timeline Estacas'!F194),'Timeline Estacas'!F194,"")</f>
        <v/>
      </c>
      <c r="G194" s="88" t="str">
        <f aca="false">IF($F194="","",IF('Timeline Estacas'!G194&lt;&gt;"",'Timeline Estacas'!G194,'Timeline Estacas'!I194))</f>
        <v/>
      </c>
      <c r="H194" s="88" t="str">
        <f aca="false">IF(ISNUMBER('Timeline Estacas'!H194),'Timeline Estacas'!H194,"")</f>
        <v/>
      </c>
      <c r="I194" s="88" t="str">
        <f aca="false">IF($H194="","",'Timeline Estacas'!I194)</f>
        <v/>
      </c>
      <c r="J194" s="86" t="str">
        <f aca="false">IF(ISNUMBER('Timeline Estacas'!J194),'Timeline Estacas'!J194,"")</f>
        <v/>
      </c>
      <c r="K194" s="88" t="str">
        <f aca="false">IF('Timeline Estacas'!K194="","",'Timeline Estacas'!K194)</f>
        <v/>
      </c>
      <c r="L194" s="88" t="str">
        <f aca="false">IF('Timeline Estacas'!L194="","",'Timeline Estacas'!L194)</f>
        <v/>
      </c>
      <c r="M194" s="88" t="str">
        <f aca="false">IF('Timeline Estacas'!M194="","",'Timeline Estacas'!M194)</f>
        <v/>
      </c>
      <c r="N194" s="89" t="str">
        <f aca="false">IF('Timeline Estacas'!N194="","",'Timeline Estacas'!N194)</f>
        <v/>
      </c>
      <c r="O194" s="90" t="str">
        <f aca="false">IF(ISNUMBER('Timeline Estacas'!O194),'Timeline Estacas'!O194,"")</f>
        <v/>
      </c>
      <c r="P194" s="91" t="n">
        <f aca="false">IF($Q194&gt;0,1,0)</f>
        <v>0</v>
      </c>
      <c r="Q194" s="91" t="n">
        <f aca="false">IF($F194="",0,1)+IF($H194="",0,1)</f>
        <v>0</v>
      </c>
      <c r="R194" s="91" t="n">
        <f aca="false">IF($N194="",0,1)</f>
        <v>0</v>
      </c>
      <c r="S194" s="91" t="n">
        <f aca="false">IF($F194="",0,1)</f>
        <v>0</v>
      </c>
      <c r="T194" s="91" t="n">
        <f aca="false">IF($H194="",0,1)</f>
        <v>0</v>
      </c>
      <c r="U194" s="91" t="n">
        <f aca="false">IF($J194="",0,1)</f>
        <v>0</v>
      </c>
      <c r="V194" s="91" t="n">
        <f aca="true">IF($J194="",0,IF($J194&lt;=TODAY(),1,0))</f>
        <v>0</v>
      </c>
      <c r="W194" s="92" t="n">
        <f aca="false">IF($O194="",0,$O194)</f>
        <v>0</v>
      </c>
      <c r="X194" s="91" t="str">
        <f aca="false">IF($R194=1,SUM($R$2:$R194),"")</f>
        <v/>
      </c>
      <c r="Y194" s="91" t="n">
        <f aca="false">IF($F194="",0,IF(COUNTIF($F$2:$F194,$F194)+COUNTIF($H$2:$H194,$F194)&gt;1,1,0))+IF($H194="",0,IF(COUNTIF($F$2:$F194,$H194)+COUNTIF($H$2:$H194,$H194)&gt;1,1,0))</f>
        <v>0</v>
      </c>
      <c r="Z194" s="91" t="n">
        <f aca="false">IF($Q194=0,0,IF(COUNTIFS($A$2:$A194,$A194,$Q$2:$Q194,"&gt;0")=1,1,0))</f>
        <v>0</v>
      </c>
      <c r="AA194" s="93" t="str">
        <f aca="false">IF($Q194&gt;0,$A194,"")</f>
        <v/>
      </c>
      <c r="AB194" s="91" t="n">
        <f aca="false">IF($K194="",0,1)</f>
        <v>0</v>
      </c>
      <c r="AC194" s="91" t="n">
        <f aca="false">IF($L194="",0,1)</f>
        <v>0</v>
      </c>
      <c r="AD194" s="91" t="n">
        <f aca="false">IF($M194="",0,1)</f>
        <v>0</v>
      </c>
      <c r="AE194" s="91" t="str">
        <f aca="false">IF($Q194&gt;0,$D194,"")</f>
        <v/>
      </c>
      <c r="AF194" s="1"/>
      <c r="AG194" s="1"/>
      <c r="AH194" s="1"/>
      <c r="AI194" s="1"/>
      <c r="AJ194" s="1"/>
      <c r="AK194" s="1"/>
      <c r="AL194" s="1"/>
      <c r="AM194" s="1"/>
      <c r="AN194" s="1"/>
    </row>
    <row r="195" customFormat="false" ht="18" hidden="false" customHeight="true" outlineLevel="0" collapsed="false">
      <c r="A195" s="86" t="n">
        <f aca="false">IF(ISNUMBER('Timeline Estacas'!A195),'Timeline Estacas'!A195,"")</f>
        <v>46339</v>
      </c>
      <c r="B195" s="87" t="n">
        <f aca="false">IF($A195="","",$A195)</f>
        <v>46339</v>
      </c>
      <c r="C195" s="88" t="n">
        <f aca="false">IF(ISNUMBER('Timeline Estacas'!C195),'Timeline Estacas'!C195,"")</f>
        <v>378</v>
      </c>
      <c r="D195" s="88" t="n">
        <f aca="false">IF(ISNUMBER('Timeline Estacas'!D195),'Timeline Estacas'!D195,"")</f>
        <v>55</v>
      </c>
      <c r="E195" s="88" t="str">
        <f aca="false">IF($D195="","","S-"&amp;TEXT($D195,"00"))</f>
        <v>S-55</v>
      </c>
      <c r="F195" s="88" t="str">
        <f aca="false">IF(ISNUMBER('Timeline Estacas'!F195),'Timeline Estacas'!F195,"")</f>
        <v/>
      </c>
      <c r="G195" s="88" t="str">
        <f aca="false">IF($F195="","",IF('Timeline Estacas'!G195&lt;&gt;"",'Timeline Estacas'!G195,'Timeline Estacas'!I195))</f>
        <v/>
      </c>
      <c r="H195" s="88" t="str">
        <f aca="false">IF(ISNUMBER('Timeline Estacas'!H195),'Timeline Estacas'!H195,"")</f>
        <v/>
      </c>
      <c r="I195" s="88" t="str">
        <f aca="false">IF($H195="","",'Timeline Estacas'!I195)</f>
        <v/>
      </c>
      <c r="J195" s="86" t="str">
        <f aca="false">IF(ISNUMBER('Timeline Estacas'!J195),'Timeline Estacas'!J195,"")</f>
        <v/>
      </c>
      <c r="K195" s="88" t="str">
        <f aca="false">IF('Timeline Estacas'!K195="","",'Timeline Estacas'!K195)</f>
        <v/>
      </c>
      <c r="L195" s="88" t="str">
        <f aca="false">IF('Timeline Estacas'!L195="","",'Timeline Estacas'!L195)</f>
        <v/>
      </c>
      <c r="M195" s="88" t="str">
        <f aca="false">IF('Timeline Estacas'!M195="","",'Timeline Estacas'!M195)</f>
        <v/>
      </c>
      <c r="N195" s="89" t="str">
        <f aca="false">IF('Timeline Estacas'!N195="","",'Timeline Estacas'!N195)</f>
        <v/>
      </c>
      <c r="O195" s="90" t="str">
        <f aca="false">IF(ISNUMBER('Timeline Estacas'!O195),'Timeline Estacas'!O195,"")</f>
        <v/>
      </c>
      <c r="P195" s="91" t="n">
        <f aca="false">IF($Q195&gt;0,1,0)</f>
        <v>0</v>
      </c>
      <c r="Q195" s="91" t="n">
        <f aca="false">IF($F195="",0,1)+IF($H195="",0,1)</f>
        <v>0</v>
      </c>
      <c r="R195" s="91" t="n">
        <f aca="false">IF($N195="",0,1)</f>
        <v>0</v>
      </c>
      <c r="S195" s="91" t="n">
        <f aca="false">IF($F195="",0,1)</f>
        <v>0</v>
      </c>
      <c r="T195" s="91" t="n">
        <f aca="false">IF($H195="",0,1)</f>
        <v>0</v>
      </c>
      <c r="U195" s="91" t="n">
        <f aca="false">IF($J195="",0,1)</f>
        <v>0</v>
      </c>
      <c r="V195" s="91" t="n">
        <f aca="true">IF($J195="",0,IF($J195&lt;=TODAY(),1,0))</f>
        <v>0</v>
      </c>
      <c r="W195" s="92" t="n">
        <f aca="false">IF($O195="",0,$O195)</f>
        <v>0</v>
      </c>
      <c r="X195" s="91" t="str">
        <f aca="false">IF($R195=1,SUM($R$2:$R195),"")</f>
        <v/>
      </c>
      <c r="Y195" s="91" t="n">
        <f aca="false">IF($F195="",0,IF(COUNTIF($F$2:$F195,$F195)+COUNTIF($H$2:$H195,$F195)&gt;1,1,0))+IF($H195="",0,IF(COUNTIF($F$2:$F195,$H195)+COUNTIF($H$2:$H195,$H195)&gt;1,1,0))</f>
        <v>0</v>
      </c>
      <c r="Z195" s="91" t="n">
        <f aca="false">IF($Q195=0,0,IF(COUNTIFS($A$2:$A195,$A195,$Q$2:$Q195,"&gt;0")=1,1,0))</f>
        <v>0</v>
      </c>
      <c r="AA195" s="93" t="str">
        <f aca="false">IF($Q195&gt;0,$A195,"")</f>
        <v/>
      </c>
      <c r="AB195" s="91" t="n">
        <f aca="false">IF($K195="",0,1)</f>
        <v>0</v>
      </c>
      <c r="AC195" s="91" t="n">
        <f aca="false">IF($L195="",0,1)</f>
        <v>0</v>
      </c>
      <c r="AD195" s="91" t="n">
        <f aca="false">IF($M195="",0,1)</f>
        <v>0</v>
      </c>
      <c r="AE195" s="91" t="str">
        <f aca="false">IF($Q195&gt;0,$D195,"")</f>
        <v/>
      </c>
      <c r="AF195" s="1"/>
      <c r="AG195" s="1"/>
      <c r="AH195" s="1"/>
      <c r="AI195" s="1"/>
      <c r="AJ195" s="1"/>
      <c r="AK195" s="1"/>
      <c r="AL195" s="1"/>
      <c r="AM195" s="1"/>
      <c r="AN195" s="1"/>
    </row>
    <row r="196" customFormat="false" ht="18" hidden="false" customHeight="true" outlineLevel="0" collapsed="false">
      <c r="A196" s="86" t="n">
        <f aca="false">IF(ISNUMBER('Timeline Estacas'!A196),'Timeline Estacas'!A196,"")</f>
        <v>46340</v>
      </c>
      <c r="B196" s="87" t="n">
        <f aca="false">IF($A196="","",$A196)</f>
        <v>46340</v>
      </c>
      <c r="C196" s="88" t="n">
        <f aca="false">IF(ISNUMBER('Timeline Estacas'!C196),'Timeline Estacas'!C196,"")</f>
        <v>379</v>
      </c>
      <c r="D196" s="88" t="n">
        <f aca="false">IF(ISNUMBER('Timeline Estacas'!D196),'Timeline Estacas'!D196,"")</f>
        <v>55</v>
      </c>
      <c r="E196" s="88" t="str">
        <f aca="false">IF($D196="","","S-"&amp;TEXT($D196,"00"))</f>
        <v>S-55</v>
      </c>
      <c r="F196" s="88" t="str">
        <f aca="false">IF(ISNUMBER('Timeline Estacas'!F196),'Timeline Estacas'!F196,"")</f>
        <v/>
      </c>
      <c r="G196" s="88" t="str">
        <f aca="false">IF($F196="","",IF('Timeline Estacas'!G196&lt;&gt;"",'Timeline Estacas'!G196,'Timeline Estacas'!I196))</f>
        <v/>
      </c>
      <c r="H196" s="88" t="str">
        <f aca="false">IF(ISNUMBER('Timeline Estacas'!H196),'Timeline Estacas'!H196,"")</f>
        <v/>
      </c>
      <c r="I196" s="88" t="str">
        <f aca="false">IF($H196="","",'Timeline Estacas'!I196)</f>
        <v/>
      </c>
      <c r="J196" s="86" t="str">
        <f aca="false">IF(ISNUMBER('Timeline Estacas'!J196),'Timeline Estacas'!J196,"")</f>
        <v/>
      </c>
      <c r="K196" s="88" t="str">
        <f aca="false">IF('Timeline Estacas'!K196="","",'Timeline Estacas'!K196)</f>
        <v/>
      </c>
      <c r="L196" s="88" t="str">
        <f aca="false">IF('Timeline Estacas'!L196="","",'Timeline Estacas'!L196)</f>
        <v/>
      </c>
      <c r="M196" s="88" t="str">
        <f aca="false">IF('Timeline Estacas'!M196="","",'Timeline Estacas'!M196)</f>
        <v/>
      </c>
      <c r="N196" s="89" t="str">
        <f aca="false">IF('Timeline Estacas'!N196="","",'Timeline Estacas'!N196)</f>
        <v/>
      </c>
      <c r="O196" s="90" t="str">
        <f aca="false">IF(ISNUMBER('Timeline Estacas'!O196),'Timeline Estacas'!O196,"")</f>
        <v/>
      </c>
      <c r="P196" s="91" t="n">
        <f aca="false">IF($Q196&gt;0,1,0)</f>
        <v>0</v>
      </c>
      <c r="Q196" s="91" t="n">
        <f aca="false">IF($F196="",0,1)+IF($H196="",0,1)</f>
        <v>0</v>
      </c>
      <c r="R196" s="91" t="n">
        <f aca="false">IF($N196="",0,1)</f>
        <v>0</v>
      </c>
      <c r="S196" s="91" t="n">
        <f aca="false">IF($F196="",0,1)</f>
        <v>0</v>
      </c>
      <c r="T196" s="91" t="n">
        <f aca="false">IF($H196="",0,1)</f>
        <v>0</v>
      </c>
      <c r="U196" s="91" t="n">
        <f aca="false">IF($J196="",0,1)</f>
        <v>0</v>
      </c>
      <c r="V196" s="91" t="n">
        <f aca="true">IF($J196="",0,IF($J196&lt;=TODAY(),1,0))</f>
        <v>0</v>
      </c>
      <c r="W196" s="92" t="n">
        <f aca="false">IF($O196="",0,$O196)</f>
        <v>0</v>
      </c>
      <c r="X196" s="91" t="str">
        <f aca="false">IF($R196=1,SUM($R$2:$R196),"")</f>
        <v/>
      </c>
      <c r="Y196" s="91" t="n">
        <f aca="false">IF($F196="",0,IF(COUNTIF($F$2:$F196,$F196)+COUNTIF($H$2:$H196,$F196)&gt;1,1,0))+IF($H196="",0,IF(COUNTIF($F$2:$F196,$H196)+COUNTIF($H$2:$H196,$H196)&gt;1,1,0))</f>
        <v>0</v>
      </c>
      <c r="Z196" s="91" t="n">
        <f aca="false">IF($Q196=0,0,IF(COUNTIFS($A$2:$A196,$A196,$Q$2:$Q196,"&gt;0")=1,1,0))</f>
        <v>0</v>
      </c>
      <c r="AA196" s="93" t="str">
        <f aca="false">IF($Q196&gt;0,$A196,"")</f>
        <v/>
      </c>
      <c r="AB196" s="91" t="n">
        <f aca="false">IF($K196="",0,1)</f>
        <v>0</v>
      </c>
      <c r="AC196" s="91" t="n">
        <f aca="false">IF($L196="",0,1)</f>
        <v>0</v>
      </c>
      <c r="AD196" s="91" t="n">
        <f aca="false">IF($M196="",0,1)</f>
        <v>0</v>
      </c>
      <c r="AE196" s="91" t="str">
        <f aca="false">IF($Q196&gt;0,$D196,"")</f>
        <v/>
      </c>
      <c r="AF196" s="1"/>
      <c r="AG196" s="1"/>
      <c r="AH196" s="1"/>
      <c r="AI196" s="1"/>
      <c r="AJ196" s="1"/>
      <c r="AK196" s="1"/>
      <c r="AL196" s="1"/>
      <c r="AM196" s="1"/>
      <c r="AN196" s="1"/>
    </row>
    <row r="197" customFormat="false" ht="18" hidden="false" customHeight="true" outlineLevel="0" collapsed="false">
      <c r="A197" s="86" t="n">
        <f aca="false">IF(ISNUMBER('Timeline Estacas'!A197),'Timeline Estacas'!A197,"")</f>
        <v>46341</v>
      </c>
      <c r="B197" s="87" t="n">
        <f aca="false">IF($A197="","",$A197)</f>
        <v>46341</v>
      </c>
      <c r="C197" s="88" t="n">
        <f aca="false">IF(ISNUMBER('Timeline Estacas'!C197),'Timeline Estacas'!C197,"")</f>
        <v>380</v>
      </c>
      <c r="D197" s="88" t="n">
        <f aca="false">IF(ISNUMBER('Timeline Estacas'!D197),'Timeline Estacas'!D197,"")</f>
        <v>55</v>
      </c>
      <c r="E197" s="88" t="str">
        <f aca="false">IF($D197="","","S-"&amp;TEXT($D197,"00"))</f>
        <v>S-55</v>
      </c>
      <c r="F197" s="88" t="str">
        <f aca="false">IF(ISNUMBER('Timeline Estacas'!F197),'Timeline Estacas'!F197,"")</f>
        <v/>
      </c>
      <c r="G197" s="88" t="str">
        <f aca="false">IF($F197="","",IF('Timeline Estacas'!G197&lt;&gt;"",'Timeline Estacas'!G197,'Timeline Estacas'!I197))</f>
        <v/>
      </c>
      <c r="H197" s="88" t="str">
        <f aca="false">IF(ISNUMBER('Timeline Estacas'!H197),'Timeline Estacas'!H197,"")</f>
        <v/>
      </c>
      <c r="I197" s="88" t="str">
        <f aca="false">IF($H197="","",'Timeline Estacas'!I197)</f>
        <v/>
      </c>
      <c r="J197" s="86" t="str">
        <f aca="false">IF(ISNUMBER('Timeline Estacas'!J197),'Timeline Estacas'!J197,"")</f>
        <v/>
      </c>
      <c r="K197" s="88" t="str">
        <f aca="false">IF('Timeline Estacas'!K197="","",'Timeline Estacas'!K197)</f>
        <v/>
      </c>
      <c r="L197" s="88" t="str">
        <f aca="false">IF('Timeline Estacas'!L197="","",'Timeline Estacas'!L197)</f>
        <v/>
      </c>
      <c r="M197" s="88" t="str">
        <f aca="false">IF('Timeline Estacas'!M197="","",'Timeline Estacas'!M197)</f>
        <v/>
      </c>
      <c r="N197" s="89" t="str">
        <f aca="false">IF('Timeline Estacas'!N197="","",'Timeline Estacas'!N197)</f>
        <v/>
      </c>
      <c r="O197" s="90" t="str">
        <f aca="false">IF(ISNUMBER('Timeline Estacas'!O197),'Timeline Estacas'!O197,"")</f>
        <v/>
      </c>
      <c r="P197" s="91" t="n">
        <f aca="false">IF($Q197&gt;0,1,0)</f>
        <v>0</v>
      </c>
      <c r="Q197" s="91" t="n">
        <f aca="false">IF($F197="",0,1)+IF($H197="",0,1)</f>
        <v>0</v>
      </c>
      <c r="R197" s="91" t="n">
        <f aca="false">IF($N197="",0,1)</f>
        <v>0</v>
      </c>
      <c r="S197" s="91" t="n">
        <f aca="false">IF($F197="",0,1)</f>
        <v>0</v>
      </c>
      <c r="T197" s="91" t="n">
        <f aca="false">IF($H197="",0,1)</f>
        <v>0</v>
      </c>
      <c r="U197" s="91" t="n">
        <f aca="false">IF($J197="",0,1)</f>
        <v>0</v>
      </c>
      <c r="V197" s="91" t="n">
        <f aca="true">IF($J197="",0,IF($J197&lt;=TODAY(),1,0))</f>
        <v>0</v>
      </c>
      <c r="W197" s="92" t="n">
        <f aca="false">IF($O197="",0,$O197)</f>
        <v>0</v>
      </c>
      <c r="X197" s="91" t="str">
        <f aca="false">IF($R197=1,SUM($R$2:$R197),"")</f>
        <v/>
      </c>
      <c r="Y197" s="91" t="n">
        <f aca="false">IF($F197="",0,IF(COUNTIF($F$2:$F197,$F197)+COUNTIF($H$2:$H197,$F197)&gt;1,1,0))+IF($H197="",0,IF(COUNTIF($F$2:$F197,$H197)+COUNTIF($H$2:$H197,$H197)&gt;1,1,0))</f>
        <v>0</v>
      </c>
      <c r="Z197" s="91" t="n">
        <f aca="false">IF($Q197=0,0,IF(COUNTIFS($A$2:$A197,$A197,$Q$2:$Q197,"&gt;0")=1,1,0))</f>
        <v>0</v>
      </c>
      <c r="AA197" s="93" t="str">
        <f aca="false">IF($Q197&gt;0,$A197,"")</f>
        <v/>
      </c>
      <c r="AB197" s="91" t="n">
        <f aca="false">IF($K197="",0,1)</f>
        <v>0</v>
      </c>
      <c r="AC197" s="91" t="n">
        <f aca="false">IF($L197="",0,1)</f>
        <v>0</v>
      </c>
      <c r="AD197" s="91" t="n">
        <f aca="false">IF($M197="",0,1)</f>
        <v>0</v>
      </c>
      <c r="AE197" s="91" t="str">
        <f aca="false">IF($Q197&gt;0,$D197,"")</f>
        <v/>
      </c>
      <c r="AF197" s="1"/>
      <c r="AG197" s="1"/>
      <c r="AH197" s="1"/>
      <c r="AI197" s="1"/>
      <c r="AJ197" s="1"/>
      <c r="AK197" s="1"/>
      <c r="AL197" s="1"/>
      <c r="AM197" s="1"/>
      <c r="AN197" s="1"/>
    </row>
    <row r="198" customFormat="false" ht="18" hidden="false" customHeight="true" outlineLevel="0" collapsed="false">
      <c r="A198" s="86" t="n">
        <f aca="false">IF(ISNUMBER('Timeline Estacas'!A198),'Timeline Estacas'!A198,"")</f>
        <v>46342</v>
      </c>
      <c r="B198" s="87" t="n">
        <f aca="false">IF($A198="","",$A198)</f>
        <v>46342</v>
      </c>
      <c r="C198" s="88" t="n">
        <f aca="false">IF(ISNUMBER('Timeline Estacas'!C198),'Timeline Estacas'!C198,"")</f>
        <v>381</v>
      </c>
      <c r="D198" s="88" t="n">
        <f aca="false">IF(ISNUMBER('Timeline Estacas'!D198),'Timeline Estacas'!D198,"")</f>
        <v>55</v>
      </c>
      <c r="E198" s="88" t="str">
        <f aca="false">IF($D198="","","S-"&amp;TEXT($D198,"00"))</f>
        <v>S-55</v>
      </c>
      <c r="F198" s="88" t="str">
        <f aca="false">IF(ISNUMBER('Timeline Estacas'!F198),'Timeline Estacas'!F198,"")</f>
        <v/>
      </c>
      <c r="G198" s="88" t="str">
        <f aca="false">IF($F198="","",IF('Timeline Estacas'!G198&lt;&gt;"",'Timeline Estacas'!G198,'Timeline Estacas'!I198))</f>
        <v/>
      </c>
      <c r="H198" s="88" t="str">
        <f aca="false">IF(ISNUMBER('Timeline Estacas'!H198),'Timeline Estacas'!H198,"")</f>
        <v/>
      </c>
      <c r="I198" s="88" t="str">
        <f aca="false">IF($H198="","",'Timeline Estacas'!I198)</f>
        <v/>
      </c>
      <c r="J198" s="86" t="str">
        <f aca="false">IF(ISNUMBER('Timeline Estacas'!J198),'Timeline Estacas'!J198,"")</f>
        <v/>
      </c>
      <c r="K198" s="88" t="str">
        <f aca="false">IF('Timeline Estacas'!K198="","",'Timeline Estacas'!K198)</f>
        <v/>
      </c>
      <c r="L198" s="88" t="str">
        <f aca="false">IF('Timeline Estacas'!L198="","",'Timeline Estacas'!L198)</f>
        <v/>
      </c>
      <c r="M198" s="88" t="str">
        <f aca="false">IF('Timeline Estacas'!M198="","",'Timeline Estacas'!M198)</f>
        <v/>
      </c>
      <c r="N198" s="89" t="str">
        <f aca="false">IF('Timeline Estacas'!N198="","",'Timeline Estacas'!N198)</f>
        <v/>
      </c>
      <c r="O198" s="90" t="str">
        <f aca="false">IF(ISNUMBER('Timeline Estacas'!O198),'Timeline Estacas'!O198,"")</f>
        <v/>
      </c>
      <c r="P198" s="91" t="n">
        <f aca="false">IF($Q198&gt;0,1,0)</f>
        <v>0</v>
      </c>
      <c r="Q198" s="91" t="n">
        <f aca="false">IF($F198="",0,1)+IF($H198="",0,1)</f>
        <v>0</v>
      </c>
      <c r="R198" s="91" t="n">
        <f aca="false">IF($N198="",0,1)</f>
        <v>0</v>
      </c>
      <c r="S198" s="91" t="n">
        <f aca="false">IF($F198="",0,1)</f>
        <v>0</v>
      </c>
      <c r="T198" s="91" t="n">
        <f aca="false">IF($H198="",0,1)</f>
        <v>0</v>
      </c>
      <c r="U198" s="91" t="n">
        <f aca="false">IF($J198="",0,1)</f>
        <v>0</v>
      </c>
      <c r="V198" s="91" t="n">
        <f aca="true">IF($J198="",0,IF($J198&lt;=TODAY(),1,0))</f>
        <v>0</v>
      </c>
      <c r="W198" s="92" t="n">
        <f aca="false">IF($O198="",0,$O198)</f>
        <v>0</v>
      </c>
      <c r="X198" s="91" t="str">
        <f aca="false">IF($R198=1,SUM($R$2:$R198),"")</f>
        <v/>
      </c>
      <c r="Y198" s="91" t="n">
        <f aca="false">IF($F198="",0,IF(COUNTIF($F$2:$F198,$F198)+COUNTIF($H$2:$H198,$F198)&gt;1,1,0))+IF($H198="",0,IF(COUNTIF($F$2:$F198,$H198)+COUNTIF($H$2:$H198,$H198)&gt;1,1,0))</f>
        <v>0</v>
      </c>
      <c r="Z198" s="91" t="n">
        <f aca="false">IF($Q198=0,0,IF(COUNTIFS($A$2:$A198,$A198,$Q$2:$Q198,"&gt;0")=1,1,0))</f>
        <v>0</v>
      </c>
      <c r="AA198" s="93" t="str">
        <f aca="false">IF($Q198&gt;0,$A198,"")</f>
        <v/>
      </c>
      <c r="AB198" s="91" t="n">
        <f aca="false">IF($K198="",0,1)</f>
        <v>0</v>
      </c>
      <c r="AC198" s="91" t="n">
        <f aca="false">IF($L198="",0,1)</f>
        <v>0</v>
      </c>
      <c r="AD198" s="91" t="n">
        <f aca="false">IF($M198="",0,1)</f>
        <v>0</v>
      </c>
      <c r="AE198" s="91" t="str">
        <f aca="false">IF($Q198&gt;0,$D198,"")</f>
        <v/>
      </c>
      <c r="AF198" s="1"/>
      <c r="AG198" s="1"/>
      <c r="AH198" s="1"/>
      <c r="AI198" s="1"/>
      <c r="AJ198" s="1"/>
      <c r="AK198" s="1"/>
      <c r="AL198" s="1"/>
      <c r="AM198" s="1"/>
      <c r="AN198" s="1"/>
    </row>
    <row r="199" customFormat="false" ht="18" hidden="false" customHeight="true" outlineLevel="0" collapsed="false">
      <c r="A199" s="86" t="n">
        <f aca="false">IF(ISNUMBER('Timeline Estacas'!A199),'Timeline Estacas'!A199,"")</f>
        <v>46343</v>
      </c>
      <c r="B199" s="87" t="n">
        <f aca="false">IF($A199="","",$A199)</f>
        <v>46343</v>
      </c>
      <c r="C199" s="88" t="n">
        <f aca="false">IF(ISNUMBER('Timeline Estacas'!C199),'Timeline Estacas'!C199,"")</f>
        <v>382</v>
      </c>
      <c r="D199" s="88" t="n">
        <f aca="false">IF(ISNUMBER('Timeline Estacas'!D199),'Timeline Estacas'!D199,"")</f>
        <v>55</v>
      </c>
      <c r="E199" s="88" t="str">
        <f aca="false">IF($D199="","","S-"&amp;TEXT($D199,"00"))</f>
        <v>S-55</v>
      </c>
      <c r="F199" s="88" t="str">
        <f aca="false">IF(ISNUMBER('Timeline Estacas'!F199),'Timeline Estacas'!F199,"")</f>
        <v/>
      </c>
      <c r="G199" s="88" t="str">
        <f aca="false">IF($F199="","",IF('Timeline Estacas'!G199&lt;&gt;"",'Timeline Estacas'!G199,'Timeline Estacas'!I199))</f>
        <v/>
      </c>
      <c r="H199" s="88" t="str">
        <f aca="false">IF(ISNUMBER('Timeline Estacas'!H199),'Timeline Estacas'!H199,"")</f>
        <v/>
      </c>
      <c r="I199" s="88" t="str">
        <f aca="false">IF($H199="","",'Timeline Estacas'!I199)</f>
        <v/>
      </c>
      <c r="J199" s="86" t="str">
        <f aca="false">IF(ISNUMBER('Timeline Estacas'!J199),'Timeline Estacas'!J199,"")</f>
        <v/>
      </c>
      <c r="K199" s="88" t="str">
        <f aca="false">IF('Timeline Estacas'!K199="","",'Timeline Estacas'!K199)</f>
        <v/>
      </c>
      <c r="L199" s="88" t="str">
        <f aca="false">IF('Timeline Estacas'!L199="","",'Timeline Estacas'!L199)</f>
        <v/>
      </c>
      <c r="M199" s="88" t="str">
        <f aca="false">IF('Timeline Estacas'!M199="","",'Timeline Estacas'!M199)</f>
        <v/>
      </c>
      <c r="N199" s="89" t="str">
        <f aca="false">IF('Timeline Estacas'!N199="","",'Timeline Estacas'!N199)</f>
        <v/>
      </c>
      <c r="O199" s="90" t="str">
        <f aca="false">IF(ISNUMBER('Timeline Estacas'!O199),'Timeline Estacas'!O199,"")</f>
        <v/>
      </c>
      <c r="P199" s="91" t="n">
        <f aca="false">IF($Q199&gt;0,1,0)</f>
        <v>0</v>
      </c>
      <c r="Q199" s="91" t="n">
        <f aca="false">IF($F199="",0,1)+IF($H199="",0,1)</f>
        <v>0</v>
      </c>
      <c r="R199" s="91" t="n">
        <f aca="false">IF($N199="",0,1)</f>
        <v>0</v>
      </c>
      <c r="S199" s="91" t="n">
        <f aca="false">IF($F199="",0,1)</f>
        <v>0</v>
      </c>
      <c r="T199" s="91" t="n">
        <f aca="false">IF($H199="",0,1)</f>
        <v>0</v>
      </c>
      <c r="U199" s="91" t="n">
        <f aca="false">IF($J199="",0,1)</f>
        <v>0</v>
      </c>
      <c r="V199" s="91" t="n">
        <f aca="true">IF($J199="",0,IF($J199&lt;=TODAY(),1,0))</f>
        <v>0</v>
      </c>
      <c r="W199" s="92" t="n">
        <f aca="false">IF($O199="",0,$O199)</f>
        <v>0</v>
      </c>
      <c r="X199" s="91" t="str">
        <f aca="false">IF($R199=1,SUM($R$2:$R199),"")</f>
        <v/>
      </c>
      <c r="Y199" s="91" t="n">
        <f aca="false">IF($F199="",0,IF(COUNTIF($F$2:$F199,$F199)+COUNTIF($H$2:$H199,$F199)&gt;1,1,0))+IF($H199="",0,IF(COUNTIF($F$2:$F199,$H199)+COUNTIF($H$2:$H199,$H199)&gt;1,1,0))</f>
        <v>0</v>
      </c>
      <c r="Z199" s="91" t="n">
        <f aca="false">IF($Q199=0,0,IF(COUNTIFS($A$2:$A199,$A199,$Q$2:$Q199,"&gt;0")=1,1,0))</f>
        <v>0</v>
      </c>
      <c r="AA199" s="93" t="str">
        <f aca="false">IF($Q199&gt;0,$A199,"")</f>
        <v/>
      </c>
      <c r="AB199" s="91" t="n">
        <f aca="false">IF($K199="",0,1)</f>
        <v>0</v>
      </c>
      <c r="AC199" s="91" t="n">
        <f aca="false">IF($L199="",0,1)</f>
        <v>0</v>
      </c>
      <c r="AD199" s="91" t="n">
        <f aca="false">IF($M199="",0,1)</f>
        <v>0</v>
      </c>
      <c r="AE199" s="91" t="str">
        <f aca="false">IF($Q199&gt;0,$D199,"")</f>
        <v/>
      </c>
      <c r="AF199" s="1"/>
      <c r="AG199" s="1"/>
      <c r="AH199" s="1"/>
      <c r="AI199" s="1"/>
      <c r="AJ199" s="1"/>
      <c r="AK199" s="1"/>
      <c r="AL199" s="1"/>
      <c r="AM199" s="1"/>
      <c r="AN199" s="1"/>
    </row>
    <row r="200" customFormat="false" ht="18" hidden="false" customHeight="true" outlineLevel="0" collapsed="false">
      <c r="A200" s="86" t="n">
        <f aca="false">IF(ISNUMBER('Timeline Estacas'!A200),'Timeline Estacas'!A200,"")</f>
        <v>46344</v>
      </c>
      <c r="B200" s="87" t="n">
        <f aca="false">IF($A200="","",$A200)</f>
        <v>46344</v>
      </c>
      <c r="C200" s="88" t="n">
        <f aca="false">IF(ISNUMBER('Timeline Estacas'!C200),'Timeline Estacas'!C200,"")</f>
        <v>383</v>
      </c>
      <c r="D200" s="88" t="n">
        <f aca="false">IF(ISNUMBER('Timeline Estacas'!D200),'Timeline Estacas'!D200,"")</f>
        <v>55</v>
      </c>
      <c r="E200" s="88" t="str">
        <f aca="false">IF($D200="","","S-"&amp;TEXT($D200,"00"))</f>
        <v>S-55</v>
      </c>
      <c r="F200" s="88" t="str">
        <f aca="false">IF(ISNUMBER('Timeline Estacas'!F200),'Timeline Estacas'!F200,"")</f>
        <v/>
      </c>
      <c r="G200" s="88" t="str">
        <f aca="false">IF($F200="","",IF('Timeline Estacas'!G200&lt;&gt;"",'Timeline Estacas'!G200,'Timeline Estacas'!I200))</f>
        <v/>
      </c>
      <c r="H200" s="88" t="str">
        <f aca="false">IF(ISNUMBER('Timeline Estacas'!H200),'Timeline Estacas'!H200,"")</f>
        <v/>
      </c>
      <c r="I200" s="88" t="str">
        <f aca="false">IF($H200="","",'Timeline Estacas'!I200)</f>
        <v/>
      </c>
      <c r="J200" s="86" t="str">
        <f aca="false">IF(ISNUMBER('Timeline Estacas'!J200),'Timeline Estacas'!J200,"")</f>
        <v/>
      </c>
      <c r="K200" s="88" t="str">
        <f aca="false">IF('Timeline Estacas'!K200="","",'Timeline Estacas'!K200)</f>
        <v/>
      </c>
      <c r="L200" s="88" t="str">
        <f aca="false">IF('Timeline Estacas'!L200="","",'Timeline Estacas'!L200)</f>
        <v/>
      </c>
      <c r="M200" s="88" t="str">
        <f aca="false">IF('Timeline Estacas'!M200="","",'Timeline Estacas'!M200)</f>
        <v/>
      </c>
      <c r="N200" s="89" t="str">
        <f aca="false">IF('Timeline Estacas'!N200="","",'Timeline Estacas'!N200)</f>
        <v/>
      </c>
      <c r="O200" s="90" t="str">
        <f aca="false">IF(ISNUMBER('Timeline Estacas'!O200),'Timeline Estacas'!O200,"")</f>
        <v/>
      </c>
      <c r="P200" s="91" t="n">
        <f aca="false">IF($Q200&gt;0,1,0)</f>
        <v>0</v>
      </c>
      <c r="Q200" s="91" t="n">
        <f aca="false">IF($F200="",0,1)+IF($H200="",0,1)</f>
        <v>0</v>
      </c>
      <c r="R200" s="91" t="n">
        <f aca="false">IF($N200="",0,1)</f>
        <v>0</v>
      </c>
      <c r="S200" s="91" t="n">
        <f aca="false">IF($F200="",0,1)</f>
        <v>0</v>
      </c>
      <c r="T200" s="91" t="n">
        <f aca="false">IF($H200="",0,1)</f>
        <v>0</v>
      </c>
      <c r="U200" s="91" t="n">
        <f aca="false">IF($J200="",0,1)</f>
        <v>0</v>
      </c>
      <c r="V200" s="91" t="n">
        <f aca="true">IF($J200="",0,IF($J200&lt;=TODAY(),1,0))</f>
        <v>0</v>
      </c>
      <c r="W200" s="92" t="n">
        <f aca="false">IF($O200="",0,$O200)</f>
        <v>0</v>
      </c>
      <c r="X200" s="91" t="str">
        <f aca="false">IF($R200=1,SUM($R$2:$R200),"")</f>
        <v/>
      </c>
      <c r="Y200" s="91" t="n">
        <f aca="false">IF($F200="",0,IF(COUNTIF($F$2:$F200,$F200)+COUNTIF($H$2:$H200,$F200)&gt;1,1,0))+IF($H200="",0,IF(COUNTIF($F$2:$F200,$H200)+COUNTIF($H$2:$H200,$H200)&gt;1,1,0))</f>
        <v>0</v>
      </c>
      <c r="Z200" s="91" t="n">
        <f aca="false">IF($Q200=0,0,IF(COUNTIFS($A$2:$A200,$A200,$Q$2:$Q200,"&gt;0")=1,1,0))</f>
        <v>0</v>
      </c>
      <c r="AA200" s="93" t="str">
        <f aca="false">IF($Q200&gt;0,$A200,"")</f>
        <v/>
      </c>
      <c r="AB200" s="91" t="n">
        <f aca="false">IF($K200="",0,1)</f>
        <v>0</v>
      </c>
      <c r="AC200" s="91" t="n">
        <f aca="false">IF($L200="",0,1)</f>
        <v>0</v>
      </c>
      <c r="AD200" s="91" t="n">
        <f aca="false">IF($M200="",0,1)</f>
        <v>0</v>
      </c>
      <c r="AE200" s="91" t="str">
        <f aca="false">IF($Q200&gt;0,$D200,"")</f>
        <v/>
      </c>
      <c r="AF200" s="1"/>
      <c r="AG200" s="1"/>
      <c r="AH200" s="1"/>
      <c r="AI200" s="1"/>
      <c r="AJ200" s="1"/>
      <c r="AK200" s="1"/>
      <c r="AL200" s="1"/>
      <c r="AM200" s="1"/>
      <c r="AN200" s="1"/>
    </row>
    <row r="201" customFormat="false" ht="18" hidden="false" customHeight="true" outlineLevel="0" collapsed="false">
      <c r="A201" s="86" t="n">
        <f aca="false">IF(ISNUMBER('Timeline Estacas'!A201),'Timeline Estacas'!A201,"")</f>
        <v>46345</v>
      </c>
      <c r="B201" s="87" t="n">
        <f aca="false">IF($A201="","",$A201)</f>
        <v>46345</v>
      </c>
      <c r="C201" s="88" t="n">
        <f aca="false">IF(ISNUMBER('Timeline Estacas'!C201),'Timeline Estacas'!C201,"")</f>
        <v>384</v>
      </c>
      <c r="D201" s="88" t="n">
        <f aca="false">IF(ISNUMBER('Timeline Estacas'!D201),'Timeline Estacas'!D201,"")</f>
        <v>55</v>
      </c>
      <c r="E201" s="88" t="str">
        <f aca="false">IF($D201="","","S-"&amp;TEXT($D201,"00"))</f>
        <v>S-55</v>
      </c>
      <c r="F201" s="88" t="str">
        <f aca="false">IF(ISNUMBER('Timeline Estacas'!F201),'Timeline Estacas'!F201,"")</f>
        <v/>
      </c>
      <c r="G201" s="88" t="str">
        <f aca="false">IF($F201="","",IF('Timeline Estacas'!G201&lt;&gt;"",'Timeline Estacas'!G201,'Timeline Estacas'!I201))</f>
        <v/>
      </c>
      <c r="H201" s="88" t="str">
        <f aca="false">IF(ISNUMBER('Timeline Estacas'!H201),'Timeline Estacas'!H201,"")</f>
        <v/>
      </c>
      <c r="I201" s="88" t="str">
        <f aca="false">IF($H201="","",'Timeline Estacas'!I201)</f>
        <v/>
      </c>
      <c r="J201" s="86" t="str">
        <f aca="false">IF(ISNUMBER('Timeline Estacas'!J201),'Timeline Estacas'!J201,"")</f>
        <v/>
      </c>
      <c r="K201" s="88" t="str">
        <f aca="false">IF('Timeline Estacas'!K201="","",'Timeline Estacas'!K201)</f>
        <v/>
      </c>
      <c r="L201" s="88" t="str">
        <f aca="false">IF('Timeline Estacas'!L201="","",'Timeline Estacas'!L201)</f>
        <v/>
      </c>
      <c r="M201" s="88" t="str">
        <f aca="false">IF('Timeline Estacas'!M201="","",'Timeline Estacas'!M201)</f>
        <v/>
      </c>
      <c r="N201" s="89" t="str">
        <f aca="false">IF('Timeline Estacas'!N201="","",'Timeline Estacas'!N201)</f>
        <v/>
      </c>
      <c r="O201" s="90" t="str">
        <f aca="false">IF(ISNUMBER('Timeline Estacas'!O201),'Timeline Estacas'!O201,"")</f>
        <v/>
      </c>
      <c r="P201" s="91" t="n">
        <f aca="false">IF($Q201&gt;0,1,0)</f>
        <v>0</v>
      </c>
      <c r="Q201" s="91" t="n">
        <f aca="false">IF($F201="",0,1)+IF($H201="",0,1)</f>
        <v>0</v>
      </c>
      <c r="R201" s="91" t="n">
        <f aca="false">IF($N201="",0,1)</f>
        <v>0</v>
      </c>
      <c r="S201" s="91" t="n">
        <f aca="false">IF($F201="",0,1)</f>
        <v>0</v>
      </c>
      <c r="T201" s="91" t="n">
        <f aca="false">IF($H201="",0,1)</f>
        <v>0</v>
      </c>
      <c r="U201" s="91" t="n">
        <f aca="false">IF($J201="",0,1)</f>
        <v>0</v>
      </c>
      <c r="V201" s="91" t="n">
        <f aca="true">IF($J201="",0,IF($J201&lt;=TODAY(),1,0))</f>
        <v>0</v>
      </c>
      <c r="W201" s="92" t="n">
        <f aca="false">IF($O201="",0,$O201)</f>
        <v>0</v>
      </c>
      <c r="X201" s="91" t="str">
        <f aca="false">IF($R201=1,SUM($R$2:$R201),"")</f>
        <v/>
      </c>
      <c r="Y201" s="91" t="n">
        <f aca="false">IF($F201="",0,IF(COUNTIF($F$2:$F201,$F201)+COUNTIF($H$2:$H201,$F201)&gt;1,1,0))+IF($H201="",0,IF(COUNTIF($F$2:$F201,$H201)+COUNTIF($H$2:$H201,$H201)&gt;1,1,0))</f>
        <v>0</v>
      </c>
      <c r="Z201" s="91" t="n">
        <f aca="false">IF($Q201=0,0,IF(COUNTIFS($A$2:$A201,$A201,$Q$2:$Q201,"&gt;0")=1,1,0))</f>
        <v>0</v>
      </c>
      <c r="AA201" s="93" t="str">
        <f aca="false">IF($Q201&gt;0,$A201,"")</f>
        <v/>
      </c>
      <c r="AB201" s="91" t="n">
        <f aca="false">IF($K201="",0,1)</f>
        <v>0</v>
      </c>
      <c r="AC201" s="91" t="n">
        <f aca="false">IF($L201="",0,1)</f>
        <v>0</v>
      </c>
      <c r="AD201" s="91" t="n">
        <f aca="false">IF($M201="",0,1)</f>
        <v>0</v>
      </c>
      <c r="AE201" s="91" t="str">
        <f aca="false">IF($Q201&gt;0,$D201,"")</f>
        <v/>
      </c>
      <c r="AF201" s="1"/>
      <c r="AG201" s="1"/>
      <c r="AH201" s="1"/>
      <c r="AI201" s="1"/>
      <c r="AJ201" s="1"/>
      <c r="AK201" s="1"/>
      <c r="AL201" s="1"/>
      <c r="AM201" s="1"/>
      <c r="AN201" s="1"/>
    </row>
    <row r="202" customFormat="false" ht="18" hidden="false" customHeight="true" outlineLevel="0" collapsed="false">
      <c r="A202" s="86" t="n">
        <f aca="false">IF(ISNUMBER('Timeline Estacas'!A202),'Timeline Estacas'!A202,"")</f>
        <v>46346</v>
      </c>
      <c r="B202" s="87" t="n">
        <f aca="false">IF($A202="","",$A202)</f>
        <v>46346</v>
      </c>
      <c r="C202" s="88" t="n">
        <f aca="false">IF(ISNUMBER('Timeline Estacas'!C202),'Timeline Estacas'!C202,"")</f>
        <v>385</v>
      </c>
      <c r="D202" s="88" t="n">
        <f aca="false">IF(ISNUMBER('Timeline Estacas'!D202),'Timeline Estacas'!D202,"")</f>
        <v>56</v>
      </c>
      <c r="E202" s="88" t="str">
        <f aca="false">IF($D202="","","S-"&amp;TEXT($D202,"00"))</f>
        <v>S-56</v>
      </c>
      <c r="F202" s="88" t="str">
        <f aca="false">IF(ISNUMBER('Timeline Estacas'!F202),'Timeline Estacas'!F202,"")</f>
        <v/>
      </c>
      <c r="G202" s="88" t="str">
        <f aca="false">IF($F202="","",IF('Timeline Estacas'!G202&lt;&gt;"",'Timeline Estacas'!G202,'Timeline Estacas'!I202))</f>
        <v/>
      </c>
      <c r="H202" s="88" t="str">
        <f aca="false">IF(ISNUMBER('Timeline Estacas'!H202),'Timeline Estacas'!H202,"")</f>
        <v/>
      </c>
      <c r="I202" s="88" t="str">
        <f aca="false">IF($H202="","",'Timeline Estacas'!I202)</f>
        <v/>
      </c>
      <c r="J202" s="86" t="str">
        <f aca="false">IF(ISNUMBER('Timeline Estacas'!J202),'Timeline Estacas'!J202,"")</f>
        <v/>
      </c>
      <c r="K202" s="88" t="str">
        <f aca="false">IF('Timeline Estacas'!K202="","",'Timeline Estacas'!K202)</f>
        <v/>
      </c>
      <c r="L202" s="88" t="str">
        <f aca="false">IF('Timeline Estacas'!L202="","",'Timeline Estacas'!L202)</f>
        <v/>
      </c>
      <c r="M202" s="88" t="str">
        <f aca="false">IF('Timeline Estacas'!M202="","",'Timeline Estacas'!M202)</f>
        <v/>
      </c>
      <c r="N202" s="89" t="str">
        <f aca="false">IF('Timeline Estacas'!N202="","",'Timeline Estacas'!N202)</f>
        <v/>
      </c>
      <c r="O202" s="90" t="str">
        <f aca="false">IF(ISNUMBER('Timeline Estacas'!O202),'Timeline Estacas'!O202,"")</f>
        <v/>
      </c>
      <c r="P202" s="91" t="n">
        <f aca="false">IF($Q202&gt;0,1,0)</f>
        <v>0</v>
      </c>
      <c r="Q202" s="91" t="n">
        <f aca="false">IF($F202="",0,1)+IF($H202="",0,1)</f>
        <v>0</v>
      </c>
      <c r="R202" s="91" t="n">
        <f aca="false">IF($N202="",0,1)</f>
        <v>0</v>
      </c>
      <c r="S202" s="91" t="n">
        <f aca="false">IF($F202="",0,1)</f>
        <v>0</v>
      </c>
      <c r="T202" s="91" t="n">
        <f aca="false">IF($H202="",0,1)</f>
        <v>0</v>
      </c>
      <c r="U202" s="91" t="n">
        <f aca="false">IF($J202="",0,1)</f>
        <v>0</v>
      </c>
      <c r="V202" s="91" t="n">
        <f aca="true">IF($J202="",0,IF($J202&lt;=TODAY(),1,0))</f>
        <v>0</v>
      </c>
      <c r="W202" s="92" t="n">
        <f aca="false">IF($O202="",0,$O202)</f>
        <v>0</v>
      </c>
      <c r="X202" s="91" t="str">
        <f aca="false">IF($R202=1,SUM($R$2:$R202),"")</f>
        <v/>
      </c>
      <c r="Y202" s="91" t="n">
        <f aca="false">IF($F202="",0,IF(COUNTIF($F$2:$F202,$F202)+COUNTIF($H$2:$H202,$F202)&gt;1,1,0))+IF($H202="",0,IF(COUNTIF($F$2:$F202,$H202)+COUNTIF($H$2:$H202,$H202)&gt;1,1,0))</f>
        <v>0</v>
      </c>
      <c r="Z202" s="91" t="n">
        <f aca="false">IF($Q202=0,0,IF(COUNTIFS($A$2:$A202,$A202,$Q$2:$Q202,"&gt;0")=1,1,0))</f>
        <v>0</v>
      </c>
      <c r="AA202" s="93" t="str">
        <f aca="false">IF($Q202&gt;0,$A202,"")</f>
        <v/>
      </c>
      <c r="AB202" s="91" t="n">
        <f aca="false">IF($K202="",0,1)</f>
        <v>0</v>
      </c>
      <c r="AC202" s="91" t="n">
        <f aca="false">IF($L202="",0,1)</f>
        <v>0</v>
      </c>
      <c r="AD202" s="91" t="n">
        <f aca="false">IF($M202="",0,1)</f>
        <v>0</v>
      </c>
      <c r="AE202" s="91" t="str">
        <f aca="false">IF($Q202&gt;0,$D202,"")</f>
        <v/>
      </c>
      <c r="AF202" s="1"/>
      <c r="AG202" s="1"/>
      <c r="AH202" s="1"/>
      <c r="AI202" s="1"/>
      <c r="AJ202" s="1"/>
      <c r="AK202" s="1"/>
      <c r="AL202" s="1"/>
      <c r="AM202" s="1"/>
      <c r="AN202" s="1"/>
    </row>
    <row r="203" customFormat="false" ht="18" hidden="false" customHeight="true" outlineLevel="0" collapsed="false">
      <c r="A203" s="86" t="n">
        <f aca="false">IF(ISNUMBER('Timeline Estacas'!A203),'Timeline Estacas'!A203,"")</f>
        <v>46347</v>
      </c>
      <c r="B203" s="87" t="n">
        <f aca="false">IF($A203="","",$A203)</f>
        <v>46347</v>
      </c>
      <c r="C203" s="88" t="n">
        <f aca="false">IF(ISNUMBER('Timeline Estacas'!C203),'Timeline Estacas'!C203,"")</f>
        <v>386</v>
      </c>
      <c r="D203" s="88" t="n">
        <f aca="false">IF(ISNUMBER('Timeline Estacas'!D203),'Timeline Estacas'!D203,"")</f>
        <v>56</v>
      </c>
      <c r="E203" s="88" t="str">
        <f aca="false">IF($D203="","","S-"&amp;TEXT($D203,"00"))</f>
        <v>S-56</v>
      </c>
      <c r="F203" s="88" t="str">
        <f aca="false">IF(ISNUMBER('Timeline Estacas'!F203),'Timeline Estacas'!F203,"")</f>
        <v/>
      </c>
      <c r="G203" s="88" t="str">
        <f aca="false">IF($F203="","",IF('Timeline Estacas'!G203&lt;&gt;"",'Timeline Estacas'!G203,'Timeline Estacas'!I203))</f>
        <v/>
      </c>
      <c r="H203" s="88" t="str">
        <f aca="false">IF(ISNUMBER('Timeline Estacas'!H203),'Timeline Estacas'!H203,"")</f>
        <v/>
      </c>
      <c r="I203" s="88" t="str">
        <f aca="false">IF($H203="","",'Timeline Estacas'!I203)</f>
        <v/>
      </c>
      <c r="J203" s="86" t="str">
        <f aca="false">IF(ISNUMBER('Timeline Estacas'!J203),'Timeline Estacas'!J203,"")</f>
        <v/>
      </c>
      <c r="K203" s="88" t="str">
        <f aca="false">IF('Timeline Estacas'!K203="","",'Timeline Estacas'!K203)</f>
        <v/>
      </c>
      <c r="L203" s="88" t="str">
        <f aca="false">IF('Timeline Estacas'!L203="","",'Timeline Estacas'!L203)</f>
        <v/>
      </c>
      <c r="M203" s="88" t="str">
        <f aca="false">IF('Timeline Estacas'!M203="","",'Timeline Estacas'!M203)</f>
        <v/>
      </c>
      <c r="N203" s="89" t="str">
        <f aca="false">IF('Timeline Estacas'!N203="","",'Timeline Estacas'!N203)</f>
        <v/>
      </c>
      <c r="O203" s="90" t="str">
        <f aca="false">IF(ISNUMBER('Timeline Estacas'!O203),'Timeline Estacas'!O203,"")</f>
        <v/>
      </c>
      <c r="P203" s="91" t="n">
        <f aca="false">IF($Q203&gt;0,1,0)</f>
        <v>0</v>
      </c>
      <c r="Q203" s="91" t="n">
        <f aca="false">IF($F203="",0,1)+IF($H203="",0,1)</f>
        <v>0</v>
      </c>
      <c r="R203" s="91" t="n">
        <f aca="false">IF($N203="",0,1)</f>
        <v>0</v>
      </c>
      <c r="S203" s="91" t="n">
        <f aca="false">IF($F203="",0,1)</f>
        <v>0</v>
      </c>
      <c r="T203" s="91" t="n">
        <f aca="false">IF($H203="",0,1)</f>
        <v>0</v>
      </c>
      <c r="U203" s="91" t="n">
        <f aca="false">IF($J203="",0,1)</f>
        <v>0</v>
      </c>
      <c r="V203" s="91" t="n">
        <f aca="true">IF($J203="",0,IF($J203&lt;=TODAY(),1,0))</f>
        <v>0</v>
      </c>
      <c r="W203" s="92" t="n">
        <f aca="false">IF($O203="",0,$O203)</f>
        <v>0</v>
      </c>
      <c r="X203" s="91" t="str">
        <f aca="false">IF($R203=1,SUM($R$2:$R203),"")</f>
        <v/>
      </c>
      <c r="Y203" s="91" t="n">
        <f aca="false">IF($F203="",0,IF(COUNTIF($F$2:$F203,$F203)+COUNTIF($H$2:$H203,$F203)&gt;1,1,0))+IF($H203="",0,IF(COUNTIF($F$2:$F203,$H203)+COUNTIF($H$2:$H203,$H203)&gt;1,1,0))</f>
        <v>0</v>
      </c>
      <c r="Z203" s="91" t="n">
        <f aca="false">IF($Q203=0,0,IF(COUNTIFS($A$2:$A203,$A203,$Q$2:$Q203,"&gt;0")=1,1,0))</f>
        <v>0</v>
      </c>
      <c r="AA203" s="93" t="str">
        <f aca="false">IF($Q203&gt;0,$A203,"")</f>
        <v/>
      </c>
      <c r="AB203" s="91" t="n">
        <f aca="false">IF($K203="",0,1)</f>
        <v>0</v>
      </c>
      <c r="AC203" s="91" t="n">
        <f aca="false">IF($L203="",0,1)</f>
        <v>0</v>
      </c>
      <c r="AD203" s="91" t="n">
        <f aca="false">IF($M203="",0,1)</f>
        <v>0</v>
      </c>
      <c r="AE203" s="91" t="str">
        <f aca="false">IF($Q203&gt;0,$D203,"")</f>
        <v/>
      </c>
      <c r="AF203" s="1"/>
      <c r="AG203" s="1"/>
      <c r="AH203" s="1"/>
      <c r="AI203" s="1"/>
      <c r="AJ203" s="1"/>
      <c r="AK203" s="1"/>
      <c r="AL203" s="1"/>
      <c r="AM203" s="1"/>
      <c r="AN203" s="1"/>
    </row>
    <row r="204" customFormat="false" ht="18" hidden="false" customHeight="true" outlineLevel="0" collapsed="false">
      <c r="A204" s="86" t="n">
        <f aca="false">IF(ISNUMBER('Timeline Estacas'!A204),'Timeline Estacas'!A204,"")</f>
        <v>46348</v>
      </c>
      <c r="B204" s="87" t="n">
        <f aca="false">IF($A204="","",$A204)</f>
        <v>46348</v>
      </c>
      <c r="C204" s="88" t="n">
        <f aca="false">IF(ISNUMBER('Timeline Estacas'!C204),'Timeline Estacas'!C204,"")</f>
        <v>387</v>
      </c>
      <c r="D204" s="88" t="n">
        <f aca="false">IF(ISNUMBER('Timeline Estacas'!D204),'Timeline Estacas'!D204,"")</f>
        <v>56</v>
      </c>
      <c r="E204" s="88" t="str">
        <f aca="false">IF($D204="","","S-"&amp;TEXT($D204,"00"))</f>
        <v>S-56</v>
      </c>
      <c r="F204" s="88" t="str">
        <f aca="false">IF(ISNUMBER('Timeline Estacas'!F204),'Timeline Estacas'!F204,"")</f>
        <v/>
      </c>
      <c r="G204" s="88" t="str">
        <f aca="false">IF($F204="","",IF('Timeline Estacas'!G204&lt;&gt;"",'Timeline Estacas'!G204,'Timeline Estacas'!I204))</f>
        <v/>
      </c>
      <c r="H204" s="88" t="str">
        <f aca="false">IF(ISNUMBER('Timeline Estacas'!H204),'Timeline Estacas'!H204,"")</f>
        <v/>
      </c>
      <c r="I204" s="88" t="str">
        <f aca="false">IF($H204="","",'Timeline Estacas'!I204)</f>
        <v/>
      </c>
      <c r="J204" s="86" t="str">
        <f aca="false">IF(ISNUMBER('Timeline Estacas'!J204),'Timeline Estacas'!J204,"")</f>
        <v/>
      </c>
      <c r="K204" s="88" t="str">
        <f aca="false">IF('Timeline Estacas'!K204="","",'Timeline Estacas'!K204)</f>
        <v/>
      </c>
      <c r="L204" s="88" t="str">
        <f aca="false">IF('Timeline Estacas'!L204="","",'Timeline Estacas'!L204)</f>
        <v/>
      </c>
      <c r="M204" s="88" t="str">
        <f aca="false">IF('Timeline Estacas'!M204="","",'Timeline Estacas'!M204)</f>
        <v/>
      </c>
      <c r="N204" s="89" t="str">
        <f aca="false">IF('Timeline Estacas'!N204="","",'Timeline Estacas'!N204)</f>
        <v/>
      </c>
      <c r="O204" s="90" t="str">
        <f aca="false">IF(ISNUMBER('Timeline Estacas'!O204),'Timeline Estacas'!O204,"")</f>
        <v/>
      </c>
      <c r="P204" s="91" t="n">
        <f aca="false">IF($Q204&gt;0,1,0)</f>
        <v>0</v>
      </c>
      <c r="Q204" s="91" t="n">
        <f aca="false">IF($F204="",0,1)+IF($H204="",0,1)</f>
        <v>0</v>
      </c>
      <c r="R204" s="91" t="n">
        <f aca="false">IF($N204="",0,1)</f>
        <v>0</v>
      </c>
      <c r="S204" s="91" t="n">
        <f aca="false">IF($F204="",0,1)</f>
        <v>0</v>
      </c>
      <c r="T204" s="91" t="n">
        <f aca="false">IF($H204="",0,1)</f>
        <v>0</v>
      </c>
      <c r="U204" s="91" t="n">
        <f aca="false">IF($J204="",0,1)</f>
        <v>0</v>
      </c>
      <c r="V204" s="91" t="n">
        <f aca="true">IF($J204="",0,IF($J204&lt;=TODAY(),1,0))</f>
        <v>0</v>
      </c>
      <c r="W204" s="92" t="n">
        <f aca="false">IF($O204="",0,$O204)</f>
        <v>0</v>
      </c>
      <c r="X204" s="91" t="str">
        <f aca="false">IF($R204=1,SUM($R$2:$R204),"")</f>
        <v/>
      </c>
      <c r="Y204" s="91" t="n">
        <f aca="false">IF($F204="",0,IF(COUNTIF($F$2:$F204,$F204)+COUNTIF($H$2:$H204,$F204)&gt;1,1,0))+IF($H204="",0,IF(COUNTIF($F$2:$F204,$H204)+COUNTIF($H$2:$H204,$H204)&gt;1,1,0))</f>
        <v>0</v>
      </c>
      <c r="Z204" s="91" t="n">
        <f aca="false">IF($Q204=0,0,IF(COUNTIFS($A$2:$A204,$A204,$Q$2:$Q204,"&gt;0")=1,1,0))</f>
        <v>0</v>
      </c>
      <c r="AA204" s="93" t="str">
        <f aca="false">IF($Q204&gt;0,$A204,"")</f>
        <v/>
      </c>
      <c r="AB204" s="91" t="n">
        <f aca="false">IF($K204="",0,1)</f>
        <v>0</v>
      </c>
      <c r="AC204" s="91" t="n">
        <f aca="false">IF($L204="",0,1)</f>
        <v>0</v>
      </c>
      <c r="AD204" s="91" t="n">
        <f aca="false">IF($M204="",0,1)</f>
        <v>0</v>
      </c>
      <c r="AE204" s="91" t="str">
        <f aca="false">IF($Q204&gt;0,$D204,"")</f>
        <v/>
      </c>
      <c r="AF204" s="1"/>
      <c r="AG204" s="1"/>
      <c r="AH204" s="1"/>
      <c r="AI204" s="1"/>
      <c r="AJ204" s="1"/>
      <c r="AK204" s="1"/>
      <c r="AL204" s="1"/>
      <c r="AM204" s="1"/>
      <c r="AN204" s="1"/>
    </row>
    <row r="205" customFormat="false" ht="18" hidden="false" customHeight="true" outlineLevel="0" collapsed="false">
      <c r="A205" s="86" t="n">
        <f aca="false">IF(ISNUMBER('Timeline Estacas'!A205),'Timeline Estacas'!A205,"")</f>
        <v>46349</v>
      </c>
      <c r="B205" s="87" t="n">
        <f aca="false">IF($A205="","",$A205)</f>
        <v>46349</v>
      </c>
      <c r="C205" s="88" t="n">
        <f aca="false">IF(ISNUMBER('Timeline Estacas'!C205),'Timeline Estacas'!C205,"")</f>
        <v>388</v>
      </c>
      <c r="D205" s="88" t="n">
        <f aca="false">IF(ISNUMBER('Timeline Estacas'!D205),'Timeline Estacas'!D205,"")</f>
        <v>56</v>
      </c>
      <c r="E205" s="88" t="str">
        <f aca="false">IF($D205="","","S-"&amp;TEXT($D205,"00"))</f>
        <v>S-56</v>
      </c>
      <c r="F205" s="88" t="str">
        <f aca="false">IF(ISNUMBER('Timeline Estacas'!F205),'Timeline Estacas'!F205,"")</f>
        <v/>
      </c>
      <c r="G205" s="88" t="str">
        <f aca="false">IF($F205="","",IF('Timeline Estacas'!G205&lt;&gt;"",'Timeline Estacas'!G205,'Timeline Estacas'!I205))</f>
        <v/>
      </c>
      <c r="H205" s="88" t="str">
        <f aca="false">IF(ISNUMBER('Timeline Estacas'!H205),'Timeline Estacas'!H205,"")</f>
        <v/>
      </c>
      <c r="I205" s="88" t="str">
        <f aca="false">IF($H205="","",'Timeline Estacas'!I205)</f>
        <v/>
      </c>
      <c r="J205" s="86" t="str">
        <f aca="false">IF(ISNUMBER('Timeline Estacas'!J205),'Timeline Estacas'!J205,"")</f>
        <v/>
      </c>
      <c r="K205" s="88" t="str">
        <f aca="false">IF('Timeline Estacas'!K205="","",'Timeline Estacas'!K205)</f>
        <v/>
      </c>
      <c r="L205" s="88" t="str">
        <f aca="false">IF('Timeline Estacas'!L205="","",'Timeline Estacas'!L205)</f>
        <v/>
      </c>
      <c r="M205" s="88" t="str">
        <f aca="false">IF('Timeline Estacas'!M205="","",'Timeline Estacas'!M205)</f>
        <v/>
      </c>
      <c r="N205" s="89" t="str">
        <f aca="false">IF('Timeline Estacas'!N205="","",'Timeline Estacas'!N205)</f>
        <v/>
      </c>
      <c r="O205" s="90" t="str">
        <f aca="false">IF(ISNUMBER('Timeline Estacas'!O205),'Timeline Estacas'!O205,"")</f>
        <v/>
      </c>
      <c r="P205" s="91" t="n">
        <f aca="false">IF($Q205&gt;0,1,0)</f>
        <v>0</v>
      </c>
      <c r="Q205" s="91" t="n">
        <f aca="false">IF($F205="",0,1)+IF($H205="",0,1)</f>
        <v>0</v>
      </c>
      <c r="R205" s="91" t="n">
        <f aca="false">IF($N205="",0,1)</f>
        <v>0</v>
      </c>
      <c r="S205" s="91" t="n">
        <f aca="false">IF($F205="",0,1)</f>
        <v>0</v>
      </c>
      <c r="T205" s="91" t="n">
        <f aca="false">IF($H205="",0,1)</f>
        <v>0</v>
      </c>
      <c r="U205" s="91" t="n">
        <f aca="false">IF($J205="",0,1)</f>
        <v>0</v>
      </c>
      <c r="V205" s="91" t="n">
        <f aca="true">IF($J205="",0,IF($J205&lt;=TODAY(),1,0))</f>
        <v>0</v>
      </c>
      <c r="W205" s="92" t="n">
        <f aca="false">IF($O205="",0,$O205)</f>
        <v>0</v>
      </c>
      <c r="X205" s="91" t="str">
        <f aca="false">IF($R205=1,SUM($R$2:$R205),"")</f>
        <v/>
      </c>
      <c r="Y205" s="91" t="n">
        <f aca="false">IF($F205="",0,IF(COUNTIF($F$2:$F205,$F205)+COUNTIF($H$2:$H205,$F205)&gt;1,1,0))+IF($H205="",0,IF(COUNTIF($F$2:$F205,$H205)+COUNTIF($H$2:$H205,$H205)&gt;1,1,0))</f>
        <v>0</v>
      </c>
      <c r="Z205" s="91" t="n">
        <f aca="false">IF($Q205=0,0,IF(COUNTIFS($A$2:$A205,$A205,$Q$2:$Q205,"&gt;0")=1,1,0))</f>
        <v>0</v>
      </c>
      <c r="AA205" s="93" t="str">
        <f aca="false">IF($Q205&gt;0,$A205,"")</f>
        <v/>
      </c>
      <c r="AB205" s="91" t="n">
        <f aca="false">IF($K205="",0,1)</f>
        <v>0</v>
      </c>
      <c r="AC205" s="91" t="n">
        <f aca="false">IF($L205="",0,1)</f>
        <v>0</v>
      </c>
      <c r="AD205" s="91" t="n">
        <f aca="false">IF($M205="",0,1)</f>
        <v>0</v>
      </c>
      <c r="AE205" s="91" t="str">
        <f aca="false">IF($Q205&gt;0,$D205,"")</f>
        <v/>
      </c>
      <c r="AF205" s="1"/>
      <c r="AG205" s="1"/>
      <c r="AH205" s="1"/>
      <c r="AI205" s="1"/>
      <c r="AJ205" s="1"/>
      <c r="AK205" s="1"/>
      <c r="AL205" s="1"/>
      <c r="AM205" s="1"/>
      <c r="AN205" s="1"/>
    </row>
    <row r="206" customFormat="false" ht="18" hidden="false" customHeight="true" outlineLevel="0" collapsed="false">
      <c r="A206" s="86" t="n">
        <f aca="false">IF(ISNUMBER('Timeline Estacas'!A206),'Timeline Estacas'!A206,"")</f>
        <v>46350</v>
      </c>
      <c r="B206" s="87" t="n">
        <f aca="false">IF($A206="","",$A206)</f>
        <v>46350</v>
      </c>
      <c r="C206" s="88" t="n">
        <f aca="false">IF(ISNUMBER('Timeline Estacas'!C206),'Timeline Estacas'!C206,"")</f>
        <v>389</v>
      </c>
      <c r="D206" s="88" t="n">
        <f aca="false">IF(ISNUMBER('Timeline Estacas'!D206),'Timeline Estacas'!D206,"")</f>
        <v>56</v>
      </c>
      <c r="E206" s="88" t="str">
        <f aca="false">IF($D206="","","S-"&amp;TEXT($D206,"00"))</f>
        <v>S-56</v>
      </c>
      <c r="F206" s="88" t="str">
        <f aca="false">IF(ISNUMBER('Timeline Estacas'!F206),'Timeline Estacas'!F206,"")</f>
        <v/>
      </c>
      <c r="G206" s="88" t="str">
        <f aca="false">IF($F206="","",IF('Timeline Estacas'!G206&lt;&gt;"",'Timeline Estacas'!G206,'Timeline Estacas'!I206))</f>
        <v/>
      </c>
      <c r="H206" s="88" t="str">
        <f aca="false">IF(ISNUMBER('Timeline Estacas'!H206),'Timeline Estacas'!H206,"")</f>
        <v/>
      </c>
      <c r="I206" s="88" t="str">
        <f aca="false">IF($H206="","",'Timeline Estacas'!I206)</f>
        <v/>
      </c>
      <c r="J206" s="86" t="str">
        <f aca="false">IF(ISNUMBER('Timeline Estacas'!J206),'Timeline Estacas'!J206,"")</f>
        <v/>
      </c>
      <c r="K206" s="88" t="str">
        <f aca="false">IF('Timeline Estacas'!K206="","",'Timeline Estacas'!K206)</f>
        <v/>
      </c>
      <c r="L206" s="88" t="str">
        <f aca="false">IF('Timeline Estacas'!L206="","",'Timeline Estacas'!L206)</f>
        <v/>
      </c>
      <c r="M206" s="88" t="str">
        <f aca="false">IF('Timeline Estacas'!M206="","",'Timeline Estacas'!M206)</f>
        <v/>
      </c>
      <c r="N206" s="89" t="str">
        <f aca="false">IF('Timeline Estacas'!N206="","",'Timeline Estacas'!N206)</f>
        <v/>
      </c>
      <c r="O206" s="90" t="str">
        <f aca="false">IF(ISNUMBER('Timeline Estacas'!O206),'Timeline Estacas'!O206,"")</f>
        <v/>
      </c>
      <c r="P206" s="91" t="n">
        <f aca="false">IF($Q206&gt;0,1,0)</f>
        <v>0</v>
      </c>
      <c r="Q206" s="91" t="n">
        <f aca="false">IF($F206="",0,1)+IF($H206="",0,1)</f>
        <v>0</v>
      </c>
      <c r="R206" s="91" t="n">
        <f aca="false">IF($N206="",0,1)</f>
        <v>0</v>
      </c>
      <c r="S206" s="91" t="n">
        <f aca="false">IF($F206="",0,1)</f>
        <v>0</v>
      </c>
      <c r="T206" s="91" t="n">
        <f aca="false">IF($H206="",0,1)</f>
        <v>0</v>
      </c>
      <c r="U206" s="91" t="n">
        <f aca="false">IF($J206="",0,1)</f>
        <v>0</v>
      </c>
      <c r="V206" s="91" t="n">
        <f aca="true">IF($J206="",0,IF($J206&lt;=TODAY(),1,0))</f>
        <v>0</v>
      </c>
      <c r="W206" s="92" t="n">
        <f aca="false">IF($O206="",0,$O206)</f>
        <v>0</v>
      </c>
      <c r="X206" s="91" t="str">
        <f aca="false">IF($R206=1,SUM($R$2:$R206),"")</f>
        <v/>
      </c>
      <c r="Y206" s="91" t="n">
        <f aca="false">IF($F206="",0,IF(COUNTIF($F$2:$F206,$F206)+COUNTIF($H$2:$H206,$F206)&gt;1,1,0))+IF($H206="",0,IF(COUNTIF($F$2:$F206,$H206)+COUNTIF($H$2:$H206,$H206)&gt;1,1,0))</f>
        <v>0</v>
      </c>
      <c r="Z206" s="91" t="n">
        <f aca="false">IF($Q206=0,0,IF(COUNTIFS($A$2:$A206,$A206,$Q$2:$Q206,"&gt;0")=1,1,0))</f>
        <v>0</v>
      </c>
      <c r="AA206" s="93" t="str">
        <f aca="false">IF($Q206&gt;0,$A206,"")</f>
        <v/>
      </c>
      <c r="AB206" s="91" t="n">
        <f aca="false">IF($K206="",0,1)</f>
        <v>0</v>
      </c>
      <c r="AC206" s="91" t="n">
        <f aca="false">IF($L206="",0,1)</f>
        <v>0</v>
      </c>
      <c r="AD206" s="91" t="n">
        <f aca="false">IF($M206="",0,1)</f>
        <v>0</v>
      </c>
      <c r="AE206" s="91" t="str">
        <f aca="false">IF($Q206&gt;0,$D206,"")</f>
        <v/>
      </c>
      <c r="AF206" s="1"/>
      <c r="AG206" s="1"/>
      <c r="AH206" s="1"/>
      <c r="AI206" s="1"/>
      <c r="AJ206" s="1"/>
      <c r="AK206" s="1"/>
      <c r="AL206" s="1"/>
      <c r="AM206" s="1"/>
      <c r="AN206" s="1"/>
    </row>
    <row r="207" customFormat="false" ht="18" hidden="false" customHeight="true" outlineLevel="0" collapsed="false">
      <c r="A207" s="86" t="n">
        <f aca="false">IF(ISNUMBER('Timeline Estacas'!A207),'Timeline Estacas'!A207,"")</f>
        <v>46351</v>
      </c>
      <c r="B207" s="87" t="n">
        <f aca="false">IF($A207="","",$A207)</f>
        <v>46351</v>
      </c>
      <c r="C207" s="88" t="n">
        <f aca="false">IF(ISNUMBER('Timeline Estacas'!C207),'Timeline Estacas'!C207,"")</f>
        <v>390</v>
      </c>
      <c r="D207" s="88" t="n">
        <f aca="false">IF(ISNUMBER('Timeline Estacas'!D207),'Timeline Estacas'!D207,"")</f>
        <v>56</v>
      </c>
      <c r="E207" s="88" t="str">
        <f aca="false">IF($D207="","","S-"&amp;TEXT($D207,"00"))</f>
        <v>S-56</v>
      </c>
      <c r="F207" s="88" t="str">
        <f aca="false">IF(ISNUMBER('Timeline Estacas'!F207),'Timeline Estacas'!F207,"")</f>
        <v/>
      </c>
      <c r="G207" s="88" t="str">
        <f aca="false">IF($F207="","",IF('Timeline Estacas'!G207&lt;&gt;"",'Timeline Estacas'!G207,'Timeline Estacas'!I207))</f>
        <v/>
      </c>
      <c r="H207" s="88" t="str">
        <f aca="false">IF(ISNUMBER('Timeline Estacas'!H207),'Timeline Estacas'!H207,"")</f>
        <v/>
      </c>
      <c r="I207" s="88" t="str">
        <f aca="false">IF($H207="","",'Timeline Estacas'!I207)</f>
        <v/>
      </c>
      <c r="J207" s="86" t="str">
        <f aca="false">IF(ISNUMBER('Timeline Estacas'!J207),'Timeline Estacas'!J207,"")</f>
        <v/>
      </c>
      <c r="K207" s="88" t="str">
        <f aca="false">IF('Timeline Estacas'!K207="","",'Timeline Estacas'!K207)</f>
        <v/>
      </c>
      <c r="L207" s="88" t="str">
        <f aca="false">IF('Timeline Estacas'!L207="","",'Timeline Estacas'!L207)</f>
        <v/>
      </c>
      <c r="M207" s="88" t="str">
        <f aca="false">IF('Timeline Estacas'!M207="","",'Timeline Estacas'!M207)</f>
        <v/>
      </c>
      <c r="N207" s="89" t="str">
        <f aca="false">IF('Timeline Estacas'!N207="","",'Timeline Estacas'!N207)</f>
        <v/>
      </c>
      <c r="O207" s="90" t="str">
        <f aca="false">IF(ISNUMBER('Timeline Estacas'!O207),'Timeline Estacas'!O207,"")</f>
        <v/>
      </c>
      <c r="P207" s="91" t="n">
        <f aca="false">IF($Q207&gt;0,1,0)</f>
        <v>0</v>
      </c>
      <c r="Q207" s="91" t="n">
        <f aca="false">IF($F207="",0,1)+IF($H207="",0,1)</f>
        <v>0</v>
      </c>
      <c r="R207" s="91" t="n">
        <f aca="false">IF($N207="",0,1)</f>
        <v>0</v>
      </c>
      <c r="S207" s="91" t="n">
        <f aca="false">IF($F207="",0,1)</f>
        <v>0</v>
      </c>
      <c r="T207" s="91" t="n">
        <f aca="false">IF($H207="",0,1)</f>
        <v>0</v>
      </c>
      <c r="U207" s="91" t="n">
        <f aca="false">IF($J207="",0,1)</f>
        <v>0</v>
      </c>
      <c r="V207" s="91" t="n">
        <f aca="true">IF($J207="",0,IF($J207&lt;=TODAY(),1,0))</f>
        <v>0</v>
      </c>
      <c r="W207" s="92" t="n">
        <f aca="false">IF($O207="",0,$O207)</f>
        <v>0</v>
      </c>
      <c r="X207" s="91" t="str">
        <f aca="false">IF($R207=1,SUM($R$2:$R207),"")</f>
        <v/>
      </c>
      <c r="Y207" s="91" t="n">
        <f aca="false">IF($F207="",0,IF(COUNTIF($F$2:$F207,$F207)+COUNTIF($H$2:$H207,$F207)&gt;1,1,0))+IF($H207="",0,IF(COUNTIF($F$2:$F207,$H207)+COUNTIF($H$2:$H207,$H207)&gt;1,1,0))</f>
        <v>0</v>
      </c>
      <c r="Z207" s="91" t="n">
        <f aca="false">IF($Q207=0,0,IF(COUNTIFS($A$2:$A207,$A207,$Q$2:$Q207,"&gt;0")=1,1,0))</f>
        <v>0</v>
      </c>
      <c r="AA207" s="93" t="str">
        <f aca="false">IF($Q207&gt;0,$A207,"")</f>
        <v/>
      </c>
      <c r="AB207" s="91" t="n">
        <f aca="false">IF($K207="",0,1)</f>
        <v>0</v>
      </c>
      <c r="AC207" s="91" t="n">
        <f aca="false">IF($L207="",0,1)</f>
        <v>0</v>
      </c>
      <c r="AD207" s="91" t="n">
        <f aca="false">IF($M207="",0,1)</f>
        <v>0</v>
      </c>
      <c r="AE207" s="91" t="str">
        <f aca="false">IF($Q207&gt;0,$D207,"")</f>
        <v/>
      </c>
      <c r="AF207" s="1"/>
      <c r="AG207" s="1"/>
      <c r="AH207" s="1"/>
      <c r="AI207" s="1"/>
      <c r="AJ207" s="1"/>
      <c r="AK207" s="1"/>
      <c r="AL207" s="1"/>
      <c r="AM207" s="1"/>
      <c r="AN207" s="1"/>
    </row>
    <row r="208" customFormat="false" ht="18" hidden="false" customHeight="true" outlineLevel="0" collapsed="false">
      <c r="A208" s="86" t="n">
        <f aca="false">IF(ISNUMBER('Timeline Estacas'!A208),'Timeline Estacas'!A208,"")</f>
        <v>46352</v>
      </c>
      <c r="B208" s="87" t="n">
        <f aca="false">IF($A208="","",$A208)</f>
        <v>46352</v>
      </c>
      <c r="C208" s="88" t="n">
        <f aca="false">IF(ISNUMBER('Timeline Estacas'!C208),'Timeline Estacas'!C208,"")</f>
        <v>391</v>
      </c>
      <c r="D208" s="88" t="n">
        <f aca="false">IF(ISNUMBER('Timeline Estacas'!D208),'Timeline Estacas'!D208,"")</f>
        <v>56</v>
      </c>
      <c r="E208" s="88" t="str">
        <f aca="false">IF($D208="","","S-"&amp;TEXT($D208,"00"))</f>
        <v>S-56</v>
      </c>
      <c r="F208" s="88" t="str">
        <f aca="false">IF(ISNUMBER('Timeline Estacas'!F208),'Timeline Estacas'!F208,"")</f>
        <v/>
      </c>
      <c r="G208" s="88" t="str">
        <f aca="false">IF($F208="","",IF('Timeline Estacas'!G208&lt;&gt;"",'Timeline Estacas'!G208,'Timeline Estacas'!I208))</f>
        <v/>
      </c>
      <c r="H208" s="88" t="str">
        <f aca="false">IF(ISNUMBER('Timeline Estacas'!H208),'Timeline Estacas'!H208,"")</f>
        <v/>
      </c>
      <c r="I208" s="88" t="str">
        <f aca="false">IF($H208="","",'Timeline Estacas'!I208)</f>
        <v/>
      </c>
      <c r="J208" s="86" t="str">
        <f aca="false">IF(ISNUMBER('Timeline Estacas'!J208),'Timeline Estacas'!J208,"")</f>
        <v/>
      </c>
      <c r="K208" s="88" t="str">
        <f aca="false">IF('Timeline Estacas'!K208="","",'Timeline Estacas'!K208)</f>
        <v/>
      </c>
      <c r="L208" s="88" t="str">
        <f aca="false">IF('Timeline Estacas'!L208="","",'Timeline Estacas'!L208)</f>
        <v/>
      </c>
      <c r="M208" s="88" t="str">
        <f aca="false">IF('Timeline Estacas'!M208="","",'Timeline Estacas'!M208)</f>
        <v/>
      </c>
      <c r="N208" s="89" t="str">
        <f aca="false">IF('Timeline Estacas'!N208="","",'Timeline Estacas'!N208)</f>
        <v/>
      </c>
      <c r="O208" s="90" t="str">
        <f aca="false">IF(ISNUMBER('Timeline Estacas'!O208),'Timeline Estacas'!O208,"")</f>
        <v/>
      </c>
      <c r="P208" s="91" t="n">
        <f aca="false">IF($Q208&gt;0,1,0)</f>
        <v>0</v>
      </c>
      <c r="Q208" s="91" t="n">
        <f aca="false">IF($F208="",0,1)+IF($H208="",0,1)</f>
        <v>0</v>
      </c>
      <c r="R208" s="91" t="n">
        <f aca="false">IF($N208="",0,1)</f>
        <v>0</v>
      </c>
      <c r="S208" s="91" t="n">
        <f aca="false">IF($F208="",0,1)</f>
        <v>0</v>
      </c>
      <c r="T208" s="91" t="n">
        <f aca="false">IF($H208="",0,1)</f>
        <v>0</v>
      </c>
      <c r="U208" s="91" t="n">
        <f aca="false">IF($J208="",0,1)</f>
        <v>0</v>
      </c>
      <c r="V208" s="91" t="n">
        <f aca="true">IF($J208="",0,IF($J208&lt;=TODAY(),1,0))</f>
        <v>0</v>
      </c>
      <c r="W208" s="92" t="n">
        <f aca="false">IF($O208="",0,$O208)</f>
        <v>0</v>
      </c>
      <c r="X208" s="91" t="str">
        <f aca="false">IF($R208=1,SUM($R$2:$R208),"")</f>
        <v/>
      </c>
      <c r="Y208" s="91" t="n">
        <f aca="false">IF($F208="",0,IF(COUNTIF($F$2:$F208,$F208)+COUNTIF($H$2:$H208,$F208)&gt;1,1,0))+IF($H208="",0,IF(COUNTIF($F$2:$F208,$H208)+COUNTIF($H$2:$H208,$H208)&gt;1,1,0))</f>
        <v>0</v>
      </c>
      <c r="Z208" s="91" t="n">
        <f aca="false">IF($Q208=0,0,IF(COUNTIFS($A$2:$A208,$A208,$Q$2:$Q208,"&gt;0")=1,1,0))</f>
        <v>0</v>
      </c>
      <c r="AA208" s="93" t="str">
        <f aca="false">IF($Q208&gt;0,$A208,"")</f>
        <v/>
      </c>
      <c r="AB208" s="91" t="n">
        <f aca="false">IF($K208="",0,1)</f>
        <v>0</v>
      </c>
      <c r="AC208" s="91" t="n">
        <f aca="false">IF($L208="",0,1)</f>
        <v>0</v>
      </c>
      <c r="AD208" s="91" t="n">
        <f aca="false">IF($M208="",0,1)</f>
        <v>0</v>
      </c>
      <c r="AE208" s="91" t="str">
        <f aca="false">IF($Q208&gt;0,$D208,"")</f>
        <v/>
      </c>
      <c r="AF208" s="1"/>
      <c r="AG208" s="1"/>
      <c r="AH208" s="1"/>
      <c r="AI208" s="1"/>
      <c r="AJ208" s="1"/>
      <c r="AK208" s="1"/>
      <c r="AL208" s="1"/>
      <c r="AM208" s="1"/>
      <c r="AN208" s="1"/>
    </row>
    <row r="209" customFormat="false" ht="18" hidden="false" customHeight="true" outlineLevel="0" collapsed="false">
      <c r="A209" s="86" t="n">
        <f aca="false">IF(ISNUMBER('Timeline Estacas'!A209),'Timeline Estacas'!A209,"")</f>
        <v>46353</v>
      </c>
      <c r="B209" s="87" t="n">
        <f aca="false">IF($A209="","",$A209)</f>
        <v>46353</v>
      </c>
      <c r="C209" s="88" t="n">
        <f aca="false">IF(ISNUMBER('Timeline Estacas'!C209),'Timeline Estacas'!C209,"")</f>
        <v>392</v>
      </c>
      <c r="D209" s="88" t="n">
        <f aca="false">IF(ISNUMBER('Timeline Estacas'!D209),'Timeline Estacas'!D209,"")</f>
        <v>57</v>
      </c>
      <c r="E209" s="88" t="str">
        <f aca="false">IF($D209="","","S-"&amp;TEXT($D209,"00"))</f>
        <v>S-57</v>
      </c>
      <c r="F209" s="88" t="str">
        <f aca="false">IF(ISNUMBER('Timeline Estacas'!F209),'Timeline Estacas'!F209,"")</f>
        <v/>
      </c>
      <c r="G209" s="88" t="str">
        <f aca="false">IF($F209="","",IF('Timeline Estacas'!G209&lt;&gt;"",'Timeline Estacas'!G209,'Timeline Estacas'!I209))</f>
        <v/>
      </c>
      <c r="H209" s="88" t="str">
        <f aca="false">IF(ISNUMBER('Timeline Estacas'!H209),'Timeline Estacas'!H209,"")</f>
        <v/>
      </c>
      <c r="I209" s="88" t="str">
        <f aca="false">IF($H209="","",'Timeline Estacas'!I209)</f>
        <v/>
      </c>
      <c r="J209" s="86" t="str">
        <f aca="false">IF(ISNUMBER('Timeline Estacas'!J209),'Timeline Estacas'!J209,"")</f>
        <v/>
      </c>
      <c r="K209" s="88" t="str">
        <f aca="false">IF('Timeline Estacas'!K209="","",'Timeline Estacas'!K209)</f>
        <v/>
      </c>
      <c r="L209" s="88" t="str">
        <f aca="false">IF('Timeline Estacas'!L209="","",'Timeline Estacas'!L209)</f>
        <v/>
      </c>
      <c r="M209" s="88" t="str">
        <f aca="false">IF('Timeline Estacas'!M209="","",'Timeline Estacas'!M209)</f>
        <v/>
      </c>
      <c r="N209" s="89" t="str">
        <f aca="false">IF('Timeline Estacas'!N209="","",'Timeline Estacas'!N209)</f>
        <v/>
      </c>
      <c r="O209" s="90" t="str">
        <f aca="false">IF(ISNUMBER('Timeline Estacas'!O209),'Timeline Estacas'!O209,"")</f>
        <v/>
      </c>
      <c r="P209" s="91" t="n">
        <f aca="false">IF($Q209&gt;0,1,0)</f>
        <v>0</v>
      </c>
      <c r="Q209" s="91" t="n">
        <f aca="false">IF($F209="",0,1)+IF($H209="",0,1)</f>
        <v>0</v>
      </c>
      <c r="R209" s="91" t="n">
        <f aca="false">IF($N209="",0,1)</f>
        <v>0</v>
      </c>
      <c r="S209" s="91" t="n">
        <f aca="false">IF($F209="",0,1)</f>
        <v>0</v>
      </c>
      <c r="T209" s="91" t="n">
        <f aca="false">IF($H209="",0,1)</f>
        <v>0</v>
      </c>
      <c r="U209" s="91" t="n">
        <f aca="false">IF($J209="",0,1)</f>
        <v>0</v>
      </c>
      <c r="V209" s="91" t="n">
        <f aca="true">IF($J209="",0,IF($J209&lt;=TODAY(),1,0))</f>
        <v>0</v>
      </c>
      <c r="W209" s="92" t="n">
        <f aca="false">IF($O209="",0,$O209)</f>
        <v>0</v>
      </c>
      <c r="X209" s="91" t="str">
        <f aca="false">IF($R209=1,SUM($R$2:$R209),"")</f>
        <v/>
      </c>
      <c r="Y209" s="91" t="n">
        <f aca="false">IF($F209="",0,IF(COUNTIF($F$2:$F209,$F209)+COUNTIF($H$2:$H209,$F209)&gt;1,1,0))+IF($H209="",0,IF(COUNTIF($F$2:$F209,$H209)+COUNTIF($H$2:$H209,$H209)&gt;1,1,0))</f>
        <v>0</v>
      </c>
      <c r="Z209" s="91" t="n">
        <f aca="false">IF($Q209=0,0,IF(COUNTIFS($A$2:$A209,$A209,$Q$2:$Q209,"&gt;0")=1,1,0))</f>
        <v>0</v>
      </c>
      <c r="AA209" s="93" t="str">
        <f aca="false">IF($Q209&gt;0,$A209,"")</f>
        <v/>
      </c>
      <c r="AB209" s="91" t="n">
        <f aca="false">IF($K209="",0,1)</f>
        <v>0</v>
      </c>
      <c r="AC209" s="91" t="n">
        <f aca="false">IF($L209="",0,1)</f>
        <v>0</v>
      </c>
      <c r="AD209" s="91" t="n">
        <f aca="false">IF($M209="",0,1)</f>
        <v>0</v>
      </c>
      <c r="AE209" s="91" t="str">
        <f aca="false">IF($Q209&gt;0,$D209,"")</f>
        <v/>
      </c>
      <c r="AF209" s="1"/>
      <c r="AG209" s="1"/>
      <c r="AH209" s="1"/>
      <c r="AI209" s="1"/>
      <c r="AJ209" s="1"/>
      <c r="AK209" s="1"/>
      <c r="AL209" s="1"/>
      <c r="AM209" s="1"/>
      <c r="AN209" s="1"/>
    </row>
    <row r="210" customFormat="false" ht="18" hidden="false" customHeight="true" outlineLevel="0" collapsed="false">
      <c r="A210" s="86" t="n">
        <f aca="false">IF(ISNUMBER('Timeline Estacas'!A210),'Timeline Estacas'!A210,"")</f>
        <v>46354</v>
      </c>
      <c r="B210" s="87" t="n">
        <f aca="false">IF($A210="","",$A210)</f>
        <v>46354</v>
      </c>
      <c r="C210" s="88" t="n">
        <f aca="false">IF(ISNUMBER('Timeline Estacas'!C210),'Timeline Estacas'!C210,"")</f>
        <v>393</v>
      </c>
      <c r="D210" s="88" t="n">
        <f aca="false">IF(ISNUMBER('Timeline Estacas'!D210),'Timeline Estacas'!D210,"")</f>
        <v>57</v>
      </c>
      <c r="E210" s="88" t="str">
        <f aca="false">IF($D210="","","S-"&amp;TEXT($D210,"00"))</f>
        <v>S-57</v>
      </c>
      <c r="F210" s="88" t="str">
        <f aca="false">IF(ISNUMBER('Timeline Estacas'!F210),'Timeline Estacas'!F210,"")</f>
        <v/>
      </c>
      <c r="G210" s="88" t="str">
        <f aca="false">IF($F210="","",IF('Timeline Estacas'!G210&lt;&gt;"",'Timeline Estacas'!G210,'Timeline Estacas'!I210))</f>
        <v/>
      </c>
      <c r="H210" s="88" t="str">
        <f aca="false">IF(ISNUMBER('Timeline Estacas'!H210),'Timeline Estacas'!H210,"")</f>
        <v/>
      </c>
      <c r="I210" s="88" t="str">
        <f aca="false">IF($H210="","",'Timeline Estacas'!I210)</f>
        <v/>
      </c>
      <c r="J210" s="86" t="str">
        <f aca="false">IF(ISNUMBER('Timeline Estacas'!J210),'Timeline Estacas'!J210,"")</f>
        <v/>
      </c>
      <c r="K210" s="88" t="str">
        <f aca="false">IF('Timeline Estacas'!K210="","",'Timeline Estacas'!K210)</f>
        <v/>
      </c>
      <c r="L210" s="88" t="str">
        <f aca="false">IF('Timeline Estacas'!L210="","",'Timeline Estacas'!L210)</f>
        <v/>
      </c>
      <c r="M210" s="88" t="str">
        <f aca="false">IF('Timeline Estacas'!M210="","",'Timeline Estacas'!M210)</f>
        <v/>
      </c>
      <c r="N210" s="89" t="str">
        <f aca="false">IF('Timeline Estacas'!N210="","",'Timeline Estacas'!N210)</f>
        <v/>
      </c>
      <c r="O210" s="90" t="str">
        <f aca="false">IF(ISNUMBER('Timeline Estacas'!O210),'Timeline Estacas'!O210,"")</f>
        <v/>
      </c>
      <c r="P210" s="91" t="n">
        <f aca="false">IF($Q210&gt;0,1,0)</f>
        <v>0</v>
      </c>
      <c r="Q210" s="91" t="n">
        <f aca="false">IF($F210="",0,1)+IF($H210="",0,1)</f>
        <v>0</v>
      </c>
      <c r="R210" s="91" t="n">
        <f aca="false">IF($N210="",0,1)</f>
        <v>0</v>
      </c>
      <c r="S210" s="91" t="n">
        <f aca="false">IF($F210="",0,1)</f>
        <v>0</v>
      </c>
      <c r="T210" s="91" t="n">
        <f aca="false">IF($H210="",0,1)</f>
        <v>0</v>
      </c>
      <c r="U210" s="91" t="n">
        <f aca="false">IF($J210="",0,1)</f>
        <v>0</v>
      </c>
      <c r="V210" s="91" t="n">
        <f aca="true">IF($J210="",0,IF($J210&lt;=TODAY(),1,0))</f>
        <v>0</v>
      </c>
      <c r="W210" s="92" t="n">
        <f aca="false">IF($O210="",0,$O210)</f>
        <v>0</v>
      </c>
      <c r="X210" s="91" t="str">
        <f aca="false">IF($R210=1,SUM($R$2:$R210),"")</f>
        <v/>
      </c>
      <c r="Y210" s="91" t="n">
        <f aca="false">IF($F210="",0,IF(COUNTIF($F$2:$F210,$F210)+COUNTIF($H$2:$H210,$F210)&gt;1,1,0))+IF($H210="",0,IF(COUNTIF($F$2:$F210,$H210)+COUNTIF($H$2:$H210,$H210)&gt;1,1,0))</f>
        <v>0</v>
      </c>
      <c r="Z210" s="91" t="n">
        <f aca="false">IF($Q210=0,0,IF(COUNTIFS($A$2:$A210,$A210,$Q$2:$Q210,"&gt;0")=1,1,0))</f>
        <v>0</v>
      </c>
      <c r="AA210" s="93" t="str">
        <f aca="false">IF($Q210&gt;0,$A210,"")</f>
        <v/>
      </c>
      <c r="AB210" s="91" t="n">
        <f aca="false">IF($K210="",0,1)</f>
        <v>0</v>
      </c>
      <c r="AC210" s="91" t="n">
        <f aca="false">IF($L210="",0,1)</f>
        <v>0</v>
      </c>
      <c r="AD210" s="91" t="n">
        <f aca="false">IF($M210="",0,1)</f>
        <v>0</v>
      </c>
      <c r="AE210" s="91" t="str">
        <f aca="false">IF($Q210&gt;0,$D210,"")</f>
        <v/>
      </c>
      <c r="AF210" s="1"/>
      <c r="AG210" s="1"/>
      <c r="AH210" s="1"/>
      <c r="AI210" s="1"/>
      <c r="AJ210" s="1"/>
      <c r="AK210" s="1"/>
      <c r="AL210" s="1"/>
      <c r="AM210" s="1"/>
      <c r="AN210" s="1"/>
    </row>
    <row r="211" customFormat="false" ht="18" hidden="false" customHeight="true" outlineLevel="0" collapsed="false">
      <c r="A211" s="86" t="n">
        <f aca="false">IF(ISNUMBER('Timeline Estacas'!A211),'Timeline Estacas'!A211,"")</f>
        <v>46355</v>
      </c>
      <c r="B211" s="87" t="n">
        <f aca="false">IF($A211="","",$A211)</f>
        <v>46355</v>
      </c>
      <c r="C211" s="88" t="n">
        <f aca="false">IF(ISNUMBER('Timeline Estacas'!C211),'Timeline Estacas'!C211,"")</f>
        <v>394</v>
      </c>
      <c r="D211" s="88" t="n">
        <f aca="false">IF(ISNUMBER('Timeline Estacas'!D211),'Timeline Estacas'!D211,"")</f>
        <v>57</v>
      </c>
      <c r="E211" s="88" t="str">
        <f aca="false">IF($D211="","","S-"&amp;TEXT($D211,"00"))</f>
        <v>S-57</v>
      </c>
      <c r="F211" s="88" t="str">
        <f aca="false">IF(ISNUMBER('Timeline Estacas'!F211),'Timeline Estacas'!F211,"")</f>
        <v/>
      </c>
      <c r="G211" s="88" t="str">
        <f aca="false">IF($F211="","",IF('Timeline Estacas'!G211&lt;&gt;"",'Timeline Estacas'!G211,'Timeline Estacas'!I211))</f>
        <v/>
      </c>
      <c r="H211" s="88" t="str">
        <f aca="false">IF(ISNUMBER('Timeline Estacas'!H211),'Timeline Estacas'!H211,"")</f>
        <v/>
      </c>
      <c r="I211" s="88" t="str">
        <f aca="false">IF($H211="","",'Timeline Estacas'!I211)</f>
        <v/>
      </c>
      <c r="J211" s="86" t="str">
        <f aca="false">IF(ISNUMBER('Timeline Estacas'!J211),'Timeline Estacas'!J211,"")</f>
        <v/>
      </c>
      <c r="K211" s="88" t="str">
        <f aca="false">IF('Timeline Estacas'!K211="","",'Timeline Estacas'!K211)</f>
        <v/>
      </c>
      <c r="L211" s="88" t="str">
        <f aca="false">IF('Timeline Estacas'!L211="","",'Timeline Estacas'!L211)</f>
        <v/>
      </c>
      <c r="M211" s="88" t="str">
        <f aca="false">IF('Timeline Estacas'!M211="","",'Timeline Estacas'!M211)</f>
        <v/>
      </c>
      <c r="N211" s="89" t="str">
        <f aca="false">IF('Timeline Estacas'!N211="","",'Timeline Estacas'!N211)</f>
        <v/>
      </c>
      <c r="O211" s="90" t="str">
        <f aca="false">IF(ISNUMBER('Timeline Estacas'!O211),'Timeline Estacas'!O211,"")</f>
        <v/>
      </c>
      <c r="P211" s="91" t="n">
        <f aca="false">IF($Q211&gt;0,1,0)</f>
        <v>0</v>
      </c>
      <c r="Q211" s="91" t="n">
        <f aca="false">IF($F211="",0,1)+IF($H211="",0,1)</f>
        <v>0</v>
      </c>
      <c r="R211" s="91" t="n">
        <f aca="false">IF($N211="",0,1)</f>
        <v>0</v>
      </c>
      <c r="S211" s="91" t="n">
        <f aca="false">IF($F211="",0,1)</f>
        <v>0</v>
      </c>
      <c r="T211" s="91" t="n">
        <f aca="false">IF($H211="",0,1)</f>
        <v>0</v>
      </c>
      <c r="U211" s="91" t="n">
        <f aca="false">IF($J211="",0,1)</f>
        <v>0</v>
      </c>
      <c r="V211" s="91" t="n">
        <f aca="true">IF($J211="",0,IF($J211&lt;=TODAY(),1,0))</f>
        <v>0</v>
      </c>
      <c r="W211" s="92" t="n">
        <f aca="false">IF($O211="",0,$O211)</f>
        <v>0</v>
      </c>
      <c r="X211" s="91" t="str">
        <f aca="false">IF($R211=1,SUM($R$2:$R211),"")</f>
        <v/>
      </c>
      <c r="Y211" s="91" t="n">
        <f aca="false">IF($F211="",0,IF(COUNTIF($F$2:$F211,$F211)+COUNTIF($H$2:$H211,$F211)&gt;1,1,0))+IF($H211="",0,IF(COUNTIF($F$2:$F211,$H211)+COUNTIF($H$2:$H211,$H211)&gt;1,1,0))</f>
        <v>0</v>
      </c>
      <c r="Z211" s="91" t="n">
        <f aca="false">IF($Q211=0,0,IF(COUNTIFS($A$2:$A211,$A211,$Q$2:$Q211,"&gt;0")=1,1,0))</f>
        <v>0</v>
      </c>
      <c r="AA211" s="93" t="str">
        <f aca="false">IF($Q211&gt;0,$A211,"")</f>
        <v/>
      </c>
      <c r="AB211" s="91" t="n">
        <f aca="false">IF($K211="",0,1)</f>
        <v>0</v>
      </c>
      <c r="AC211" s="91" t="n">
        <f aca="false">IF($L211="",0,1)</f>
        <v>0</v>
      </c>
      <c r="AD211" s="91" t="n">
        <f aca="false">IF($M211="",0,1)</f>
        <v>0</v>
      </c>
      <c r="AE211" s="91" t="str">
        <f aca="false">IF($Q211&gt;0,$D211,"")</f>
        <v/>
      </c>
      <c r="AF211" s="1"/>
      <c r="AG211" s="1"/>
      <c r="AH211" s="1"/>
      <c r="AI211" s="1"/>
      <c r="AJ211" s="1"/>
      <c r="AK211" s="1"/>
      <c r="AL211" s="1"/>
      <c r="AM211" s="1"/>
      <c r="AN211" s="1"/>
    </row>
    <row r="212" customFormat="false" ht="18" hidden="false" customHeight="true" outlineLevel="0" collapsed="false">
      <c r="A212" s="86" t="n">
        <f aca="false">IF(ISNUMBER('Timeline Estacas'!A212),'Timeline Estacas'!A212,"")</f>
        <v>46356</v>
      </c>
      <c r="B212" s="87" t="n">
        <f aca="false">IF($A212="","",$A212)</f>
        <v>46356</v>
      </c>
      <c r="C212" s="88" t="n">
        <f aca="false">IF(ISNUMBER('Timeline Estacas'!C212),'Timeline Estacas'!C212,"")</f>
        <v>395</v>
      </c>
      <c r="D212" s="88" t="n">
        <f aca="false">IF(ISNUMBER('Timeline Estacas'!D212),'Timeline Estacas'!D212,"")</f>
        <v>57</v>
      </c>
      <c r="E212" s="88" t="str">
        <f aca="false">IF($D212="","","S-"&amp;TEXT($D212,"00"))</f>
        <v>S-57</v>
      </c>
      <c r="F212" s="88" t="str">
        <f aca="false">IF(ISNUMBER('Timeline Estacas'!F212),'Timeline Estacas'!F212,"")</f>
        <v/>
      </c>
      <c r="G212" s="88" t="str">
        <f aca="false">IF($F212="","",IF('Timeline Estacas'!G212&lt;&gt;"",'Timeline Estacas'!G212,'Timeline Estacas'!I212))</f>
        <v/>
      </c>
      <c r="H212" s="88" t="str">
        <f aca="false">IF(ISNUMBER('Timeline Estacas'!H212),'Timeline Estacas'!H212,"")</f>
        <v/>
      </c>
      <c r="I212" s="88" t="str">
        <f aca="false">IF($H212="","",'Timeline Estacas'!I212)</f>
        <v/>
      </c>
      <c r="J212" s="86" t="str">
        <f aca="false">IF(ISNUMBER('Timeline Estacas'!J212),'Timeline Estacas'!J212,"")</f>
        <v/>
      </c>
      <c r="K212" s="88" t="str">
        <f aca="false">IF('Timeline Estacas'!K212="","",'Timeline Estacas'!K212)</f>
        <v/>
      </c>
      <c r="L212" s="88" t="str">
        <f aca="false">IF('Timeline Estacas'!L212="","",'Timeline Estacas'!L212)</f>
        <v/>
      </c>
      <c r="M212" s="88" t="str">
        <f aca="false">IF('Timeline Estacas'!M212="","",'Timeline Estacas'!M212)</f>
        <v/>
      </c>
      <c r="N212" s="89" t="str">
        <f aca="false">IF('Timeline Estacas'!N212="","",'Timeline Estacas'!N212)</f>
        <v/>
      </c>
      <c r="O212" s="90" t="str">
        <f aca="false">IF(ISNUMBER('Timeline Estacas'!O212),'Timeline Estacas'!O212,"")</f>
        <v/>
      </c>
      <c r="P212" s="91" t="n">
        <f aca="false">IF($Q212&gt;0,1,0)</f>
        <v>0</v>
      </c>
      <c r="Q212" s="91" t="n">
        <f aca="false">IF($F212="",0,1)+IF($H212="",0,1)</f>
        <v>0</v>
      </c>
      <c r="R212" s="91" t="n">
        <f aca="false">IF($N212="",0,1)</f>
        <v>0</v>
      </c>
      <c r="S212" s="91" t="n">
        <f aca="false">IF($F212="",0,1)</f>
        <v>0</v>
      </c>
      <c r="T212" s="91" t="n">
        <f aca="false">IF($H212="",0,1)</f>
        <v>0</v>
      </c>
      <c r="U212" s="91" t="n">
        <f aca="false">IF($J212="",0,1)</f>
        <v>0</v>
      </c>
      <c r="V212" s="91" t="n">
        <f aca="true">IF($J212="",0,IF($J212&lt;=TODAY(),1,0))</f>
        <v>0</v>
      </c>
      <c r="W212" s="92" t="n">
        <f aca="false">IF($O212="",0,$O212)</f>
        <v>0</v>
      </c>
      <c r="X212" s="91" t="str">
        <f aca="false">IF($R212=1,SUM($R$2:$R212),"")</f>
        <v/>
      </c>
      <c r="Y212" s="91" t="n">
        <f aca="false">IF($F212="",0,IF(COUNTIF($F$2:$F212,$F212)+COUNTIF($H$2:$H212,$F212)&gt;1,1,0))+IF($H212="",0,IF(COUNTIF($F$2:$F212,$H212)+COUNTIF($H$2:$H212,$H212)&gt;1,1,0))</f>
        <v>0</v>
      </c>
      <c r="Z212" s="91" t="n">
        <f aca="false">IF($Q212=0,0,IF(COUNTIFS($A$2:$A212,$A212,$Q$2:$Q212,"&gt;0")=1,1,0))</f>
        <v>0</v>
      </c>
      <c r="AA212" s="93" t="str">
        <f aca="false">IF($Q212&gt;0,$A212,"")</f>
        <v/>
      </c>
      <c r="AB212" s="91" t="n">
        <f aca="false">IF($K212="",0,1)</f>
        <v>0</v>
      </c>
      <c r="AC212" s="91" t="n">
        <f aca="false">IF($L212="",0,1)</f>
        <v>0</v>
      </c>
      <c r="AD212" s="91" t="n">
        <f aca="false">IF($M212="",0,1)</f>
        <v>0</v>
      </c>
      <c r="AE212" s="91" t="str">
        <f aca="false">IF($Q212&gt;0,$D212,"")</f>
        <v/>
      </c>
      <c r="AF212" s="1"/>
      <c r="AG212" s="1"/>
      <c r="AH212" s="1"/>
      <c r="AI212" s="1"/>
      <c r="AJ212" s="1"/>
      <c r="AK212" s="1"/>
      <c r="AL212" s="1"/>
      <c r="AM212" s="1"/>
      <c r="AN212" s="1"/>
    </row>
    <row r="213" customFormat="false" ht="18" hidden="false" customHeight="true" outlineLevel="0" collapsed="false">
      <c r="A213" s="86" t="n">
        <f aca="false">IF(ISNUMBER('Timeline Estacas'!A213),'Timeline Estacas'!A213,"")</f>
        <v>46357</v>
      </c>
      <c r="B213" s="87" t="n">
        <f aca="false">IF($A213="","",$A213)</f>
        <v>46357</v>
      </c>
      <c r="C213" s="88" t="n">
        <f aca="false">IF(ISNUMBER('Timeline Estacas'!C213),'Timeline Estacas'!C213,"")</f>
        <v>396</v>
      </c>
      <c r="D213" s="88" t="n">
        <f aca="false">IF(ISNUMBER('Timeline Estacas'!D213),'Timeline Estacas'!D213,"")</f>
        <v>57</v>
      </c>
      <c r="E213" s="88" t="str">
        <f aca="false">IF($D213="","","S-"&amp;TEXT($D213,"00"))</f>
        <v>S-57</v>
      </c>
      <c r="F213" s="88" t="str">
        <f aca="false">IF(ISNUMBER('Timeline Estacas'!F213),'Timeline Estacas'!F213,"")</f>
        <v/>
      </c>
      <c r="G213" s="88" t="str">
        <f aca="false">IF($F213="","",IF('Timeline Estacas'!G213&lt;&gt;"",'Timeline Estacas'!G213,'Timeline Estacas'!I213))</f>
        <v/>
      </c>
      <c r="H213" s="88" t="str">
        <f aca="false">IF(ISNUMBER('Timeline Estacas'!H213),'Timeline Estacas'!H213,"")</f>
        <v/>
      </c>
      <c r="I213" s="88" t="str">
        <f aca="false">IF($H213="","",'Timeline Estacas'!I213)</f>
        <v/>
      </c>
      <c r="J213" s="86" t="str">
        <f aca="false">IF(ISNUMBER('Timeline Estacas'!J213),'Timeline Estacas'!J213,"")</f>
        <v/>
      </c>
      <c r="K213" s="88" t="str">
        <f aca="false">IF('Timeline Estacas'!K213="","",'Timeline Estacas'!K213)</f>
        <v/>
      </c>
      <c r="L213" s="88" t="str">
        <f aca="false">IF('Timeline Estacas'!L213="","",'Timeline Estacas'!L213)</f>
        <v/>
      </c>
      <c r="M213" s="88" t="str">
        <f aca="false">IF('Timeline Estacas'!M213="","",'Timeline Estacas'!M213)</f>
        <v/>
      </c>
      <c r="N213" s="89" t="str">
        <f aca="false">IF('Timeline Estacas'!N213="","",'Timeline Estacas'!N213)</f>
        <v/>
      </c>
      <c r="O213" s="90" t="str">
        <f aca="false">IF(ISNUMBER('Timeline Estacas'!O213),'Timeline Estacas'!O213,"")</f>
        <v/>
      </c>
      <c r="P213" s="91" t="n">
        <f aca="false">IF($Q213&gt;0,1,0)</f>
        <v>0</v>
      </c>
      <c r="Q213" s="91" t="n">
        <f aca="false">IF($F213="",0,1)+IF($H213="",0,1)</f>
        <v>0</v>
      </c>
      <c r="R213" s="91" t="n">
        <f aca="false">IF($N213="",0,1)</f>
        <v>0</v>
      </c>
      <c r="S213" s="91" t="n">
        <f aca="false">IF($F213="",0,1)</f>
        <v>0</v>
      </c>
      <c r="T213" s="91" t="n">
        <f aca="false">IF($H213="",0,1)</f>
        <v>0</v>
      </c>
      <c r="U213" s="91" t="n">
        <f aca="false">IF($J213="",0,1)</f>
        <v>0</v>
      </c>
      <c r="V213" s="91" t="n">
        <f aca="true">IF($J213="",0,IF($J213&lt;=TODAY(),1,0))</f>
        <v>0</v>
      </c>
      <c r="W213" s="92" t="n">
        <f aca="false">IF($O213="",0,$O213)</f>
        <v>0</v>
      </c>
      <c r="X213" s="91" t="str">
        <f aca="false">IF($R213=1,SUM($R$2:$R213),"")</f>
        <v/>
      </c>
      <c r="Y213" s="91" t="n">
        <f aca="false">IF($F213="",0,IF(COUNTIF($F$2:$F213,$F213)+COUNTIF($H$2:$H213,$F213)&gt;1,1,0))+IF($H213="",0,IF(COUNTIF($F$2:$F213,$H213)+COUNTIF($H$2:$H213,$H213)&gt;1,1,0))</f>
        <v>0</v>
      </c>
      <c r="Z213" s="91" t="n">
        <f aca="false">IF($Q213=0,0,IF(COUNTIFS($A$2:$A213,$A213,$Q$2:$Q213,"&gt;0")=1,1,0))</f>
        <v>0</v>
      </c>
      <c r="AA213" s="93" t="str">
        <f aca="false">IF($Q213&gt;0,$A213,"")</f>
        <v/>
      </c>
      <c r="AB213" s="91" t="n">
        <f aca="false">IF($K213="",0,1)</f>
        <v>0</v>
      </c>
      <c r="AC213" s="91" t="n">
        <f aca="false">IF($L213="",0,1)</f>
        <v>0</v>
      </c>
      <c r="AD213" s="91" t="n">
        <f aca="false">IF($M213="",0,1)</f>
        <v>0</v>
      </c>
      <c r="AE213" s="91" t="str">
        <f aca="false">IF($Q213&gt;0,$D213,"")</f>
        <v/>
      </c>
      <c r="AF213" s="1"/>
      <c r="AG213" s="1"/>
      <c r="AH213" s="1"/>
      <c r="AI213" s="1"/>
      <c r="AJ213" s="1"/>
      <c r="AK213" s="1"/>
      <c r="AL213" s="1"/>
      <c r="AM213" s="1"/>
      <c r="AN213" s="1"/>
    </row>
    <row r="214" customFormat="false" ht="18" hidden="false" customHeight="true" outlineLevel="0" collapsed="false">
      <c r="A214" s="86" t="n">
        <f aca="false">IF(ISNUMBER('Timeline Estacas'!A214),'Timeline Estacas'!A214,"")</f>
        <v>46358</v>
      </c>
      <c r="B214" s="87" t="n">
        <f aca="false">IF($A214="","",$A214)</f>
        <v>46358</v>
      </c>
      <c r="C214" s="88" t="n">
        <f aca="false">IF(ISNUMBER('Timeline Estacas'!C214),'Timeline Estacas'!C214,"")</f>
        <v>397</v>
      </c>
      <c r="D214" s="88" t="n">
        <f aca="false">IF(ISNUMBER('Timeline Estacas'!D214),'Timeline Estacas'!D214,"")</f>
        <v>57</v>
      </c>
      <c r="E214" s="88" t="str">
        <f aca="false">IF($D214="","","S-"&amp;TEXT($D214,"00"))</f>
        <v>S-57</v>
      </c>
      <c r="F214" s="88" t="str">
        <f aca="false">IF(ISNUMBER('Timeline Estacas'!F214),'Timeline Estacas'!F214,"")</f>
        <v/>
      </c>
      <c r="G214" s="88" t="str">
        <f aca="false">IF($F214="","",IF('Timeline Estacas'!G214&lt;&gt;"",'Timeline Estacas'!G214,'Timeline Estacas'!I214))</f>
        <v/>
      </c>
      <c r="H214" s="88" t="str">
        <f aca="false">IF(ISNUMBER('Timeline Estacas'!H214),'Timeline Estacas'!H214,"")</f>
        <v/>
      </c>
      <c r="I214" s="88" t="str">
        <f aca="false">IF($H214="","",'Timeline Estacas'!I214)</f>
        <v/>
      </c>
      <c r="J214" s="86" t="str">
        <f aca="false">IF(ISNUMBER('Timeline Estacas'!J214),'Timeline Estacas'!J214,"")</f>
        <v/>
      </c>
      <c r="K214" s="88" t="str">
        <f aca="false">IF('Timeline Estacas'!K214="","",'Timeline Estacas'!K214)</f>
        <v/>
      </c>
      <c r="L214" s="88" t="str">
        <f aca="false">IF('Timeline Estacas'!L214="","",'Timeline Estacas'!L214)</f>
        <v/>
      </c>
      <c r="M214" s="88" t="str">
        <f aca="false">IF('Timeline Estacas'!M214="","",'Timeline Estacas'!M214)</f>
        <v/>
      </c>
      <c r="N214" s="89" t="str">
        <f aca="false">IF('Timeline Estacas'!N214="","",'Timeline Estacas'!N214)</f>
        <v/>
      </c>
      <c r="O214" s="90" t="str">
        <f aca="false">IF(ISNUMBER('Timeline Estacas'!O214),'Timeline Estacas'!O214,"")</f>
        <v/>
      </c>
      <c r="P214" s="91" t="n">
        <f aca="false">IF($Q214&gt;0,1,0)</f>
        <v>0</v>
      </c>
      <c r="Q214" s="91" t="n">
        <f aca="false">IF($F214="",0,1)+IF($H214="",0,1)</f>
        <v>0</v>
      </c>
      <c r="R214" s="91" t="n">
        <f aca="false">IF($N214="",0,1)</f>
        <v>0</v>
      </c>
      <c r="S214" s="91" t="n">
        <f aca="false">IF($F214="",0,1)</f>
        <v>0</v>
      </c>
      <c r="T214" s="91" t="n">
        <f aca="false">IF($H214="",0,1)</f>
        <v>0</v>
      </c>
      <c r="U214" s="91" t="n">
        <f aca="false">IF($J214="",0,1)</f>
        <v>0</v>
      </c>
      <c r="V214" s="91" t="n">
        <f aca="true">IF($J214="",0,IF($J214&lt;=TODAY(),1,0))</f>
        <v>0</v>
      </c>
      <c r="W214" s="92" t="n">
        <f aca="false">IF($O214="",0,$O214)</f>
        <v>0</v>
      </c>
      <c r="X214" s="91" t="str">
        <f aca="false">IF($R214=1,SUM($R$2:$R214),"")</f>
        <v/>
      </c>
      <c r="Y214" s="91" t="n">
        <f aca="false">IF($F214="",0,IF(COUNTIF($F$2:$F214,$F214)+COUNTIF($H$2:$H214,$F214)&gt;1,1,0))+IF($H214="",0,IF(COUNTIF($F$2:$F214,$H214)+COUNTIF($H$2:$H214,$H214)&gt;1,1,0))</f>
        <v>0</v>
      </c>
      <c r="Z214" s="91" t="n">
        <f aca="false">IF($Q214=0,0,IF(COUNTIFS($A$2:$A214,$A214,$Q$2:$Q214,"&gt;0")=1,1,0))</f>
        <v>0</v>
      </c>
      <c r="AA214" s="93" t="str">
        <f aca="false">IF($Q214&gt;0,$A214,"")</f>
        <v/>
      </c>
      <c r="AB214" s="91" t="n">
        <f aca="false">IF($K214="",0,1)</f>
        <v>0</v>
      </c>
      <c r="AC214" s="91" t="n">
        <f aca="false">IF($L214="",0,1)</f>
        <v>0</v>
      </c>
      <c r="AD214" s="91" t="n">
        <f aca="false">IF($M214="",0,1)</f>
        <v>0</v>
      </c>
      <c r="AE214" s="91" t="str">
        <f aca="false">IF($Q214&gt;0,$D214,"")</f>
        <v/>
      </c>
      <c r="AF214" s="1"/>
      <c r="AG214" s="1"/>
      <c r="AH214" s="1"/>
      <c r="AI214" s="1"/>
      <c r="AJ214" s="1"/>
      <c r="AK214" s="1"/>
      <c r="AL214" s="1"/>
      <c r="AM214" s="1"/>
      <c r="AN214" s="1"/>
    </row>
    <row r="215" customFormat="false" ht="18" hidden="false" customHeight="true" outlineLevel="0" collapsed="false">
      <c r="A215" s="86" t="n">
        <f aca="false">IF(ISNUMBER('Timeline Estacas'!A215),'Timeline Estacas'!A215,"")</f>
        <v>46359</v>
      </c>
      <c r="B215" s="87" t="n">
        <f aca="false">IF($A215="","",$A215)</f>
        <v>46359</v>
      </c>
      <c r="C215" s="88" t="n">
        <f aca="false">IF(ISNUMBER('Timeline Estacas'!C215),'Timeline Estacas'!C215,"")</f>
        <v>398</v>
      </c>
      <c r="D215" s="88" t="n">
        <f aca="false">IF(ISNUMBER('Timeline Estacas'!D215),'Timeline Estacas'!D215,"")</f>
        <v>57</v>
      </c>
      <c r="E215" s="88" t="str">
        <f aca="false">IF($D215="","","S-"&amp;TEXT($D215,"00"))</f>
        <v>S-57</v>
      </c>
      <c r="F215" s="88" t="str">
        <f aca="false">IF(ISNUMBER('Timeline Estacas'!F215),'Timeline Estacas'!F215,"")</f>
        <v/>
      </c>
      <c r="G215" s="88" t="str">
        <f aca="false">IF($F215="","",IF('Timeline Estacas'!G215&lt;&gt;"",'Timeline Estacas'!G215,'Timeline Estacas'!I215))</f>
        <v/>
      </c>
      <c r="H215" s="88" t="str">
        <f aca="false">IF(ISNUMBER('Timeline Estacas'!H215),'Timeline Estacas'!H215,"")</f>
        <v/>
      </c>
      <c r="I215" s="88" t="str">
        <f aca="false">IF($H215="","",'Timeline Estacas'!I215)</f>
        <v/>
      </c>
      <c r="J215" s="86" t="str">
        <f aca="false">IF(ISNUMBER('Timeline Estacas'!J215),'Timeline Estacas'!J215,"")</f>
        <v/>
      </c>
      <c r="K215" s="88" t="str">
        <f aca="false">IF('Timeline Estacas'!K215="","",'Timeline Estacas'!K215)</f>
        <v/>
      </c>
      <c r="L215" s="88" t="str">
        <f aca="false">IF('Timeline Estacas'!L215="","",'Timeline Estacas'!L215)</f>
        <v/>
      </c>
      <c r="M215" s="88" t="str">
        <f aca="false">IF('Timeline Estacas'!M215="","",'Timeline Estacas'!M215)</f>
        <v/>
      </c>
      <c r="N215" s="89" t="str">
        <f aca="false">IF('Timeline Estacas'!N215="","",'Timeline Estacas'!N215)</f>
        <v/>
      </c>
      <c r="O215" s="90" t="str">
        <f aca="false">IF(ISNUMBER('Timeline Estacas'!O215),'Timeline Estacas'!O215,"")</f>
        <v/>
      </c>
      <c r="P215" s="91" t="n">
        <f aca="false">IF($Q215&gt;0,1,0)</f>
        <v>0</v>
      </c>
      <c r="Q215" s="91" t="n">
        <f aca="false">IF($F215="",0,1)+IF($H215="",0,1)</f>
        <v>0</v>
      </c>
      <c r="R215" s="91" t="n">
        <f aca="false">IF($N215="",0,1)</f>
        <v>0</v>
      </c>
      <c r="S215" s="91" t="n">
        <f aca="false">IF($F215="",0,1)</f>
        <v>0</v>
      </c>
      <c r="T215" s="91" t="n">
        <f aca="false">IF($H215="",0,1)</f>
        <v>0</v>
      </c>
      <c r="U215" s="91" t="n">
        <f aca="false">IF($J215="",0,1)</f>
        <v>0</v>
      </c>
      <c r="V215" s="91" t="n">
        <f aca="true">IF($J215="",0,IF($J215&lt;=TODAY(),1,0))</f>
        <v>0</v>
      </c>
      <c r="W215" s="92" t="n">
        <f aca="false">IF($O215="",0,$O215)</f>
        <v>0</v>
      </c>
      <c r="X215" s="91" t="str">
        <f aca="false">IF($R215=1,SUM($R$2:$R215),"")</f>
        <v/>
      </c>
      <c r="Y215" s="91" t="n">
        <f aca="false">IF($F215="",0,IF(COUNTIF($F$2:$F215,$F215)+COUNTIF($H$2:$H215,$F215)&gt;1,1,0))+IF($H215="",0,IF(COUNTIF($F$2:$F215,$H215)+COUNTIF($H$2:$H215,$H215)&gt;1,1,0))</f>
        <v>0</v>
      </c>
      <c r="Z215" s="91" t="n">
        <f aca="false">IF($Q215=0,0,IF(COUNTIFS($A$2:$A215,$A215,$Q$2:$Q215,"&gt;0")=1,1,0))</f>
        <v>0</v>
      </c>
      <c r="AA215" s="93" t="str">
        <f aca="false">IF($Q215&gt;0,$A215,"")</f>
        <v/>
      </c>
      <c r="AB215" s="91" t="n">
        <f aca="false">IF($K215="",0,1)</f>
        <v>0</v>
      </c>
      <c r="AC215" s="91" t="n">
        <f aca="false">IF($L215="",0,1)</f>
        <v>0</v>
      </c>
      <c r="AD215" s="91" t="n">
        <f aca="false">IF($M215="",0,1)</f>
        <v>0</v>
      </c>
      <c r="AE215" s="91" t="str">
        <f aca="false">IF($Q215&gt;0,$D215,"")</f>
        <v/>
      </c>
      <c r="AF215" s="1"/>
      <c r="AG215" s="1"/>
      <c r="AH215" s="1"/>
      <c r="AI215" s="1"/>
      <c r="AJ215" s="1"/>
      <c r="AK215" s="1"/>
      <c r="AL215" s="1"/>
      <c r="AM215" s="1"/>
      <c r="AN215" s="1"/>
    </row>
    <row r="216" customFormat="false" ht="18" hidden="false" customHeight="true" outlineLevel="0" collapsed="false">
      <c r="A216" s="86" t="n">
        <f aca="false">IF(ISNUMBER('Timeline Estacas'!A216),'Timeline Estacas'!A216,"")</f>
        <v>46360</v>
      </c>
      <c r="B216" s="87" t="n">
        <f aca="false">IF($A216="","",$A216)</f>
        <v>46360</v>
      </c>
      <c r="C216" s="88" t="n">
        <f aca="false">IF(ISNUMBER('Timeline Estacas'!C216),'Timeline Estacas'!C216,"")</f>
        <v>399</v>
      </c>
      <c r="D216" s="88" t="n">
        <f aca="false">IF(ISNUMBER('Timeline Estacas'!D216),'Timeline Estacas'!D216,"")</f>
        <v>58</v>
      </c>
      <c r="E216" s="88" t="str">
        <f aca="false">IF($D216="","","S-"&amp;TEXT($D216,"00"))</f>
        <v>S-58</v>
      </c>
      <c r="F216" s="88" t="str">
        <f aca="false">IF(ISNUMBER('Timeline Estacas'!F216),'Timeline Estacas'!F216,"")</f>
        <v/>
      </c>
      <c r="G216" s="88" t="str">
        <f aca="false">IF($F216="","",IF('Timeline Estacas'!G216&lt;&gt;"",'Timeline Estacas'!G216,'Timeline Estacas'!I216))</f>
        <v/>
      </c>
      <c r="H216" s="88" t="str">
        <f aca="false">IF(ISNUMBER('Timeline Estacas'!H216),'Timeline Estacas'!H216,"")</f>
        <v/>
      </c>
      <c r="I216" s="88" t="str">
        <f aca="false">IF($H216="","",'Timeline Estacas'!I216)</f>
        <v/>
      </c>
      <c r="J216" s="86" t="str">
        <f aca="false">IF(ISNUMBER('Timeline Estacas'!J216),'Timeline Estacas'!J216,"")</f>
        <v/>
      </c>
      <c r="K216" s="88" t="str">
        <f aca="false">IF('Timeline Estacas'!K216="","",'Timeline Estacas'!K216)</f>
        <v/>
      </c>
      <c r="L216" s="88" t="str">
        <f aca="false">IF('Timeline Estacas'!L216="","",'Timeline Estacas'!L216)</f>
        <v/>
      </c>
      <c r="M216" s="88" t="str">
        <f aca="false">IF('Timeline Estacas'!M216="","",'Timeline Estacas'!M216)</f>
        <v/>
      </c>
      <c r="N216" s="89" t="str">
        <f aca="false">IF('Timeline Estacas'!N216="","",'Timeline Estacas'!N216)</f>
        <v/>
      </c>
      <c r="O216" s="90" t="str">
        <f aca="false">IF(ISNUMBER('Timeline Estacas'!O216),'Timeline Estacas'!O216,"")</f>
        <v/>
      </c>
      <c r="P216" s="91" t="n">
        <f aca="false">IF($Q216&gt;0,1,0)</f>
        <v>0</v>
      </c>
      <c r="Q216" s="91" t="n">
        <f aca="false">IF($F216="",0,1)+IF($H216="",0,1)</f>
        <v>0</v>
      </c>
      <c r="R216" s="91" t="n">
        <f aca="false">IF($N216="",0,1)</f>
        <v>0</v>
      </c>
      <c r="S216" s="91" t="n">
        <f aca="false">IF($F216="",0,1)</f>
        <v>0</v>
      </c>
      <c r="T216" s="91" t="n">
        <f aca="false">IF($H216="",0,1)</f>
        <v>0</v>
      </c>
      <c r="U216" s="91" t="n">
        <f aca="false">IF($J216="",0,1)</f>
        <v>0</v>
      </c>
      <c r="V216" s="91" t="n">
        <f aca="true">IF($J216="",0,IF($J216&lt;=TODAY(),1,0))</f>
        <v>0</v>
      </c>
      <c r="W216" s="92" t="n">
        <f aca="false">IF($O216="",0,$O216)</f>
        <v>0</v>
      </c>
      <c r="X216" s="91" t="str">
        <f aca="false">IF($R216=1,SUM($R$2:$R216),"")</f>
        <v/>
      </c>
      <c r="Y216" s="91" t="n">
        <f aca="false">IF($F216="",0,IF(COUNTIF($F$2:$F216,$F216)+COUNTIF($H$2:$H216,$F216)&gt;1,1,0))+IF($H216="",0,IF(COUNTIF($F$2:$F216,$H216)+COUNTIF($H$2:$H216,$H216)&gt;1,1,0))</f>
        <v>0</v>
      </c>
      <c r="Z216" s="91" t="n">
        <f aca="false">IF($Q216=0,0,IF(COUNTIFS($A$2:$A216,$A216,$Q$2:$Q216,"&gt;0")=1,1,0))</f>
        <v>0</v>
      </c>
      <c r="AA216" s="93" t="str">
        <f aca="false">IF($Q216&gt;0,$A216,"")</f>
        <v/>
      </c>
      <c r="AB216" s="91" t="n">
        <f aca="false">IF($K216="",0,1)</f>
        <v>0</v>
      </c>
      <c r="AC216" s="91" t="n">
        <f aca="false">IF($L216="",0,1)</f>
        <v>0</v>
      </c>
      <c r="AD216" s="91" t="n">
        <f aca="false">IF($M216="",0,1)</f>
        <v>0</v>
      </c>
      <c r="AE216" s="91" t="str">
        <f aca="false">IF($Q216&gt;0,$D216,"")</f>
        <v/>
      </c>
      <c r="AF216" s="1"/>
      <c r="AG216" s="1"/>
      <c r="AH216" s="1"/>
      <c r="AI216" s="1"/>
      <c r="AJ216" s="1"/>
      <c r="AK216" s="1"/>
      <c r="AL216" s="1"/>
      <c r="AM216" s="1"/>
      <c r="AN216" s="1"/>
    </row>
    <row r="217" customFormat="false" ht="18" hidden="false" customHeight="true" outlineLevel="0" collapsed="false">
      <c r="A217" s="86" t="n">
        <f aca="false">IF(ISNUMBER('Timeline Estacas'!A217),'Timeline Estacas'!A217,"")</f>
        <v>46361</v>
      </c>
      <c r="B217" s="87" t="n">
        <f aca="false">IF($A217="","",$A217)</f>
        <v>46361</v>
      </c>
      <c r="C217" s="88" t="n">
        <f aca="false">IF(ISNUMBER('Timeline Estacas'!C217),'Timeline Estacas'!C217,"")</f>
        <v>400</v>
      </c>
      <c r="D217" s="88" t="n">
        <f aca="false">IF(ISNUMBER('Timeline Estacas'!D217),'Timeline Estacas'!D217,"")</f>
        <v>58</v>
      </c>
      <c r="E217" s="88" t="str">
        <f aca="false">IF($D217="","","S-"&amp;TEXT($D217,"00"))</f>
        <v>S-58</v>
      </c>
      <c r="F217" s="88" t="str">
        <f aca="false">IF(ISNUMBER('Timeline Estacas'!F217),'Timeline Estacas'!F217,"")</f>
        <v/>
      </c>
      <c r="G217" s="88" t="str">
        <f aca="false">IF($F217="","",IF('Timeline Estacas'!G217&lt;&gt;"",'Timeline Estacas'!G217,'Timeline Estacas'!I217))</f>
        <v/>
      </c>
      <c r="H217" s="88" t="str">
        <f aca="false">IF(ISNUMBER('Timeline Estacas'!H217),'Timeline Estacas'!H217,"")</f>
        <v/>
      </c>
      <c r="I217" s="88" t="str">
        <f aca="false">IF($H217="","",'Timeline Estacas'!I217)</f>
        <v/>
      </c>
      <c r="J217" s="86" t="str">
        <f aca="false">IF(ISNUMBER('Timeline Estacas'!J217),'Timeline Estacas'!J217,"")</f>
        <v/>
      </c>
      <c r="K217" s="88" t="str">
        <f aca="false">IF('Timeline Estacas'!K217="","",'Timeline Estacas'!K217)</f>
        <v/>
      </c>
      <c r="L217" s="88" t="str">
        <f aca="false">IF('Timeline Estacas'!L217="","",'Timeline Estacas'!L217)</f>
        <v/>
      </c>
      <c r="M217" s="88" t="str">
        <f aca="false">IF('Timeline Estacas'!M217="","",'Timeline Estacas'!M217)</f>
        <v/>
      </c>
      <c r="N217" s="89" t="str">
        <f aca="false">IF('Timeline Estacas'!N217="","",'Timeline Estacas'!N217)</f>
        <v/>
      </c>
      <c r="O217" s="90" t="str">
        <f aca="false">IF(ISNUMBER('Timeline Estacas'!O217),'Timeline Estacas'!O217,"")</f>
        <v/>
      </c>
      <c r="P217" s="91" t="n">
        <f aca="false">IF($Q217&gt;0,1,0)</f>
        <v>0</v>
      </c>
      <c r="Q217" s="91" t="n">
        <f aca="false">IF($F217="",0,1)+IF($H217="",0,1)</f>
        <v>0</v>
      </c>
      <c r="R217" s="91" t="n">
        <f aca="false">IF($N217="",0,1)</f>
        <v>0</v>
      </c>
      <c r="S217" s="91" t="n">
        <f aca="false">IF($F217="",0,1)</f>
        <v>0</v>
      </c>
      <c r="T217" s="91" t="n">
        <f aca="false">IF($H217="",0,1)</f>
        <v>0</v>
      </c>
      <c r="U217" s="91" t="n">
        <f aca="false">IF($J217="",0,1)</f>
        <v>0</v>
      </c>
      <c r="V217" s="91" t="n">
        <f aca="true">IF($J217="",0,IF($J217&lt;=TODAY(),1,0))</f>
        <v>0</v>
      </c>
      <c r="W217" s="92" t="n">
        <f aca="false">IF($O217="",0,$O217)</f>
        <v>0</v>
      </c>
      <c r="X217" s="91" t="str">
        <f aca="false">IF($R217=1,SUM($R$2:$R217),"")</f>
        <v/>
      </c>
      <c r="Y217" s="91" t="n">
        <f aca="false">IF($F217="",0,IF(COUNTIF($F$2:$F217,$F217)+COUNTIF($H$2:$H217,$F217)&gt;1,1,0))+IF($H217="",0,IF(COUNTIF($F$2:$F217,$H217)+COUNTIF($H$2:$H217,$H217)&gt;1,1,0))</f>
        <v>0</v>
      </c>
      <c r="Z217" s="91" t="n">
        <f aca="false">IF($Q217=0,0,IF(COUNTIFS($A$2:$A217,$A217,$Q$2:$Q217,"&gt;0")=1,1,0))</f>
        <v>0</v>
      </c>
      <c r="AA217" s="93" t="str">
        <f aca="false">IF($Q217&gt;0,$A217,"")</f>
        <v/>
      </c>
      <c r="AB217" s="91" t="n">
        <f aca="false">IF($K217="",0,1)</f>
        <v>0</v>
      </c>
      <c r="AC217" s="91" t="n">
        <f aca="false">IF($L217="",0,1)</f>
        <v>0</v>
      </c>
      <c r="AD217" s="91" t="n">
        <f aca="false">IF($M217="",0,1)</f>
        <v>0</v>
      </c>
      <c r="AE217" s="91" t="str">
        <f aca="false">IF($Q217&gt;0,$D217,"")</f>
        <v/>
      </c>
      <c r="AF217" s="1"/>
      <c r="AG217" s="1"/>
      <c r="AH217" s="1"/>
      <c r="AI217" s="1"/>
      <c r="AJ217" s="1"/>
      <c r="AK217" s="1"/>
      <c r="AL217" s="1"/>
      <c r="AM217" s="1"/>
      <c r="AN217" s="1"/>
    </row>
    <row r="218" customFormat="false" ht="18" hidden="false" customHeight="true" outlineLevel="0" collapsed="false">
      <c r="A218" s="86" t="n">
        <f aca="false">IF(ISNUMBER('Timeline Estacas'!A218),'Timeline Estacas'!A218,"")</f>
        <v>46362</v>
      </c>
      <c r="B218" s="87" t="n">
        <f aca="false">IF($A218="","",$A218)</f>
        <v>46362</v>
      </c>
      <c r="C218" s="88" t="n">
        <f aca="false">IF(ISNUMBER('Timeline Estacas'!C218),'Timeline Estacas'!C218,"")</f>
        <v>401</v>
      </c>
      <c r="D218" s="88" t="n">
        <f aca="false">IF(ISNUMBER('Timeline Estacas'!D218),'Timeline Estacas'!D218,"")</f>
        <v>58</v>
      </c>
      <c r="E218" s="88" t="str">
        <f aca="false">IF($D218="","","S-"&amp;TEXT($D218,"00"))</f>
        <v>S-58</v>
      </c>
      <c r="F218" s="88" t="str">
        <f aca="false">IF(ISNUMBER('Timeline Estacas'!F218),'Timeline Estacas'!F218,"")</f>
        <v/>
      </c>
      <c r="G218" s="88" t="str">
        <f aca="false">IF($F218="","",IF('Timeline Estacas'!G218&lt;&gt;"",'Timeline Estacas'!G218,'Timeline Estacas'!I218))</f>
        <v/>
      </c>
      <c r="H218" s="88" t="str">
        <f aca="false">IF(ISNUMBER('Timeline Estacas'!H218),'Timeline Estacas'!H218,"")</f>
        <v/>
      </c>
      <c r="I218" s="88" t="str">
        <f aca="false">IF($H218="","",'Timeline Estacas'!I218)</f>
        <v/>
      </c>
      <c r="J218" s="86" t="str">
        <f aca="false">IF(ISNUMBER('Timeline Estacas'!J218),'Timeline Estacas'!J218,"")</f>
        <v/>
      </c>
      <c r="K218" s="88" t="str">
        <f aca="false">IF('Timeline Estacas'!K218="","",'Timeline Estacas'!K218)</f>
        <v/>
      </c>
      <c r="L218" s="88" t="str">
        <f aca="false">IF('Timeline Estacas'!L218="","",'Timeline Estacas'!L218)</f>
        <v/>
      </c>
      <c r="M218" s="88" t="str">
        <f aca="false">IF('Timeline Estacas'!M218="","",'Timeline Estacas'!M218)</f>
        <v/>
      </c>
      <c r="N218" s="89" t="str">
        <f aca="false">IF('Timeline Estacas'!N218="","",'Timeline Estacas'!N218)</f>
        <v/>
      </c>
      <c r="O218" s="90" t="str">
        <f aca="false">IF(ISNUMBER('Timeline Estacas'!O218),'Timeline Estacas'!O218,"")</f>
        <v/>
      </c>
      <c r="P218" s="91" t="n">
        <f aca="false">IF($Q218&gt;0,1,0)</f>
        <v>0</v>
      </c>
      <c r="Q218" s="91" t="n">
        <f aca="false">IF($F218="",0,1)+IF($H218="",0,1)</f>
        <v>0</v>
      </c>
      <c r="R218" s="91" t="n">
        <f aca="false">IF($N218="",0,1)</f>
        <v>0</v>
      </c>
      <c r="S218" s="91" t="n">
        <f aca="false">IF($F218="",0,1)</f>
        <v>0</v>
      </c>
      <c r="T218" s="91" t="n">
        <f aca="false">IF($H218="",0,1)</f>
        <v>0</v>
      </c>
      <c r="U218" s="91" t="n">
        <f aca="false">IF($J218="",0,1)</f>
        <v>0</v>
      </c>
      <c r="V218" s="91" t="n">
        <f aca="true">IF($J218="",0,IF($J218&lt;=TODAY(),1,0))</f>
        <v>0</v>
      </c>
      <c r="W218" s="92" t="n">
        <f aca="false">IF($O218="",0,$O218)</f>
        <v>0</v>
      </c>
      <c r="X218" s="91" t="str">
        <f aca="false">IF($R218=1,SUM($R$2:$R218),"")</f>
        <v/>
      </c>
      <c r="Y218" s="91" t="n">
        <f aca="false">IF($F218="",0,IF(COUNTIF($F$2:$F218,$F218)+COUNTIF($H$2:$H218,$F218)&gt;1,1,0))+IF($H218="",0,IF(COUNTIF($F$2:$F218,$H218)+COUNTIF($H$2:$H218,$H218)&gt;1,1,0))</f>
        <v>0</v>
      </c>
      <c r="Z218" s="91" t="n">
        <f aca="false">IF($Q218=0,0,IF(COUNTIFS($A$2:$A218,$A218,$Q$2:$Q218,"&gt;0")=1,1,0))</f>
        <v>0</v>
      </c>
      <c r="AA218" s="93" t="str">
        <f aca="false">IF($Q218&gt;0,$A218,"")</f>
        <v/>
      </c>
      <c r="AB218" s="91" t="n">
        <f aca="false">IF($K218="",0,1)</f>
        <v>0</v>
      </c>
      <c r="AC218" s="91" t="n">
        <f aca="false">IF($L218="",0,1)</f>
        <v>0</v>
      </c>
      <c r="AD218" s="91" t="n">
        <f aca="false">IF($M218="",0,1)</f>
        <v>0</v>
      </c>
      <c r="AE218" s="91" t="str">
        <f aca="false">IF($Q218&gt;0,$D218,"")</f>
        <v/>
      </c>
      <c r="AF218" s="1"/>
      <c r="AG218" s="1"/>
      <c r="AH218" s="1"/>
      <c r="AI218" s="1"/>
      <c r="AJ218" s="1"/>
      <c r="AK218" s="1"/>
      <c r="AL218" s="1"/>
      <c r="AM218" s="1"/>
      <c r="AN218" s="1"/>
    </row>
    <row r="219" customFormat="false" ht="18" hidden="false" customHeight="true" outlineLevel="0" collapsed="false">
      <c r="A219" s="86" t="n">
        <f aca="false">IF(ISNUMBER('Timeline Estacas'!A219),'Timeline Estacas'!A219,"")</f>
        <v>46363</v>
      </c>
      <c r="B219" s="87" t="n">
        <f aca="false">IF($A219="","",$A219)</f>
        <v>46363</v>
      </c>
      <c r="C219" s="88" t="n">
        <f aca="false">IF(ISNUMBER('Timeline Estacas'!C219),'Timeline Estacas'!C219,"")</f>
        <v>402</v>
      </c>
      <c r="D219" s="88" t="n">
        <f aca="false">IF(ISNUMBER('Timeline Estacas'!D219),'Timeline Estacas'!D219,"")</f>
        <v>58</v>
      </c>
      <c r="E219" s="88" t="str">
        <f aca="false">IF($D219="","","S-"&amp;TEXT($D219,"00"))</f>
        <v>S-58</v>
      </c>
      <c r="F219" s="88" t="str">
        <f aca="false">IF(ISNUMBER('Timeline Estacas'!F219),'Timeline Estacas'!F219,"")</f>
        <v/>
      </c>
      <c r="G219" s="88" t="str">
        <f aca="false">IF($F219="","",IF('Timeline Estacas'!G219&lt;&gt;"",'Timeline Estacas'!G219,'Timeline Estacas'!I219))</f>
        <v/>
      </c>
      <c r="H219" s="88" t="str">
        <f aca="false">IF(ISNUMBER('Timeline Estacas'!H219),'Timeline Estacas'!H219,"")</f>
        <v/>
      </c>
      <c r="I219" s="88" t="str">
        <f aca="false">IF($H219="","",'Timeline Estacas'!I219)</f>
        <v/>
      </c>
      <c r="J219" s="86" t="str">
        <f aca="false">IF(ISNUMBER('Timeline Estacas'!J219),'Timeline Estacas'!J219,"")</f>
        <v/>
      </c>
      <c r="K219" s="88" t="str">
        <f aca="false">IF('Timeline Estacas'!K219="","",'Timeline Estacas'!K219)</f>
        <v/>
      </c>
      <c r="L219" s="88" t="str">
        <f aca="false">IF('Timeline Estacas'!L219="","",'Timeline Estacas'!L219)</f>
        <v/>
      </c>
      <c r="M219" s="88" t="str">
        <f aca="false">IF('Timeline Estacas'!M219="","",'Timeline Estacas'!M219)</f>
        <v/>
      </c>
      <c r="N219" s="89" t="str">
        <f aca="false">IF('Timeline Estacas'!N219="","",'Timeline Estacas'!N219)</f>
        <v/>
      </c>
      <c r="O219" s="90" t="str">
        <f aca="false">IF(ISNUMBER('Timeline Estacas'!O219),'Timeline Estacas'!O219,"")</f>
        <v/>
      </c>
      <c r="P219" s="91" t="n">
        <f aca="false">IF($Q219&gt;0,1,0)</f>
        <v>0</v>
      </c>
      <c r="Q219" s="91" t="n">
        <f aca="false">IF($F219="",0,1)+IF($H219="",0,1)</f>
        <v>0</v>
      </c>
      <c r="R219" s="91" t="n">
        <f aca="false">IF($N219="",0,1)</f>
        <v>0</v>
      </c>
      <c r="S219" s="91" t="n">
        <f aca="false">IF($F219="",0,1)</f>
        <v>0</v>
      </c>
      <c r="T219" s="91" t="n">
        <f aca="false">IF($H219="",0,1)</f>
        <v>0</v>
      </c>
      <c r="U219" s="91" t="n">
        <f aca="false">IF($J219="",0,1)</f>
        <v>0</v>
      </c>
      <c r="V219" s="91" t="n">
        <f aca="true">IF($J219="",0,IF($J219&lt;=TODAY(),1,0))</f>
        <v>0</v>
      </c>
      <c r="W219" s="92" t="n">
        <f aca="false">IF($O219="",0,$O219)</f>
        <v>0</v>
      </c>
      <c r="X219" s="91" t="str">
        <f aca="false">IF($R219=1,SUM($R$2:$R219),"")</f>
        <v/>
      </c>
      <c r="Y219" s="91" t="n">
        <f aca="false">IF($F219="",0,IF(COUNTIF($F$2:$F219,$F219)+COUNTIF($H$2:$H219,$F219)&gt;1,1,0))+IF($H219="",0,IF(COUNTIF($F$2:$F219,$H219)+COUNTIF($H$2:$H219,$H219)&gt;1,1,0))</f>
        <v>0</v>
      </c>
      <c r="Z219" s="91" t="n">
        <f aca="false">IF($Q219=0,0,IF(COUNTIFS($A$2:$A219,$A219,$Q$2:$Q219,"&gt;0")=1,1,0))</f>
        <v>0</v>
      </c>
      <c r="AA219" s="93" t="str">
        <f aca="false">IF($Q219&gt;0,$A219,"")</f>
        <v/>
      </c>
      <c r="AB219" s="91" t="n">
        <f aca="false">IF($K219="",0,1)</f>
        <v>0</v>
      </c>
      <c r="AC219" s="91" t="n">
        <f aca="false">IF($L219="",0,1)</f>
        <v>0</v>
      </c>
      <c r="AD219" s="91" t="n">
        <f aca="false">IF($M219="",0,1)</f>
        <v>0</v>
      </c>
      <c r="AE219" s="91" t="str">
        <f aca="false">IF($Q219&gt;0,$D219,"")</f>
        <v/>
      </c>
      <c r="AF219" s="1"/>
      <c r="AG219" s="1"/>
      <c r="AH219" s="1"/>
      <c r="AI219" s="1"/>
      <c r="AJ219" s="1"/>
      <c r="AK219" s="1"/>
      <c r="AL219" s="1"/>
      <c r="AM219" s="1"/>
      <c r="AN219" s="1"/>
    </row>
    <row r="220" customFormat="false" ht="18" hidden="false" customHeight="true" outlineLevel="0" collapsed="false">
      <c r="A220" s="86" t="n">
        <f aca="false">IF(ISNUMBER('Timeline Estacas'!A220),'Timeline Estacas'!A220,"")</f>
        <v>46364</v>
      </c>
      <c r="B220" s="87" t="n">
        <f aca="false">IF($A220="","",$A220)</f>
        <v>46364</v>
      </c>
      <c r="C220" s="88" t="n">
        <f aca="false">IF(ISNUMBER('Timeline Estacas'!C220),'Timeline Estacas'!C220,"")</f>
        <v>403</v>
      </c>
      <c r="D220" s="88" t="n">
        <f aca="false">IF(ISNUMBER('Timeline Estacas'!D220),'Timeline Estacas'!D220,"")</f>
        <v>58</v>
      </c>
      <c r="E220" s="88" t="str">
        <f aca="false">IF($D220="","","S-"&amp;TEXT($D220,"00"))</f>
        <v>S-58</v>
      </c>
      <c r="F220" s="88" t="str">
        <f aca="false">IF(ISNUMBER('Timeline Estacas'!F220),'Timeline Estacas'!F220,"")</f>
        <v/>
      </c>
      <c r="G220" s="88" t="str">
        <f aca="false">IF($F220="","",IF('Timeline Estacas'!G220&lt;&gt;"",'Timeline Estacas'!G220,'Timeline Estacas'!I220))</f>
        <v/>
      </c>
      <c r="H220" s="88" t="str">
        <f aca="false">IF(ISNUMBER('Timeline Estacas'!H220),'Timeline Estacas'!H220,"")</f>
        <v/>
      </c>
      <c r="I220" s="88" t="str">
        <f aca="false">IF($H220="","",'Timeline Estacas'!I220)</f>
        <v/>
      </c>
      <c r="J220" s="86" t="str">
        <f aca="false">IF(ISNUMBER('Timeline Estacas'!J220),'Timeline Estacas'!J220,"")</f>
        <v/>
      </c>
      <c r="K220" s="88" t="str">
        <f aca="false">IF('Timeline Estacas'!K220="","",'Timeline Estacas'!K220)</f>
        <v/>
      </c>
      <c r="L220" s="88" t="str">
        <f aca="false">IF('Timeline Estacas'!L220="","",'Timeline Estacas'!L220)</f>
        <v/>
      </c>
      <c r="M220" s="88" t="str">
        <f aca="false">IF('Timeline Estacas'!M220="","",'Timeline Estacas'!M220)</f>
        <v/>
      </c>
      <c r="N220" s="89" t="str">
        <f aca="false">IF('Timeline Estacas'!N220="","",'Timeline Estacas'!N220)</f>
        <v/>
      </c>
      <c r="O220" s="90" t="str">
        <f aca="false">IF(ISNUMBER('Timeline Estacas'!O220),'Timeline Estacas'!O220,"")</f>
        <v/>
      </c>
      <c r="P220" s="91" t="n">
        <f aca="false">IF($Q220&gt;0,1,0)</f>
        <v>0</v>
      </c>
      <c r="Q220" s="91" t="n">
        <f aca="false">IF($F220="",0,1)+IF($H220="",0,1)</f>
        <v>0</v>
      </c>
      <c r="R220" s="91" t="n">
        <f aca="false">IF($N220="",0,1)</f>
        <v>0</v>
      </c>
      <c r="S220" s="91" t="n">
        <f aca="false">IF($F220="",0,1)</f>
        <v>0</v>
      </c>
      <c r="T220" s="91" t="n">
        <f aca="false">IF($H220="",0,1)</f>
        <v>0</v>
      </c>
      <c r="U220" s="91" t="n">
        <f aca="false">IF($J220="",0,1)</f>
        <v>0</v>
      </c>
      <c r="V220" s="91" t="n">
        <f aca="true">IF($J220="",0,IF($J220&lt;=TODAY(),1,0))</f>
        <v>0</v>
      </c>
      <c r="W220" s="92" t="n">
        <f aca="false">IF($O220="",0,$O220)</f>
        <v>0</v>
      </c>
      <c r="X220" s="91" t="str">
        <f aca="false">IF($R220=1,SUM($R$2:$R220),"")</f>
        <v/>
      </c>
      <c r="Y220" s="91" t="n">
        <f aca="false">IF($F220="",0,IF(COUNTIF($F$2:$F220,$F220)+COUNTIF($H$2:$H220,$F220)&gt;1,1,0))+IF($H220="",0,IF(COUNTIF($F$2:$F220,$H220)+COUNTIF($H$2:$H220,$H220)&gt;1,1,0))</f>
        <v>0</v>
      </c>
      <c r="Z220" s="91" t="n">
        <f aca="false">IF($Q220=0,0,IF(COUNTIFS($A$2:$A220,$A220,$Q$2:$Q220,"&gt;0")=1,1,0))</f>
        <v>0</v>
      </c>
      <c r="AA220" s="93" t="str">
        <f aca="false">IF($Q220&gt;0,$A220,"")</f>
        <v/>
      </c>
      <c r="AB220" s="91" t="n">
        <f aca="false">IF($K220="",0,1)</f>
        <v>0</v>
      </c>
      <c r="AC220" s="91" t="n">
        <f aca="false">IF($L220="",0,1)</f>
        <v>0</v>
      </c>
      <c r="AD220" s="91" t="n">
        <f aca="false">IF($M220="",0,1)</f>
        <v>0</v>
      </c>
      <c r="AE220" s="91" t="str">
        <f aca="false">IF($Q220&gt;0,$D220,"")</f>
        <v/>
      </c>
      <c r="AF220" s="1"/>
      <c r="AG220" s="1"/>
      <c r="AH220" s="1"/>
      <c r="AI220" s="1"/>
      <c r="AJ220" s="1"/>
      <c r="AK220" s="1"/>
      <c r="AL220" s="1"/>
      <c r="AM220" s="1"/>
      <c r="AN220" s="1"/>
    </row>
    <row r="221" customFormat="false" ht="18" hidden="false" customHeight="true" outlineLevel="0" collapsed="false">
      <c r="A221" s="86" t="n">
        <f aca="false">IF(ISNUMBER('Timeline Estacas'!A221),'Timeline Estacas'!A221,"")</f>
        <v>46365</v>
      </c>
      <c r="B221" s="87" t="n">
        <f aca="false">IF($A221="","",$A221)</f>
        <v>46365</v>
      </c>
      <c r="C221" s="88" t="n">
        <f aca="false">IF(ISNUMBER('Timeline Estacas'!C221),'Timeline Estacas'!C221,"")</f>
        <v>404</v>
      </c>
      <c r="D221" s="88" t="n">
        <f aca="false">IF(ISNUMBER('Timeline Estacas'!D221),'Timeline Estacas'!D221,"")</f>
        <v>58</v>
      </c>
      <c r="E221" s="88" t="str">
        <f aca="false">IF($D221="","","S-"&amp;TEXT($D221,"00"))</f>
        <v>S-58</v>
      </c>
      <c r="F221" s="88" t="str">
        <f aca="false">IF(ISNUMBER('Timeline Estacas'!F221),'Timeline Estacas'!F221,"")</f>
        <v/>
      </c>
      <c r="G221" s="88" t="str">
        <f aca="false">IF($F221="","",IF('Timeline Estacas'!G221&lt;&gt;"",'Timeline Estacas'!G221,'Timeline Estacas'!I221))</f>
        <v/>
      </c>
      <c r="H221" s="88" t="str">
        <f aca="false">IF(ISNUMBER('Timeline Estacas'!H221),'Timeline Estacas'!H221,"")</f>
        <v/>
      </c>
      <c r="I221" s="88" t="str">
        <f aca="false">IF($H221="","",'Timeline Estacas'!I221)</f>
        <v/>
      </c>
      <c r="J221" s="86" t="str">
        <f aca="false">IF(ISNUMBER('Timeline Estacas'!J221),'Timeline Estacas'!J221,"")</f>
        <v/>
      </c>
      <c r="K221" s="88" t="str">
        <f aca="false">IF('Timeline Estacas'!K221="","",'Timeline Estacas'!K221)</f>
        <v/>
      </c>
      <c r="L221" s="88" t="str">
        <f aca="false">IF('Timeline Estacas'!L221="","",'Timeline Estacas'!L221)</f>
        <v/>
      </c>
      <c r="M221" s="88" t="str">
        <f aca="false">IF('Timeline Estacas'!M221="","",'Timeline Estacas'!M221)</f>
        <v/>
      </c>
      <c r="N221" s="89" t="str">
        <f aca="false">IF('Timeline Estacas'!N221="","",'Timeline Estacas'!N221)</f>
        <v/>
      </c>
      <c r="O221" s="90" t="str">
        <f aca="false">IF(ISNUMBER('Timeline Estacas'!O221),'Timeline Estacas'!O221,"")</f>
        <v/>
      </c>
      <c r="P221" s="91" t="n">
        <f aca="false">IF($Q221&gt;0,1,0)</f>
        <v>0</v>
      </c>
      <c r="Q221" s="91" t="n">
        <f aca="false">IF($F221="",0,1)+IF($H221="",0,1)</f>
        <v>0</v>
      </c>
      <c r="R221" s="91" t="n">
        <f aca="false">IF($N221="",0,1)</f>
        <v>0</v>
      </c>
      <c r="S221" s="91" t="n">
        <f aca="false">IF($F221="",0,1)</f>
        <v>0</v>
      </c>
      <c r="T221" s="91" t="n">
        <f aca="false">IF($H221="",0,1)</f>
        <v>0</v>
      </c>
      <c r="U221" s="91" t="n">
        <f aca="false">IF($J221="",0,1)</f>
        <v>0</v>
      </c>
      <c r="V221" s="91" t="n">
        <f aca="true">IF($J221="",0,IF($J221&lt;=TODAY(),1,0))</f>
        <v>0</v>
      </c>
      <c r="W221" s="92" t="n">
        <f aca="false">IF($O221="",0,$O221)</f>
        <v>0</v>
      </c>
      <c r="X221" s="91" t="str">
        <f aca="false">IF($R221=1,SUM($R$2:$R221),"")</f>
        <v/>
      </c>
      <c r="Y221" s="91" t="n">
        <f aca="false">IF($F221="",0,IF(COUNTIF($F$2:$F221,$F221)+COUNTIF($H$2:$H221,$F221)&gt;1,1,0))+IF($H221="",0,IF(COUNTIF($F$2:$F221,$H221)+COUNTIF($H$2:$H221,$H221)&gt;1,1,0))</f>
        <v>0</v>
      </c>
      <c r="Z221" s="91" t="n">
        <f aca="false">IF($Q221=0,0,IF(COUNTIFS($A$2:$A221,$A221,$Q$2:$Q221,"&gt;0")=1,1,0))</f>
        <v>0</v>
      </c>
      <c r="AA221" s="93" t="str">
        <f aca="false">IF($Q221&gt;0,$A221,"")</f>
        <v/>
      </c>
      <c r="AB221" s="91" t="n">
        <f aca="false">IF($K221="",0,1)</f>
        <v>0</v>
      </c>
      <c r="AC221" s="91" t="n">
        <f aca="false">IF($L221="",0,1)</f>
        <v>0</v>
      </c>
      <c r="AD221" s="91" t="n">
        <f aca="false">IF($M221="",0,1)</f>
        <v>0</v>
      </c>
      <c r="AE221" s="91" t="str">
        <f aca="false">IF($Q221&gt;0,$D221,"")</f>
        <v/>
      </c>
      <c r="AF221" s="1"/>
      <c r="AG221" s="1"/>
      <c r="AH221" s="1"/>
      <c r="AI221" s="1"/>
      <c r="AJ221" s="1"/>
      <c r="AK221" s="1"/>
      <c r="AL221" s="1"/>
      <c r="AM221" s="1"/>
      <c r="AN221" s="1"/>
    </row>
    <row r="222" customFormat="false" ht="18" hidden="false" customHeight="true" outlineLevel="0" collapsed="false">
      <c r="A222" s="86" t="n">
        <f aca="false">IF(ISNUMBER('Timeline Estacas'!A222),'Timeline Estacas'!A222,"")</f>
        <v>46366</v>
      </c>
      <c r="B222" s="87" t="n">
        <f aca="false">IF($A222="","",$A222)</f>
        <v>46366</v>
      </c>
      <c r="C222" s="88" t="n">
        <f aca="false">IF(ISNUMBER('Timeline Estacas'!C222),'Timeline Estacas'!C222,"")</f>
        <v>405</v>
      </c>
      <c r="D222" s="88" t="n">
        <f aca="false">IF(ISNUMBER('Timeline Estacas'!D222),'Timeline Estacas'!D222,"")</f>
        <v>58</v>
      </c>
      <c r="E222" s="88" t="str">
        <f aca="false">IF($D222="","","S-"&amp;TEXT($D222,"00"))</f>
        <v>S-58</v>
      </c>
      <c r="F222" s="88" t="str">
        <f aca="false">IF(ISNUMBER('Timeline Estacas'!F222),'Timeline Estacas'!F222,"")</f>
        <v/>
      </c>
      <c r="G222" s="88" t="str">
        <f aca="false">IF($F222="","",IF('Timeline Estacas'!G222&lt;&gt;"",'Timeline Estacas'!G222,'Timeline Estacas'!I222))</f>
        <v/>
      </c>
      <c r="H222" s="88" t="str">
        <f aca="false">IF(ISNUMBER('Timeline Estacas'!H222),'Timeline Estacas'!H222,"")</f>
        <v/>
      </c>
      <c r="I222" s="88" t="str">
        <f aca="false">IF($H222="","",'Timeline Estacas'!I222)</f>
        <v/>
      </c>
      <c r="J222" s="86" t="str">
        <f aca="false">IF(ISNUMBER('Timeline Estacas'!J222),'Timeline Estacas'!J222,"")</f>
        <v/>
      </c>
      <c r="K222" s="88" t="str">
        <f aca="false">IF('Timeline Estacas'!K222="","",'Timeline Estacas'!K222)</f>
        <v/>
      </c>
      <c r="L222" s="88" t="str">
        <f aca="false">IF('Timeline Estacas'!L222="","",'Timeline Estacas'!L222)</f>
        <v/>
      </c>
      <c r="M222" s="88" t="str">
        <f aca="false">IF('Timeline Estacas'!M222="","",'Timeline Estacas'!M222)</f>
        <v/>
      </c>
      <c r="N222" s="89" t="str">
        <f aca="false">IF('Timeline Estacas'!N222="","",'Timeline Estacas'!N222)</f>
        <v/>
      </c>
      <c r="O222" s="90" t="str">
        <f aca="false">IF(ISNUMBER('Timeline Estacas'!O222),'Timeline Estacas'!O222,"")</f>
        <v/>
      </c>
      <c r="P222" s="91" t="n">
        <f aca="false">IF($Q222&gt;0,1,0)</f>
        <v>0</v>
      </c>
      <c r="Q222" s="91" t="n">
        <f aca="false">IF($F222="",0,1)+IF($H222="",0,1)</f>
        <v>0</v>
      </c>
      <c r="R222" s="91" t="n">
        <f aca="false">IF($N222="",0,1)</f>
        <v>0</v>
      </c>
      <c r="S222" s="91" t="n">
        <f aca="false">IF($F222="",0,1)</f>
        <v>0</v>
      </c>
      <c r="T222" s="91" t="n">
        <f aca="false">IF($H222="",0,1)</f>
        <v>0</v>
      </c>
      <c r="U222" s="91" t="n">
        <f aca="false">IF($J222="",0,1)</f>
        <v>0</v>
      </c>
      <c r="V222" s="91" t="n">
        <f aca="true">IF($J222="",0,IF($J222&lt;=TODAY(),1,0))</f>
        <v>0</v>
      </c>
      <c r="W222" s="92" t="n">
        <f aca="false">IF($O222="",0,$O222)</f>
        <v>0</v>
      </c>
      <c r="X222" s="91" t="str">
        <f aca="false">IF($R222=1,SUM($R$2:$R222),"")</f>
        <v/>
      </c>
      <c r="Y222" s="91" t="n">
        <f aca="false">IF($F222="",0,IF(COUNTIF($F$2:$F222,$F222)+COUNTIF($H$2:$H222,$F222)&gt;1,1,0))+IF($H222="",0,IF(COUNTIF($F$2:$F222,$H222)+COUNTIF($H$2:$H222,$H222)&gt;1,1,0))</f>
        <v>0</v>
      </c>
      <c r="Z222" s="91" t="n">
        <f aca="false">IF($Q222=0,0,IF(COUNTIFS($A$2:$A222,$A222,$Q$2:$Q222,"&gt;0")=1,1,0))</f>
        <v>0</v>
      </c>
      <c r="AA222" s="93" t="str">
        <f aca="false">IF($Q222&gt;0,$A222,"")</f>
        <v/>
      </c>
      <c r="AB222" s="91" t="n">
        <f aca="false">IF($K222="",0,1)</f>
        <v>0</v>
      </c>
      <c r="AC222" s="91" t="n">
        <f aca="false">IF($L222="",0,1)</f>
        <v>0</v>
      </c>
      <c r="AD222" s="91" t="n">
        <f aca="false">IF($M222="",0,1)</f>
        <v>0</v>
      </c>
      <c r="AE222" s="91" t="str">
        <f aca="false">IF($Q222&gt;0,$D222,"")</f>
        <v/>
      </c>
      <c r="AF222" s="1"/>
      <c r="AG222" s="1"/>
      <c r="AH222" s="1"/>
      <c r="AI222" s="1"/>
      <c r="AJ222" s="1"/>
      <c r="AK222" s="1"/>
      <c r="AL222" s="1"/>
      <c r="AM222" s="1"/>
      <c r="AN222" s="1"/>
    </row>
    <row r="223" customFormat="false" ht="18" hidden="false" customHeight="true" outlineLevel="0" collapsed="false">
      <c r="A223" s="86" t="n">
        <f aca="false">IF(ISNUMBER('Timeline Estacas'!A223),'Timeline Estacas'!A223,"")</f>
        <v>46367</v>
      </c>
      <c r="B223" s="87" t="n">
        <f aca="false">IF($A223="","",$A223)</f>
        <v>46367</v>
      </c>
      <c r="C223" s="88" t="n">
        <f aca="false">IF(ISNUMBER('Timeline Estacas'!C223),'Timeline Estacas'!C223,"")</f>
        <v>406</v>
      </c>
      <c r="D223" s="88" t="n">
        <f aca="false">IF(ISNUMBER('Timeline Estacas'!D223),'Timeline Estacas'!D223,"")</f>
        <v>59</v>
      </c>
      <c r="E223" s="88" t="str">
        <f aca="false">IF($D223="","","S-"&amp;TEXT($D223,"00"))</f>
        <v>S-59</v>
      </c>
      <c r="F223" s="88" t="str">
        <f aca="false">IF(ISNUMBER('Timeline Estacas'!F223),'Timeline Estacas'!F223,"")</f>
        <v/>
      </c>
      <c r="G223" s="88" t="str">
        <f aca="false">IF($F223="","",IF('Timeline Estacas'!G223&lt;&gt;"",'Timeline Estacas'!G223,'Timeline Estacas'!I223))</f>
        <v/>
      </c>
      <c r="H223" s="88" t="str">
        <f aca="false">IF(ISNUMBER('Timeline Estacas'!H223),'Timeline Estacas'!H223,"")</f>
        <v/>
      </c>
      <c r="I223" s="88" t="str">
        <f aca="false">IF($H223="","",'Timeline Estacas'!I223)</f>
        <v/>
      </c>
      <c r="J223" s="86" t="str">
        <f aca="false">IF(ISNUMBER('Timeline Estacas'!J223),'Timeline Estacas'!J223,"")</f>
        <v/>
      </c>
      <c r="K223" s="88" t="str">
        <f aca="false">IF('Timeline Estacas'!K223="","",'Timeline Estacas'!K223)</f>
        <v/>
      </c>
      <c r="L223" s="88" t="str">
        <f aca="false">IF('Timeline Estacas'!L223="","",'Timeline Estacas'!L223)</f>
        <v/>
      </c>
      <c r="M223" s="88" t="str">
        <f aca="false">IF('Timeline Estacas'!M223="","",'Timeline Estacas'!M223)</f>
        <v/>
      </c>
      <c r="N223" s="89" t="str">
        <f aca="false">IF('Timeline Estacas'!N223="","",'Timeline Estacas'!N223)</f>
        <v/>
      </c>
      <c r="O223" s="90" t="str">
        <f aca="false">IF(ISNUMBER('Timeline Estacas'!O223),'Timeline Estacas'!O223,"")</f>
        <v/>
      </c>
      <c r="P223" s="91" t="n">
        <f aca="false">IF($Q223&gt;0,1,0)</f>
        <v>0</v>
      </c>
      <c r="Q223" s="91" t="n">
        <f aca="false">IF($F223="",0,1)+IF($H223="",0,1)</f>
        <v>0</v>
      </c>
      <c r="R223" s="91" t="n">
        <f aca="false">IF($N223="",0,1)</f>
        <v>0</v>
      </c>
      <c r="S223" s="91" t="n">
        <f aca="false">IF($F223="",0,1)</f>
        <v>0</v>
      </c>
      <c r="T223" s="91" t="n">
        <f aca="false">IF($H223="",0,1)</f>
        <v>0</v>
      </c>
      <c r="U223" s="91" t="n">
        <f aca="false">IF($J223="",0,1)</f>
        <v>0</v>
      </c>
      <c r="V223" s="91" t="n">
        <f aca="true">IF($J223="",0,IF($J223&lt;=TODAY(),1,0))</f>
        <v>0</v>
      </c>
      <c r="W223" s="92" t="n">
        <f aca="false">IF($O223="",0,$O223)</f>
        <v>0</v>
      </c>
      <c r="X223" s="91" t="str">
        <f aca="false">IF($R223=1,SUM($R$2:$R223),"")</f>
        <v/>
      </c>
      <c r="Y223" s="91" t="n">
        <f aca="false">IF($F223="",0,IF(COUNTIF($F$2:$F223,$F223)+COUNTIF($H$2:$H223,$F223)&gt;1,1,0))+IF($H223="",0,IF(COUNTIF($F$2:$F223,$H223)+COUNTIF($H$2:$H223,$H223)&gt;1,1,0))</f>
        <v>0</v>
      </c>
      <c r="Z223" s="91" t="n">
        <f aca="false">IF($Q223=0,0,IF(COUNTIFS($A$2:$A223,$A223,$Q$2:$Q223,"&gt;0")=1,1,0))</f>
        <v>0</v>
      </c>
      <c r="AA223" s="93" t="str">
        <f aca="false">IF($Q223&gt;0,$A223,"")</f>
        <v/>
      </c>
      <c r="AB223" s="91" t="n">
        <f aca="false">IF($K223="",0,1)</f>
        <v>0</v>
      </c>
      <c r="AC223" s="91" t="n">
        <f aca="false">IF($L223="",0,1)</f>
        <v>0</v>
      </c>
      <c r="AD223" s="91" t="n">
        <f aca="false">IF($M223="",0,1)</f>
        <v>0</v>
      </c>
      <c r="AE223" s="91" t="str">
        <f aca="false">IF($Q223&gt;0,$D223,"")</f>
        <v/>
      </c>
      <c r="AF223" s="1"/>
      <c r="AG223" s="1"/>
      <c r="AH223" s="1"/>
      <c r="AI223" s="1"/>
      <c r="AJ223" s="1"/>
      <c r="AK223" s="1"/>
      <c r="AL223" s="1"/>
      <c r="AM223" s="1"/>
      <c r="AN223" s="1"/>
    </row>
    <row r="224" customFormat="false" ht="18" hidden="false" customHeight="true" outlineLevel="0" collapsed="false">
      <c r="A224" s="86" t="n">
        <f aca="false">IF(ISNUMBER('Timeline Estacas'!A224),'Timeline Estacas'!A224,"")</f>
        <v>46368</v>
      </c>
      <c r="B224" s="87" t="n">
        <f aca="false">IF($A224="","",$A224)</f>
        <v>46368</v>
      </c>
      <c r="C224" s="88" t="n">
        <f aca="false">IF(ISNUMBER('Timeline Estacas'!C224),'Timeline Estacas'!C224,"")</f>
        <v>407</v>
      </c>
      <c r="D224" s="88" t="n">
        <f aca="false">IF(ISNUMBER('Timeline Estacas'!D224),'Timeline Estacas'!D224,"")</f>
        <v>59</v>
      </c>
      <c r="E224" s="88" t="str">
        <f aca="false">IF($D224="","","S-"&amp;TEXT($D224,"00"))</f>
        <v>S-59</v>
      </c>
      <c r="F224" s="88" t="str">
        <f aca="false">IF(ISNUMBER('Timeline Estacas'!F224),'Timeline Estacas'!F224,"")</f>
        <v/>
      </c>
      <c r="G224" s="88" t="str">
        <f aca="false">IF($F224="","",IF('Timeline Estacas'!G224&lt;&gt;"",'Timeline Estacas'!G224,'Timeline Estacas'!I224))</f>
        <v/>
      </c>
      <c r="H224" s="88" t="str">
        <f aca="false">IF(ISNUMBER('Timeline Estacas'!H224),'Timeline Estacas'!H224,"")</f>
        <v/>
      </c>
      <c r="I224" s="88" t="str">
        <f aca="false">IF($H224="","",'Timeline Estacas'!I224)</f>
        <v/>
      </c>
      <c r="J224" s="86" t="str">
        <f aca="false">IF(ISNUMBER('Timeline Estacas'!J224),'Timeline Estacas'!J224,"")</f>
        <v/>
      </c>
      <c r="K224" s="88" t="str">
        <f aca="false">IF('Timeline Estacas'!K224="","",'Timeline Estacas'!K224)</f>
        <v/>
      </c>
      <c r="L224" s="88" t="str">
        <f aca="false">IF('Timeline Estacas'!L224="","",'Timeline Estacas'!L224)</f>
        <v/>
      </c>
      <c r="M224" s="88" t="str">
        <f aca="false">IF('Timeline Estacas'!M224="","",'Timeline Estacas'!M224)</f>
        <v/>
      </c>
      <c r="N224" s="89" t="str">
        <f aca="false">IF('Timeline Estacas'!N224="","",'Timeline Estacas'!N224)</f>
        <v/>
      </c>
      <c r="O224" s="90" t="str">
        <f aca="false">IF(ISNUMBER('Timeline Estacas'!O224),'Timeline Estacas'!O224,"")</f>
        <v/>
      </c>
      <c r="P224" s="91" t="n">
        <f aca="false">IF($Q224&gt;0,1,0)</f>
        <v>0</v>
      </c>
      <c r="Q224" s="91" t="n">
        <f aca="false">IF($F224="",0,1)+IF($H224="",0,1)</f>
        <v>0</v>
      </c>
      <c r="R224" s="91" t="n">
        <f aca="false">IF($N224="",0,1)</f>
        <v>0</v>
      </c>
      <c r="S224" s="91" t="n">
        <f aca="false">IF($F224="",0,1)</f>
        <v>0</v>
      </c>
      <c r="T224" s="91" t="n">
        <f aca="false">IF($H224="",0,1)</f>
        <v>0</v>
      </c>
      <c r="U224" s="91" t="n">
        <f aca="false">IF($J224="",0,1)</f>
        <v>0</v>
      </c>
      <c r="V224" s="91" t="n">
        <f aca="true">IF($J224="",0,IF($J224&lt;=TODAY(),1,0))</f>
        <v>0</v>
      </c>
      <c r="W224" s="92" t="n">
        <f aca="false">IF($O224="",0,$O224)</f>
        <v>0</v>
      </c>
      <c r="X224" s="91" t="str">
        <f aca="false">IF($R224=1,SUM($R$2:$R224),"")</f>
        <v/>
      </c>
      <c r="Y224" s="91" t="n">
        <f aca="false">IF($F224="",0,IF(COUNTIF($F$2:$F224,$F224)+COUNTIF($H$2:$H224,$F224)&gt;1,1,0))+IF($H224="",0,IF(COUNTIF($F$2:$F224,$H224)+COUNTIF($H$2:$H224,$H224)&gt;1,1,0))</f>
        <v>0</v>
      </c>
      <c r="Z224" s="91" t="n">
        <f aca="false">IF($Q224=0,0,IF(COUNTIFS($A$2:$A224,$A224,$Q$2:$Q224,"&gt;0")=1,1,0))</f>
        <v>0</v>
      </c>
      <c r="AA224" s="93" t="str">
        <f aca="false">IF($Q224&gt;0,$A224,"")</f>
        <v/>
      </c>
      <c r="AB224" s="91" t="n">
        <f aca="false">IF($K224="",0,1)</f>
        <v>0</v>
      </c>
      <c r="AC224" s="91" t="n">
        <f aca="false">IF($L224="",0,1)</f>
        <v>0</v>
      </c>
      <c r="AD224" s="91" t="n">
        <f aca="false">IF($M224="",0,1)</f>
        <v>0</v>
      </c>
      <c r="AE224" s="91" t="str">
        <f aca="false">IF($Q224&gt;0,$D224,"")</f>
        <v/>
      </c>
      <c r="AF224" s="1"/>
      <c r="AG224" s="1"/>
      <c r="AH224" s="1"/>
      <c r="AI224" s="1"/>
      <c r="AJ224" s="1"/>
      <c r="AK224" s="1"/>
      <c r="AL224" s="1"/>
      <c r="AM224" s="1"/>
      <c r="AN224" s="1"/>
    </row>
    <row r="225" customFormat="false" ht="18" hidden="false" customHeight="true" outlineLevel="0" collapsed="false">
      <c r="A225" s="86" t="n">
        <f aca="false">IF(ISNUMBER('Timeline Estacas'!A225),'Timeline Estacas'!A225,"")</f>
        <v>46369</v>
      </c>
      <c r="B225" s="87" t="n">
        <f aca="false">IF($A225="","",$A225)</f>
        <v>46369</v>
      </c>
      <c r="C225" s="88" t="n">
        <f aca="false">IF(ISNUMBER('Timeline Estacas'!C225),'Timeline Estacas'!C225,"")</f>
        <v>408</v>
      </c>
      <c r="D225" s="88" t="n">
        <f aca="false">IF(ISNUMBER('Timeline Estacas'!D225),'Timeline Estacas'!D225,"")</f>
        <v>59</v>
      </c>
      <c r="E225" s="88" t="str">
        <f aca="false">IF($D225="","","S-"&amp;TEXT($D225,"00"))</f>
        <v>S-59</v>
      </c>
      <c r="F225" s="88" t="str">
        <f aca="false">IF(ISNUMBER('Timeline Estacas'!F225),'Timeline Estacas'!F225,"")</f>
        <v/>
      </c>
      <c r="G225" s="88" t="str">
        <f aca="false">IF($F225="","",IF('Timeline Estacas'!G225&lt;&gt;"",'Timeline Estacas'!G225,'Timeline Estacas'!I225))</f>
        <v/>
      </c>
      <c r="H225" s="88" t="str">
        <f aca="false">IF(ISNUMBER('Timeline Estacas'!H225),'Timeline Estacas'!H225,"")</f>
        <v/>
      </c>
      <c r="I225" s="88" t="str">
        <f aca="false">IF($H225="","",'Timeline Estacas'!I225)</f>
        <v/>
      </c>
      <c r="J225" s="86" t="str">
        <f aca="false">IF(ISNUMBER('Timeline Estacas'!J225),'Timeline Estacas'!J225,"")</f>
        <v/>
      </c>
      <c r="K225" s="88" t="str">
        <f aca="false">IF('Timeline Estacas'!K225="","",'Timeline Estacas'!K225)</f>
        <v/>
      </c>
      <c r="L225" s="88" t="str">
        <f aca="false">IF('Timeline Estacas'!L225="","",'Timeline Estacas'!L225)</f>
        <v/>
      </c>
      <c r="M225" s="88" t="str">
        <f aca="false">IF('Timeline Estacas'!M225="","",'Timeline Estacas'!M225)</f>
        <v/>
      </c>
      <c r="N225" s="89" t="str">
        <f aca="false">IF('Timeline Estacas'!N225="","",'Timeline Estacas'!N225)</f>
        <v/>
      </c>
      <c r="O225" s="90" t="str">
        <f aca="false">IF(ISNUMBER('Timeline Estacas'!O225),'Timeline Estacas'!O225,"")</f>
        <v/>
      </c>
      <c r="P225" s="91" t="n">
        <f aca="false">IF($Q225&gt;0,1,0)</f>
        <v>0</v>
      </c>
      <c r="Q225" s="91" t="n">
        <f aca="false">IF($F225="",0,1)+IF($H225="",0,1)</f>
        <v>0</v>
      </c>
      <c r="R225" s="91" t="n">
        <f aca="false">IF($N225="",0,1)</f>
        <v>0</v>
      </c>
      <c r="S225" s="91" t="n">
        <f aca="false">IF($F225="",0,1)</f>
        <v>0</v>
      </c>
      <c r="T225" s="91" t="n">
        <f aca="false">IF($H225="",0,1)</f>
        <v>0</v>
      </c>
      <c r="U225" s="91" t="n">
        <f aca="false">IF($J225="",0,1)</f>
        <v>0</v>
      </c>
      <c r="V225" s="91" t="n">
        <f aca="true">IF($J225="",0,IF($J225&lt;=TODAY(),1,0))</f>
        <v>0</v>
      </c>
      <c r="W225" s="92" t="n">
        <f aca="false">IF($O225="",0,$O225)</f>
        <v>0</v>
      </c>
      <c r="X225" s="91" t="str">
        <f aca="false">IF($R225=1,SUM($R$2:$R225),"")</f>
        <v/>
      </c>
      <c r="Y225" s="91" t="n">
        <f aca="false">IF($F225="",0,IF(COUNTIF($F$2:$F225,$F225)+COUNTIF($H$2:$H225,$F225)&gt;1,1,0))+IF($H225="",0,IF(COUNTIF($F$2:$F225,$H225)+COUNTIF($H$2:$H225,$H225)&gt;1,1,0))</f>
        <v>0</v>
      </c>
      <c r="Z225" s="91" t="n">
        <f aca="false">IF($Q225=0,0,IF(COUNTIFS($A$2:$A225,$A225,$Q$2:$Q225,"&gt;0")=1,1,0))</f>
        <v>0</v>
      </c>
      <c r="AA225" s="93" t="str">
        <f aca="false">IF($Q225&gt;0,$A225,"")</f>
        <v/>
      </c>
      <c r="AB225" s="91" t="n">
        <f aca="false">IF($K225="",0,1)</f>
        <v>0</v>
      </c>
      <c r="AC225" s="91" t="n">
        <f aca="false">IF($L225="",0,1)</f>
        <v>0</v>
      </c>
      <c r="AD225" s="91" t="n">
        <f aca="false">IF($M225="",0,1)</f>
        <v>0</v>
      </c>
      <c r="AE225" s="91" t="str">
        <f aca="false">IF($Q225&gt;0,$D225,"")</f>
        <v/>
      </c>
      <c r="AF225" s="1"/>
      <c r="AG225" s="1"/>
      <c r="AH225" s="1"/>
      <c r="AI225" s="1"/>
      <c r="AJ225" s="1"/>
      <c r="AK225" s="1"/>
      <c r="AL225" s="1"/>
      <c r="AM225" s="1"/>
      <c r="AN225" s="1"/>
    </row>
    <row r="226" customFormat="false" ht="18" hidden="false" customHeight="true" outlineLevel="0" collapsed="false">
      <c r="A226" s="86" t="n">
        <f aca="false">IF(ISNUMBER('Timeline Estacas'!A226),'Timeline Estacas'!A226,"")</f>
        <v>46370</v>
      </c>
      <c r="B226" s="87" t="n">
        <f aca="false">IF($A226="","",$A226)</f>
        <v>46370</v>
      </c>
      <c r="C226" s="88" t="n">
        <f aca="false">IF(ISNUMBER('Timeline Estacas'!C226),'Timeline Estacas'!C226,"")</f>
        <v>409</v>
      </c>
      <c r="D226" s="88" t="n">
        <f aca="false">IF(ISNUMBER('Timeline Estacas'!D226),'Timeline Estacas'!D226,"")</f>
        <v>59</v>
      </c>
      <c r="E226" s="88" t="str">
        <f aca="false">IF($D226="","","S-"&amp;TEXT($D226,"00"))</f>
        <v>S-59</v>
      </c>
      <c r="F226" s="88" t="str">
        <f aca="false">IF(ISNUMBER('Timeline Estacas'!F226),'Timeline Estacas'!F226,"")</f>
        <v/>
      </c>
      <c r="G226" s="88" t="str">
        <f aca="false">IF($F226="","",IF('Timeline Estacas'!G226&lt;&gt;"",'Timeline Estacas'!G226,'Timeline Estacas'!I226))</f>
        <v/>
      </c>
      <c r="H226" s="88" t="str">
        <f aca="false">IF(ISNUMBER('Timeline Estacas'!H226),'Timeline Estacas'!H226,"")</f>
        <v/>
      </c>
      <c r="I226" s="88" t="str">
        <f aca="false">IF($H226="","",'Timeline Estacas'!I226)</f>
        <v/>
      </c>
      <c r="J226" s="86" t="str">
        <f aca="false">IF(ISNUMBER('Timeline Estacas'!J226),'Timeline Estacas'!J226,"")</f>
        <v/>
      </c>
      <c r="K226" s="88" t="str">
        <f aca="false">IF('Timeline Estacas'!K226="","",'Timeline Estacas'!K226)</f>
        <v/>
      </c>
      <c r="L226" s="88" t="str">
        <f aca="false">IF('Timeline Estacas'!L226="","",'Timeline Estacas'!L226)</f>
        <v/>
      </c>
      <c r="M226" s="88" t="str">
        <f aca="false">IF('Timeline Estacas'!M226="","",'Timeline Estacas'!M226)</f>
        <v/>
      </c>
      <c r="N226" s="89" t="str">
        <f aca="false">IF('Timeline Estacas'!N226="","",'Timeline Estacas'!N226)</f>
        <v/>
      </c>
      <c r="O226" s="90" t="str">
        <f aca="false">IF(ISNUMBER('Timeline Estacas'!O226),'Timeline Estacas'!O226,"")</f>
        <v/>
      </c>
      <c r="P226" s="91" t="n">
        <f aca="false">IF($Q226&gt;0,1,0)</f>
        <v>0</v>
      </c>
      <c r="Q226" s="91" t="n">
        <f aca="false">IF($F226="",0,1)+IF($H226="",0,1)</f>
        <v>0</v>
      </c>
      <c r="R226" s="91" t="n">
        <f aca="false">IF($N226="",0,1)</f>
        <v>0</v>
      </c>
      <c r="S226" s="91" t="n">
        <f aca="false">IF($F226="",0,1)</f>
        <v>0</v>
      </c>
      <c r="T226" s="91" t="n">
        <f aca="false">IF($H226="",0,1)</f>
        <v>0</v>
      </c>
      <c r="U226" s="91" t="n">
        <f aca="false">IF($J226="",0,1)</f>
        <v>0</v>
      </c>
      <c r="V226" s="91" t="n">
        <f aca="true">IF($J226="",0,IF($J226&lt;=TODAY(),1,0))</f>
        <v>0</v>
      </c>
      <c r="W226" s="92" t="n">
        <f aca="false">IF($O226="",0,$O226)</f>
        <v>0</v>
      </c>
      <c r="X226" s="91" t="str">
        <f aca="false">IF($R226=1,SUM($R$2:$R226),"")</f>
        <v/>
      </c>
      <c r="Y226" s="91" t="n">
        <f aca="false">IF($F226="",0,IF(COUNTIF($F$2:$F226,$F226)+COUNTIF($H$2:$H226,$F226)&gt;1,1,0))+IF($H226="",0,IF(COUNTIF($F$2:$F226,$H226)+COUNTIF($H$2:$H226,$H226)&gt;1,1,0))</f>
        <v>0</v>
      </c>
      <c r="Z226" s="91" t="n">
        <f aca="false">IF($Q226=0,0,IF(COUNTIFS($A$2:$A226,$A226,$Q$2:$Q226,"&gt;0")=1,1,0))</f>
        <v>0</v>
      </c>
      <c r="AA226" s="93" t="str">
        <f aca="false">IF($Q226&gt;0,$A226,"")</f>
        <v/>
      </c>
      <c r="AB226" s="91" t="n">
        <f aca="false">IF($K226="",0,1)</f>
        <v>0</v>
      </c>
      <c r="AC226" s="91" t="n">
        <f aca="false">IF($L226="",0,1)</f>
        <v>0</v>
      </c>
      <c r="AD226" s="91" t="n">
        <f aca="false">IF($M226="",0,1)</f>
        <v>0</v>
      </c>
      <c r="AE226" s="91" t="str">
        <f aca="false">IF($Q226&gt;0,$D226,"")</f>
        <v/>
      </c>
      <c r="AF226" s="1"/>
      <c r="AG226" s="1"/>
      <c r="AH226" s="1"/>
      <c r="AI226" s="1"/>
      <c r="AJ226" s="1"/>
      <c r="AK226" s="1"/>
      <c r="AL226" s="1"/>
      <c r="AM226" s="1"/>
      <c r="AN226" s="1"/>
    </row>
    <row r="227" customFormat="false" ht="18" hidden="false" customHeight="true" outlineLevel="0" collapsed="false">
      <c r="A227" s="86" t="n">
        <f aca="false">IF(ISNUMBER('Timeline Estacas'!A227),'Timeline Estacas'!A227,"")</f>
        <v>46371</v>
      </c>
      <c r="B227" s="87" t="n">
        <f aca="false">IF($A227="","",$A227)</f>
        <v>46371</v>
      </c>
      <c r="C227" s="88" t="n">
        <f aca="false">IF(ISNUMBER('Timeline Estacas'!C227),'Timeline Estacas'!C227,"")</f>
        <v>410</v>
      </c>
      <c r="D227" s="88" t="n">
        <f aca="false">IF(ISNUMBER('Timeline Estacas'!D227),'Timeline Estacas'!D227,"")</f>
        <v>59</v>
      </c>
      <c r="E227" s="88" t="str">
        <f aca="false">IF($D227="","","S-"&amp;TEXT($D227,"00"))</f>
        <v>S-59</v>
      </c>
      <c r="F227" s="88" t="str">
        <f aca="false">IF(ISNUMBER('Timeline Estacas'!F227),'Timeline Estacas'!F227,"")</f>
        <v/>
      </c>
      <c r="G227" s="88" t="str">
        <f aca="false">IF($F227="","",IF('Timeline Estacas'!G227&lt;&gt;"",'Timeline Estacas'!G227,'Timeline Estacas'!I227))</f>
        <v/>
      </c>
      <c r="H227" s="88" t="str">
        <f aca="false">IF(ISNUMBER('Timeline Estacas'!H227),'Timeline Estacas'!H227,"")</f>
        <v/>
      </c>
      <c r="I227" s="88" t="str">
        <f aca="false">IF($H227="","",'Timeline Estacas'!I227)</f>
        <v/>
      </c>
      <c r="J227" s="86" t="str">
        <f aca="false">IF(ISNUMBER('Timeline Estacas'!J227),'Timeline Estacas'!J227,"")</f>
        <v/>
      </c>
      <c r="K227" s="88" t="str">
        <f aca="false">IF('Timeline Estacas'!K227="","",'Timeline Estacas'!K227)</f>
        <v/>
      </c>
      <c r="L227" s="88" t="str">
        <f aca="false">IF('Timeline Estacas'!L227="","",'Timeline Estacas'!L227)</f>
        <v/>
      </c>
      <c r="M227" s="88" t="str">
        <f aca="false">IF('Timeline Estacas'!M227="","",'Timeline Estacas'!M227)</f>
        <v/>
      </c>
      <c r="N227" s="89" t="str">
        <f aca="false">IF('Timeline Estacas'!N227="","",'Timeline Estacas'!N227)</f>
        <v/>
      </c>
      <c r="O227" s="90" t="str">
        <f aca="false">IF(ISNUMBER('Timeline Estacas'!O227),'Timeline Estacas'!O227,"")</f>
        <v/>
      </c>
      <c r="P227" s="91" t="n">
        <f aca="false">IF($Q227&gt;0,1,0)</f>
        <v>0</v>
      </c>
      <c r="Q227" s="91" t="n">
        <f aca="false">IF($F227="",0,1)+IF($H227="",0,1)</f>
        <v>0</v>
      </c>
      <c r="R227" s="91" t="n">
        <f aca="false">IF($N227="",0,1)</f>
        <v>0</v>
      </c>
      <c r="S227" s="91" t="n">
        <f aca="false">IF($F227="",0,1)</f>
        <v>0</v>
      </c>
      <c r="T227" s="91" t="n">
        <f aca="false">IF($H227="",0,1)</f>
        <v>0</v>
      </c>
      <c r="U227" s="91" t="n">
        <f aca="false">IF($J227="",0,1)</f>
        <v>0</v>
      </c>
      <c r="V227" s="91" t="n">
        <f aca="true">IF($J227="",0,IF($J227&lt;=TODAY(),1,0))</f>
        <v>0</v>
      </c>
      <c r="W227" s="92" t="n">
        <f aca="false">IF($O227="",0,$O227)</f>
        <v>0</v>
      </c>
      <c r="X227" s="91" t="str">
        <f aca="false">IF($R227=1,SUM($R$2:$R227),"")</f>
        <v/>
      </c>
      <c r="Y227" s="91" t="n">
        <f aca="false">IF($F227="",0,IF(COUNTIF($F$2:$F227,$F227)+COUNTIF($H$2:$H227,$F227)&gt;1,1,0))+IF($H227="",0,IF(COUNTIF($F$2:$F227,$H227)+COUNTIF($H$2:$H227,$H227)&gt;1,1,0))</f>
        <v>0</v>
      </c>
      <c r="Z227" s="91" t="n">
        <f aca="false">IF($Q227=0,0,IF(COUNTIFS($A$2:$A227,$A227,$Q$2:$Q227,"&gt;0")=1,1,0))</f>
        <v>0</v>
      </c>
      <c r="AA227" s="93" t="str">
        <f aca="false">IF($Q227&gt;0,$A227,"")</f>
        <v/>
      </c>
      <c r="AB227" s="91" t="n">
        <f aca="false">IF($K227="",0,1)</f>
        <v>0</v>
      </c>
      <c r="AC227" s="91" t="n">
        <f aca="false">IF($L227="",0,1)</f>
        <v>0</v>
      </c>
      <c r="AD227" s="91" t="n">
        <f aca="false">IF($M227="",0,1)</f>
        <v>0</v>
      </c>
      <c r="AE227" s="91" t="str">
        <f aca="false">IF($Q227&gt;0,$D227,"")</f>
        <v/>
      </c>
      <c r="AF227" s="1"/>
      <c r="AG227" s="1"/>
      <c r="AH227" s="1"/>
      <c r="AI227" s="1"/>
      <c r="AJ227" s="1"/>
      <c r="AK227" s="1"/>
      <c r="AL227" s="1"/>
      <c r="AM227" s="1"/>
      <c r="AN227" s="1"/>
    </row>
    <row r="228" customFormat="false" ht="18" hidden="false" customHeight="true" outlineLevel="0" collapsed="false">
      <c r="A228" s="86" t="n">
        <f aca="false">IF(ISNUMBER('Timeline Estacas'!A228),'Timeline Estacas'!A228,"")</f>
        <v>46372</v>
      </c>
      <c r="B228" s="87" t="n">
        <f aca="false">IF($A228="","",$A228)</f>
        <v>46372</v>
      </c>
      <c r="C228" s="88" t="n">
        <f aca="false">IF(ISNUMBER('Timeline Estacas'!C228),'Timeline Estacas'!C228,"")</f>
        <v>411</v>
      </c>
      <c r="D228" s="88" t="n">
        <f aca="false">IF(ISNUMBER('Timeline Estacas'!D228),'Timeline Estacas'!D228,"")</f>
        <v>59</v>
      </c>
      <c r="E228" s="88" t="str">
        <f aca="false">IF($D228="","","S-"&amp;TEXT($D228,"00"))</f>
        <v>S-59</v>
      </c>
      <c r="F228" s="88" t="str">
        <f aca="false">IF(ISNUMBER('Timeline Estacas'!F228),'Timeline Estacas'!F228,"")</f>
        <v/>
      </c>
      <c r="G228" s="88" t="str">
        <f aca="false">IF($F228="","",IF('Timeline Estacas'!G228&lt;&gt;"",'Timeline Estacas'!G228,'Timeline Estacas'!I228))</f>
        <v/>
      </c>
      <c r="H228" s="88" t="str">
        <f aca="false">IF(ISNUMBER('Timeline Estacas'!H228),'Timeline Estacas'!H228,"")</f>
        <v/>
      </c>
      <c r="I228" s="88" t="str">
        <f aca="false">IF($H228="","",'Timeline Estacas'!I228)</f>
        <v/>
      </c>
      <c r="J228" s="86" t="str">
        <f aca="false">IF(ISNUMBER('Timeline Estacas'!J228),'Timeline Estacas'!J228,"")</f>
        <v/>
      </c>
      <c r="K228" s="88" t="str">
        <f aca="false">IF('Timeline Estacas'!K228="","",'Timeline Estacas'!K228)</f>
        <v/>
      </c>
      <c r="L228" s="88" t="str">
        <f aca="false">IF('Timeline Estacas'!L228="","",'Timeline Estacas'!L228)</f>
        <v/>
      </c>
      <c r="M228" s="88" t="str">
        <f aca="false">IF('Timeline Estacas'!M228="","",'Timeline Estacas'!M228)</f>
        <v/>
      </c>
      <c r="N228" s="89" t="str">
        <f aca="false">IF('Timeline Estacas'!N228="","",'Timeline Estacas'!N228)</f>
        <v/>
      </c>
      <c r="O228" s="90" t="str">
        <f aca="false">IF(ISNUMBER('Timeline Estacas'!O228),'Timeline Estacas'!O228,"")</f>
        <v/>
      </c>
      <c r="P228" s="91" t="n">
        <f aca="false">IF($Q228&gt;0,1,0)</f>
        <v>0</v>
      </c>
      <c r="Q228" s="91" t="n">
        <f aca="false">IF($F228="",0,1)+IF($H228="",0,1)</f>
        <v>0</v>
      </c>
      <c r="R228" s="91" t="n">
        <f aca="false">IF($N228="",0,1)</f>
        <v>0</v>
      </c>
      <c r="S228" s="91" t="n">
        <f aca="false">IF($F228="",0,1)</f>
        <v>0</v>
      </c>
      <c r="T228" s="91" t="n">
        <f aca="false">IF($H228="",0,1)</f>
        <v>0</v>
      </c>
      <c r="U228" s="91" t="n">
        <f aca="false">IF($J228="",0,1)</f>
        <v>0</v>
      </c>
      <c r="V228" s="91" t="n">
        <f aca="true">IF($J228="",0,IF($J228&lt;=TODAY(),1,0))</f>
        <v>0</v>
      </c>
      <c r="W228" s="92" t="n">
        <f aca="false">IF($O228="",0,$O228)</f>
        <v>0</v>
      </c>
      <c r="X228" s="91" t="str">
        <f aca="false">IF($R228=1,SUM($R$2:$R228),"")</f>
        <v/>
      </c>
      <c r="Y228" s="91" t="n">
        <f aca="false">IF($F228="",0,IF(COUNTIF($F$2:$F228,$F228)+COUNTIF($H$2:$H228,$F228)&gt;1,1,0))+IF($H228="",0,IF(COUNTIF($F$2:$F228,$H228)+COUNTIF($H$2:$H228,$H228)&gt;1,1,0))</f>
        <v>0</v>
      </c>
      <c r="Z228" s="91" t="n">
        <f aca="false">IF($Q228=0,0,IF(COUNTIFS($A$2:$A228,$A228,$Q$2:$Q228,"&gt;0")=1,1,0))</f>
        <v>0</v>
      </c>
      <c r="AA228" s="93" t="str">
        <f aca="false">IF($Q228&gt;0,$A228,"")</f>
        <v/>
      </c>
      <c r="AB228" s="91" t="n">
        <f aca="false">IF($K228="",0,1)</f>
        <v>0</v>
      </c>
      <c r="AC228" s="91" t="n">
        <f aca="false">IF($L228="",0,1)</f>
        <v>0</v>
      </c>
      <c r="AD228" s="91" t="n">
        <f aca="false">IF($M228="",0,1)</f>
        <v>0</v>
      </c>
      <c r="AE228" s="91" t="str">
        <f aca="false">IF($Q228&gt;0,$D228,"")</f>
        <v/>
      </c>
      <c r="AF228" s="1"/>
      <c r="AG228" s="1"/>
      <c r="AH228" s="1"/>
      <c r="AI228" s="1"/>
      <c r="AJ228" s="1"/>
      <c r="AK228" s="1"/>
      <c r="AL228" s="1"/>
      <c r="AM228" s="1"/>
      <c r="AN228" s="1"/>
    </row>
    <row r="229" customFormat="false" ht="18" hidden="false" customHeight="true" outlineLevel="0" collapsed="false">
      <c r="A229" s="86" t="n">
        <f aca="false">IF(ISNUMBER('Timeline Estacas'!A229),'Timeline Estacas'!A229,"")</f>
        <v>46373</v>
      </c>
      <c r="B229" s="87" t="n">
        <f aca="false">IF($A229="","",$A229)</f>
        <v>46373</v>
      </c>
      <c r="C229" s="88" t="n">
        <f aca="false">IF(ISNUMBER('Timeline Estacas'!C229),'Timeline Estacas'!C229,"")</f>
        <v>412</v>
      </c>
      <c r="D229" s="88" t="n">
        <f aca="false">IF(ISNUMBER('Timeline Estacas'!D229),'Timeline Estacas'!D229,"")</f>
        <v>59</v>
      </c>
      <c r="E229" s="88" t="str">
        <f aca="false">IF($D229="","","S-"&amp;TEXT($D229,"00"))</f>
        <v>S-59</v>
      </c>
      <c r="F229" s="88" t="str">
        <f aca="false">IF(ISNUMBER('Timeline Estacas'!F229),'Timeline Estacas'!F229,"")</f>
        <v/>
      </c>
      <c r="G229" s="88" t="str">
        <f aca="false">IF($F229="","",IF('Timeline Estacas'!G229&lt;&gt;"",'Timeline Estacas'!G229,'Timeline Estacas'!I229))</f>
        <v/>
      </c>
      <c r="H229" s="88" t="str">
        <f aca="false">IF(ISNUMBER('Timeline Estacas'!H229),'Timeline Estacas'!H229,"")</f>
        <v/>
      </c>
      <c r="I229" s="88" t="str">
        <f aca="false">IF($H229="","",'Timeline Estacas'!I229)</f>
        <v/>
      </c>
      <c r="J229" s="86" t="str">
        <f aca="false">IF(ISNUMBER('Timeline Estacas'!J229),'Timeline Estacas'!J229,"")</f>
        <v/>
      </c>
      <c r="K229" s="88" t="str">
        <f aca="false">IF('Timeline Estacas'!K229="","",'Timeline Estacas'!K229)</f>
        <v/>
      </c>
      <c r="L229" s="88" t="str">
        <f aca="false">IF('Timeline Estacas'!L229="","",'Timeline Estacas'!L229)</f>
        <v/>
      </c>
      <c r="M229" s="88" t="str">
        <f aca="false">IF('Timeline Estacas'!M229="","",'Timeline Estacas'!M229)</f>
        <v/>
      </c>
      <c r="N229" s="89" t="str">
        <f aca="false">IF('Timeline Estacas'!N229="","",'Timeline Estacas'!N229)</f>
        <v/>
      </c>
      <c r="O229" s="90" t="str">
        <f aca="false">IF(ISNUMBER('Timeline Estacas'!O229),'Timeline Estacas'!O229,"")</f>
        <v/>
      </c>
      <c r="P229" s="91" t="n">
        <f aca="false">IF($Q229&gt;0,1,0)</f>
        <v>0</v>
      </c>
      <c r="Q229" s="91" t="n">
        <f aca="false">IF($F229="",0,1)+IF($H229="",0,1)</f>
        <v>0</v>
      </c>
      <c r="R229" s="91" t="n">
        <f aca="false">IF($N229="",0,1)</f>
        <v>0</v>
      </c>
      <c r="S229" s="91" t="n">
        <f aca="false">IF($F229="",0,1)</f>
        <v>0</v>
      </c>
      <c r="T229" s="91" t="n">
        <f aca="false">IF($H229="",0,1)</f>
        <v>0</v>
      </c>
      <c r="U229" s="91" t="n">
        <f aca="false">IF($J229="",0,1)</f>
        <v>0</v>
      </c>
      <c r="V229" s="91" t="n">
        <f aca="true">IF($J229="",0,IF($J229&lt;=TODAY(),1,0))</f>
        <v>0</v>
      </c>
      <c r="W229" s="92" t="n">
        <f aca="false">IF($O229="",0,$O229)</f>
        <v>0</v>
      </c>
      <c r="X229" s="91" t="str">
        <f aca="false">IF($R229=1,SUM($R$2:$R229),"")</f>
        <v/>
      </c>
      <c r="Y229" s="91" t="n">
        <f aca="false">IF($F229="",0,IF(COUNTIF($F$2:$F229,$F229)+COUNTIF($H$2:$H229,$F229)&gt;1,1,0))+IF($H229="",0,IF(COUNTIF($F$2:$F229,$H229)+COUNTIF($H$2:$H229,$H229)&gt;1,1,0))</f>
        <v>0</v>
      </c>
      <c r="Z229" s="91" t="n">
        <f aca="false">IF($Q229=0,0,IF(COUNTIFS($A$2:$A229,$A229,$Q$2:$Q229,"&gt;0")=1,1,0))</f>
        <v>0</v>
      </c>
      <c r="AA229" s="93" t="str">
        <f aca="false">IF($Q229&gt;0,$A229,"")</f>
        <v/>
      </c>
      <c r="AB229" s="91" t="n">
        <f aca="false">IF($K229="",0,1)</f>
        <v>0</v>
      </c>
      <c r="AC229" s="91" t="n">
        <f aca="false">IF($L229="",0,1)</f>
        <v>0</v>
      </c>
      <c r="AD229" s="91" t="n">
        <f aca="false">IF($M229="",0,1)</f>
        <v>0</v>
      </c>
      <c r="AE229" s="91" t="str">
        <f aca="false">IF($Q229&gt;0,$D229,"")</f>
        <v/>
      </c>
      <c r="AF229" s="1"/>
      <c r="AG229" s="1"/>
      <c r="AH229" s="1"/>
      <c r="AI229" s="1"/>
      <c r="AJ229" s="1"/>
      <c r="AK229" s="1"/>
      <c r="AL229" s="1"/>
      <c r="AM229" s="1"/>
      <c r="AN229" s="1"/>
    </row>
    <row r="230" customFormat="false" ht="18" hidden="false" customHeight="true" outlineLevel="0" collapsed="false">
      <c r="A230" s="86" t="n">
        <f aca="false">IF(ISNUMBER('Timeline Estacas'!A230),'Timeline Estacas'!A230,"")</f>
        <v>46374</v>
      </c>
      <c r="B230" s="87" t="n">
        <f aca="false">IF($A230="","",$A230)</f>
        <v>46374</v>
      </c>
      <c r="C230" s="88" t="n">
        <f aca="false">IF(ISNUMBER('Timeline Estacas'!C230),'Timeline Estacas'!C230,"")</f>
        <v>413</v>
      </c>
      <c r="D230" s="88" t="n">
        <f aca="false">IF(ISNUMBER('Timeline Estacas'!D230),'Timeline Estacas'!D230,"")</f>
        <v>60</v>
      </c>
      <c r="E230" s="88" t="str">
        <f aca="false">IF($D230="","","S-"&amp;TEXT($D230,"00"))</f>
        <v>S-60</v>
      </c>
      <c r="F230" s="88" t="str">
        <f aca="false">IF(ISNUMBER('Timeline Estacas'!F230),'Timeline Estacas'!F230,"")</f>
        <v/>
      </c>
      <c r="G230" s="88" t="str">
        <f aca="false">IF($F230="","",IF('Timeline Estacas'!G230&lt;&gt;"",'Timeline Estacas'!G230,'Timeline Estacas'!I230))</f>
        <v/>
      </c>
      <c r="H230" s="88" t="str">
        <f aca="false">IF(ISNUMBER('Timeline Estacas'!H230),'Timeline Estacas'!H230,"")</f>
        <v/>
      </c>
      <c r="I230" s="88" t="str">
        <f aca="false">IF($H230="","",'Timeline Estacas'!I230)</f>
        <v/>
      </c>
      <c r="J230" s="86" t="str">
        <f aca="false">IF(ISNUMBER('Timeline Estacas'!J230),'Timeline Estacas'!J230,"")</f>
        <v/>
      </c>
      <c r="K230" s="88" t="str">
        <f aca="false">IF('Timeline Estacas'!K230="","",'Timeline Estacas'!K230)</f>
        <v/>
      </c>
      <c r="L230" s="88" t="str">
        <f aca="false">IF('Timeline Estacas'!L230="","",'Timeline Estacas'!L230)</f>
        <v/>
      </c>
      <c r="M230" s="88" t="str">
        <f aca="false">IF('Timeline Estacas'!M230="","",'Timeline Estacas'!M230)</f>
        <v/>
      </c>
      <c r="N230" s="89" t="str">
        <f aca="false">IF('Timeline Estacas'!N230="","",'Timeline Estacas'!N230)</f>
        <v/>
      </c>
      <c r="O230" s="90" t="str">
        <f aca="false">IF(ISNUMBER('Timeline Estacas'!O230),'Timeline Estacas'!O230,"")</f>
        <v/>
      </c>
      <c r="P230" s="91" t="n">
        <f aca="false">IF($Q230&gt;0,1,0)</f>
        <v>0</v>
      </c>
      <c r="Q230" s="91" t="n">
        <f aca="false">IF($F230="",0,1)+IF($H230="",0,1)</f>
        <v>0</v>
      </c>
      <c r="R230" s="91" t="n">
        <f aca="false">IF($N230="",0,1)</f>
        <v>0</v>
      </c>
      <c r="S230" s="91" t="n">
        <f aca="false">IF($F230="",0,1)</f>
        <v>0</v>
      </c>
      <c r="T230" s="91" t="n">
        <f aca="false">IF($H230="",0,1)</f>
        <v>0</v>
      </c>
      <c r="U230" s="91" t="n">
        <f aca="false">IF($J230="",0,1)</f>
        <v>0</v>
      </c>
      <c r="V230" s="91" t="n">
        <f aca="true">IF($J230="",0,IF($J230&lt;=TODAY(),1,0))</f>
        <v>0</v>
      </c>
      <c r="W230" s="92" t="n">
        <f aca="false">IF($O230="",0,$O230)</f>
        <v>0</v>
      </c>
      <c r="X230" s="91" t="str">
        <f aca="false">IF($R230=1,SUM($R$2:$R230),"")</f>
        <v/>
      </c>
      <c r="Y230" s="91" t="n">
        <f aca="false">IF($F230="",0,IF(COUNTIF($F$2:$F230,$F230)+COUNTIF($H$2:$H230,$F230)&gt;1,1,0))+IF($H230="",0,IF(COUNTIF($F$2:$F230,$H230)+COUNTIF($H$2:$H230,$H230)&gt;1,1,0))</f>
        <v>0</v>
      </c>
      <c r="Z230" s="91" t="n">
        <f aca="false">IF($Q230=0,0,IF(COUNTIFS($A$2:$A230,$A230,$Q$2:$Q230,"&gt;0")=1,1,0))</f>
        <v>0</v>
      </c>
      <c r="AA230" s="93" t="str">
        <f aca="false">IF($Q230&gt;0,$A230,"")</f>
        <v/>
      </c>
      <c r="AB230" s="91" t="n">
        <f aca="false">IF($K230="",0,1)</f>
        <v>0</v>
      </c>
      <c r="AC230" s="91" t="n">
        <f aca="false">IF($L230="",0,1)</f>
        <v>0</v>
      </c>
      <c r="AD230" s="91" t="n">
        <f aca="false">IF($M230="",0,1)</f>
        <v>0</v>
      </c>
      <c r="AE230" s="91" t="str">
        <f aca="false">IF($Q230&gt;0,$D230,"")</f>
        <v/>
      </c>
      <c r="AF230" s="1"/>
      <c r="AG230" s="1"/>
      <c r="AH230" s="1"/>
      <c r="AI230" s="1"/>
      <c r="AJ230" s="1"/>
      <c r="AK230" s="1"/>
      <c r="AL230" s="1"/>
      <c r="AM230" s="1"/>
      <c r="AN230" s="1"/>
    </row>
    <row r="231" customFormat="false" ht="18" hidden="false" customHeight="true" outlineLevel="0" collapsed="false">
      <c r="A231" s="86" t="n">
        <f aca="false">IF(ISNUMBER('Timeline Estacas'!A231),'Timeline Estacas'!A231,"")</f>
        <v>46375</v>
      </c>
      <c r="B231" s="87" t="n">
        <f aca="false">IF($A231="","",$A231)</f>
        <v>46375</v>
      </c>
      <c r="C231" s="88" t="n">
        <f aca="false">IF(ISNUMBER('Timeline Estacas'!C231),'Timeline Estacas'!C231,"")</f>
        <v>414</v>
      </c>
      <c r="D231" s="88" t="n">
        <f aca="false">IF(ISNUMBER('Timeline Estacas'!D231),'Timeline Estacas'!D231,"")</f>
        <v>60</v>
      </c>
      <c r="E231" s="88" t="str">
        <f aca="false">IF($D231="","","S-"&amp;TEXT($D231,"00"))</f>
        <v>S-60</v>
      </c>
      <c r="F231" s="88" t="str">
        <f aca="false">IF(ISNUMBER('Timeline Estacas'!F231),'Timeline Estacas'!F231,"")</f>
        <v/>
      </c>
      <c r="G231" s="88" t="str">
        <f aca="false">IF($F231="","",IF('Timeline Estacas'!G231&lt;&gt;"",'Timeline Estacas'!G231,'Timeline Estacas'!I231))</f>
        <v/>
      </c>
      <c r="H231" s="88" t="str">
        <f aca="false">IF(ISNUMBER('Timeline Estacas'!H231),'Timeline Estacas'!H231,"")</f>
        <v/>
      </c>
      <c r="I231" s="88" t="str">
        <f aca="false">IF($H231="","",'Timeline Estacas'!I231)</f>
        <v/>
      </c>
      <c r="J231" s="86" t="str">
        <f aca="false">IF(ISNUMBER('Timeline Estacas'!J231),'Timeline Estacas'!J231,"")</f>
        <v/>
      </c>
      <c r="K231" s="88" t="str">
        <f aca="false">IF('Timeline Estacas'!K231="","",'Timeline Estacas'!K231)</f>
        <v/>
      </c>
      <c r="L231" s="88" t="str">
        <f aca="false">IF('Timeline Estacas'!L231="","",'Timeline Estacas'!L231)</f>
        <v/>
      </c>
      <c r="M231" s="88" t="str">
        <f aca="false">IF('Timeline Estacas'!M231="","",'Timeline Estacas'!M231)</f>
        <v/>
      </c>
      <c r="N231" s="89" t="str">
        <f aca="false">IF('Timeline Estacas'!N231="","",'Timeline Estacas'!N231)</f>
        <v/>
      </c>
      <c r="O231" s="90" t="str">
        <f aca="false">IF(ISNUMBER('Timeline Estacas'!O231),'Timeline Estacas'!O231,"")</f>
        <v/>
      </c>
      <c r="P231" s="91" t="n">
        <f aca="false">IF($Q231&gt;0,1,0)</f>
        <v>0</v>
      </c>
      <c r="Q231" s="91" t="n">
        <f aca="false">IF($F231="",0,1)+IF($H231="",0,1)</f>
        <v>0</v>
      </c>
      <c r="R231" s="91" t="n">
        <f aca="false">IF($N231="",0,1)</f>
        <v>0</v>
      </c>
      <c r="S231" s="91" t="n">
        <f aca="false">IF($F231="",0,1)</f>
        <v>0</v>
      </c>
      <c r="T231" s="91" t="n">
        <f aca="false">IF($H231="",0,1)</f>
        <v>0</v>
      </c>
      <c r="U231" s="91" t="n">
        <f aca="false">IF($J231="",0,1)</f>
        <v>0</v>
      </c>
      <c r="V231" s="91" t="n">
        <f aca="true">IF($J231="",0,IF($J231&lt;=TODAY(),1,0))</f>
        <v>0</v>
      </c>
      <c r="W231" s="92" t="n">
        <f aca="false">IF($O231="",0,$O231)</f>
        <v>0</v>
      </c>
      <c r="X231" s="91" t="str">
        <f aca="false">IF($R231=1,SUM($R$2:$R231),"")</f>
        <v/>
      </c>
      <c r="Y231" s="91" t="n">
        <f aca="false">IF($F231="",0,IF(COUNTIF($F$2:$F231,$F231)+COUNTIF($H$2:$H231,$F231)&gt;1,1,0))+IF($H231="",0,IF(COUNTIF($F$2:$F231,$H231)+COUNTIF($H$2:$H231,$H231)&gt;1,1,0))</f>
        <v>0</v>
      </c>
      <c r="Z231" s="91" t="n">
        <f aca="false">IF($Q231=0,0,IF(COUNTIFS($A$2:$A231,$A231,$Q$2:$Q231,"&gt;0")=1,1,0))</f>
        <v>0</v>
      </c>
      <c r="AA231" s="93" t="str">
        <f aca="false">IF($Q231&gt;0,$A231,"")</f>
        <v/>
      </c>
      <c r="AB231" s="91" t="n">
        <f aca="false">IF($K231="",0,1)</f>
        <v>0</v>
      </c>
      <c r="AC231" s="91" t="n">
        <f aca="false">IF($L231="",0,1)</f>
        <v>0</v>
      </c>
      <c r="AD231" s="91" t="n">
        <f aca="false">IF($M231="",0,1)</f>
        <v>0</v>
      </c>
      <c r="AE231" s="91" t="str">
        <f aca="false">IF($Q231&gt;0,$D231,"")</f>
        <v/>
      </c>
      <c r="AF231" s="1"/>
      <c r="AG231" s="1"/>
      <c r="AH231" s="1"/>
      <c r="AI231" s="1"/>
      <c r="AJ231" s="1"/>
      <c r="AK231" s="1"/>
      <c r="AL231" s="1"/>
      <c r="AM231" s="1"/>
      <c r="AN231" s="1"/>
    </row>
    <row r="232" customFormat="false" ht="18" hidden="false" customHeight="true" outlineLevel="0" collapsed="false">
      <c r="A232" s="86" t="n">
        <f aca="false">IF(ISNUMBER('Timeline Estacas'!A232),'Timeline Estacas'!A232,"")</f>
        <v>46376</v>
      </c>
      <c r="B232" s="87" t="n">
        <f aca="false">IF($A232="","",$A232)</f>
        <v>46376</v>
      </c>
      <c r="C232" s="88" t="n">
        <f aca="false">IF(ISNUMBER('Timeline Estacas'!C232),'Timeline Estacas'!C232,"")</f>
        <v>415</v>
      </c>
      <c r="D232" s="88" t="n">
        <f aca="false">IF(ISNUMBER('Timeline Estacas'!D232),'Timeline Estacas'!D232,"")</f>
        <v>60</v>
      </c>
      <c r="E232" s="88" t="str">
        <f aca="false">IF($D232="","","S-"&amp;TEXT($D232,"00"))</f>
        <v>S-60</v>
      </c>
      <c r="F232" s="88" t="str">
        <f aca="false">IF(ISNUMBER('Timeline Estacas'!F232),'Timeline Estacas'!F232,"")</f>
        <v/>
      </c>
      <c r="G232" s="88" t="str">
        <f aca="false">IF($F232="","",IF('Timeline Estacas'!G232&lt;&gt;"",'Timeline Estacas'!G232,'Timeline Estacas'!I232))</f>
        <v/>
      </c>
      <c r="H232" s="88" t="str">
        <f aca="false">IF(ISNUMBER('Timeline Estacas'!H232),'Timeline Estacas'!H232,"")</f>
        <v/>
      </c>
      <c r="I232" s="88" t="str">
        <f aca="false">IF($H232="","",'Timeline Estacas'!I232)</f>
        <v/>
      </c>
      <c r="J232" s="86" t="str">
        <f aca="false">IF(ISNUMBER('Timeline Estacas'!J232),'Timeline Estacas'!J232,"")</f>
        <v/>
      </c>
      <c r="K232" s="88" t="str">
        <f aca="false">IF('Timeline Estacas'!K232="","",'Timeline Estacas'!K232)</f>
        <v/>
      </c>
      <c r="L232" s="88" t="str">
        <f aca="false">IF('Timeline Estacas'!L232="","",'Timeline Estacas'!L232)</f>
        <v/>
      </c>
      <c r="M232" s="88" t="str">
        <f aca="false">IF('Timeline Estacas'!M232="","",'Timeline Estacas'!M232)</f>
        <v/>
      </c>
      <c r="N232" s="89" t="str">
        <f aca="false">IF('Timeline Estacas'!N232="","",'Timeline Estacas'!N232)</f>
        <v/>
      </c>
      <c r="O232" s="90" t="str">
        <f aca="false">IF(ISNUMBER('Timeline Estacas'!O232),'Timeline Estacas'!O232,"")</f>
        <v/>
      </c>
      <c r="P232" s="91" t="n">
        <f aca="false">IF($Q232&gt;0,1,0)</f>
        <v>0</v>
      </c>
      <c r="Q232" s="91" t="n">
        <f aca="false">IF($F232="",0,1)+IF($H232="",0,1)</f>
        <v>0</v>
      </c>
      <c r="R232" s="91" t="n">
        <f aca="false">IF($N232="",0,1)</f>
        <v>0</v>
      </c>
      <c r="S232" s="91" t="n">
        <f aca="false">IF($F232="",0,1)</f>
        <v>0</v>
      </c>
      <c r="T232" s="91" t="n">
        <f aca="false">IF($H232="",0,1)</f>
        <v>0</v>
      </c>
      <c r="U232" s="91" t="n">
        <f aca="false">IF($J232="",0,1)</f>
        <v>0</v>
      </c>
      <c r="V232" s="91" t="n">
        <f aca="true">IF($J232="",0,IF($J232&lt;=TODAY(),1,0))</f>
        <v>0</v>
      </c>
      <c r="W232" s="92" t="n">
        <f aca="false">IF($O232="",0,$O232)</f>
        <v>0</v>
      </c>
      <c r="X232" s="91" t="str">
        <f aca="false">IF($R232=1,SUM($R$2:$R232),"")</f>
        <v/>
      </c>
      <c r="Y232" s="91" t="n">
        <f aca="false">IF($F232="",0,IF(COUNTIF($F$2:$F232,$F232)+COUNTIF($H$2:$H232,$F232)&gt;1,1,0))+IF($H232="",0,IF(COUNTIF($F$2:$F232,$H232)+COUNTIF($H$2:$H232,$H232)&gt;1,1,0))</f>
        <v>0</v>
      </c>
      <c r="Z232" s="91" t="n">
        <f aca="false">IF($Q232=0,0,IF(COUNTIFS($A$2:$A232,$A232,$Q$2:$Q232,"&gt;0")=1,1,0))</f>
        <v>0</v>
      </c>
      <c r="AA232" s="93" t="str">
        <f aca="false">IF($Q232&gt;0,$A232,"")</f>
        <v/>
      </c>
      <c r="AB232" s="91" t="n">
        <f aca="false">IF($K232="",0,1)</f>
        <v>0</v>
      </c>
      <c r="AC232" s="91" t="n">
        <f aca="false">IF($L232="",0,1)</f>
        <v>0</v>
      </c>
      <c r="AD232" s="91" t="n">
        <f aca="false">IF($M232="",0,1)</f>
        <v>0</v>
      </c>
      <c r="AE232" s="91" t="str">
        <f aca="false">IF($Q232&gt;0,$D232,"")</f>
        <v/>
      </c>
      <c r="AF232" s="1"/>
      <c r="AG232" s="1"/>
      <c r="AH232" s="1"/>
      <c r="AI232" s="1"/>
      <c r="AJ232" s="1"/>
      <c r="AK232" s="1"/>
      <c r="AL232" s="1"/>
      <c r="AM232" s="1"/>
      <c r="AN232" s="1"/>
    </row>
    <row r="233" customFormat="false" ht="18" hidden="false" customHeight="true" outlineLevel="0" collapsed="false">
      <c r="A233" s="86" t="n">
        <f aca="false">IF(ISNUMBER('Timeline Estacas'!A233),'Timeline Estacas'!A233,"")</f>
        <v>46377</v>
      </c>
      <c r="B233" s="87" t="n">
        <f aca="false">IF($A233="","",$A233)</f>
        <v>46377</v>
      </c>
      <c r="C233" s="88" t="n">
        <f aca="false">IF(ISNUMBER('Timeline Estacas'!C233),'Timeline Estacas'!C233,"")</f>
        <v>416</v>
      </c>
      <c r="D233" s="88" t="n">
        <f aca="false">IF(ISNUMBER('Timeline Estacas'!D233),'Timeline Estacas'!D233,"")</f>
        <v>60</v>
      </c>
      <c r="E233" s="88" t="str">
        <f aca="false">IF($D233="","","S-"&amp;TEXT($D233,"00"))</f>
        <v>S-60</v>
      </c>
      <c r="F233" s="88" t="str">
        <f aca="false">IF(ISNUMBER('Timeline Estacas'!F233),'Timeline Estacas'!F233,"")</f>
        <v/>
      </c>
      <c r="G233" s="88" t="str">
        <f aca="false">IF($F233="","",IF('Timeline Estacas'!G233&lt;&gt;"",'Timeline Estacas'!G233,'Timeline Estacas'!I233))</f>
        <v/>
      </c>
      <c r="H233" s="88" t="str">
        <f aca="false">IF(ISNUMBER('Timeline Estacas'!H233),'Timeline Estacas'!H233,"")</f>
        <v/>
      </c>
      <c r="I233" s="88" t="str">
        <f aca="false">IF($H233="","",'Timeline Estacas'!I233)</f>
        <v/>
      </c>
      <c r="J233" s="86" t="str">
        <f aca="false">IF(ISNUMBER('Timeline Estacas'!J233),'Timeline Estacas'!J233,"")</f>
        <v/>
      </c>
      <c r="K233" s="88" t="str">
        <f aca="false">IF('Timeline Estacas'!K233="","",'Timeline Estacas'!K233)</f>
        <v/>
      </c>
      <c r="L233" s="88" t="str">
        <f aca="false">IF('Timeline Estacas'!L233="","",'Timeline Estacas'!L233)</f>
        <v/>
      </c>
      <c r="M233" s="88" t="str">
        <f aca="false">IF('Timeline Estacas'!M233="","",'Timeline Estacas'!M233)</f>
        <v/>
      </c>
      <c r="N233" s="89" t="str">
        <f aca="false">IF('Timeline Estacas'!N233="","",'Timeline Estacas'!N233)</f>
        <v/>
      </c>
      <c r="O233" s="90" t="str">
        <f aca="false">IF(ISNUMBER('Timeline Estacas'!O233),'Timeline Estacas'!O233,"")</f>
        <v/>
      </c>
      <c r="P233" s="91" t="n">
        <f aca="false">IF($Q233&gt;0,1,0)</f>
        <v>0</v>
      </c>
      <c r="Q233" s="91" t="n">
        <f aca="false">IF($F233="",0,1)+IF($H233="",0,1)</f>
        <v>0</v>
      </c>
      <c r="R233" s="91" t="n">
        <f aca="false">IF($N233="",0,1)</f>
        <v>0</v>
      </c>
      <c r="S233" s="91" t="n">
        <f aca="false">IF($F233="",0,1)</f>
        <v>0</v>
      </c>
      <c r="T233" s="91" t="n">
        <f aca="false">IF($H233="",0,1)</f>
        <v>0</v>
      </c>
      <c r="U233" s="91" t="n">
        <f aca="false">IF($J233="",0,1)</f>
        <v>0</v>
      </c>
      <c r="V233" s="91" t="n">
        <f aca="true">IF($J233="",0,IF($J233&lt;=TODAY(),1,0))</f>
        <v>0</v>
      </c>
      <c r="W233" s="92" t="n">
        <f aca="false">IF($O233="",0,$O233)</f>
        <v>0</v>
      </c>
      <c r="X233" s="91" t="str">
        <f aca="false">IF($R233=1,SUM($R$2:$R233),"")</f>
        <v/>
      </c>
      <c r="Y233" s="91" t="n">
        <f aca="false">IF($F233="",0,IF(COUNTIF($F$2:$F233,$F233)+COUNTIF($H$2:$H233,$F233)&gt;1,1,0))+IF($H233="",0,IF(COUNTIF($F$2:$F233,$H233)+COUNTIF($H$2:$H233,$H233)&gt;1,1,0))</f>
        <v>0</v>
      </c>
      <c r="Z233" s="91" t="n">
        <f aca="false">IF($Q233=0,0,IF(COUNTIFS($A$2:$A233,$A233,$Q$2:$Q233,"&gt;0")=1,1,0))</f>
        <v>0</v>
      </c>
      <c r="AA233" s="93" t="str">
        <f aca="false">IF($Q233&gt;0,$A233,"")</f>
        <v/>
      </c>
      <c r="AB233" s="91" t="n">
        <f aca="false">IF($K233="",0,1)</f>
        <v>0</v>
      </c>
      <c r="AC233" s="91" t="n">
        <f aca="false">IF($L233="",0,1)</f>
        <v>0</v>
      </c>
      <c r="AD233" s="91" t="n">
        <f aca="false">IF($M233="",0,1)</f>
        <v>0</v>
      </c>
      <c r="AE233" s="91" t="str">
        <f aca="false">IF($Q233&gt;0,$D233,"")</f>
        <v/>
      </c>
      <c r="AF233" s="1"/>
      <c r="AG233" s="1"/>
      <c r="AH233" s="1"/>
      <c r="AI233" s="1"/>
      <c r="AJ233" s="1"/>
      <c r="AK233" s="1"/>
      <c r="AL233" s="1"/>
      <c r="AM233" s="1"/>
      <c r="AN233" s="1"/>
    </row>
    <row r="234" customFormat="false" ht="18" hidden="false" customHeight="true" outlineLevel="0" collapsed="false">
      <c r="A234" s="86" t="n">
        <f aca="false">IF(ISNUMBER('Timeline Estacas'!A234),'Timeline Estacas'!A234,"")</f>
        <v>46378</v>
      </c>
      <c r="B234" s="87" t="n">
        <f aca="false">IF($A234="","",$A234)</f>
        <v>46378</v>
      </c>
      <c r="C234" s="88" t="n">
        <f aca="false">IF(ISNUMBER('Timeline Estacas'!C234),'Timeline Estacas'!C234,"")</f>
        <v>417</v>
      </c>
      <c r="D234" s="88" t="n">
        <f aca="false">IF(ISNUMBER('Timeline Estacas'!D234),'Timeline Estacas'!D234,"")</f>
        <v>60</v>
      </c>
      <c r="E234" s="88" t="str">
        <f aca="false">IF($D234="","","S-"&amp;TEXT($D234,"00"))</f>
        <v>S-60</v>
      </c>
      <c r="F234" s="88" t="str">
        <f aca="false">IF(ISNUMBER('Timeline Estacas'!F234),'Timeline Estacas'!F234,"")</f>
        <v/>
      </c>
      <c r="G234" s="88" t="str">
        <f aca="false">IF($F234="","",IF('Timeline Estacas'!G234&lt;&gt;"",'Timeline Estacas'!G234,'Timeline Estacas'!I234))</f>
        <v/>
      </c>
      <c r="H234" s="88" t="str">
        <f aca="false">IF(ISNUMBER('Timeline Estacas'!H234),'Timeline Estacas'!H234,"")</f>
        <v/>
      </c>
      <c r="I234" s="88" t="str">
        <f aca="false">IF($H234="","",'Timeline Estacas'!I234)</f>
        <v/>
      </c>
      <c r="J234" s="86" t="str">
        <f aca="false">IF(ISNUMBER('Timeline Estacas'!J234),'Timeline Estacas'!J234,"")</f>
        <v/>
      </c>
      <c r="K234" s="88" t="str">
        <f aca="false">IF('Timeline Estacas'!K234="","",'Timeline Estacas'!K234)</f>
        <v/>
      </c>
      <c r="L234" s="88" t="str">
        <f aca="false">IF('Timeline Estacas'!L234="","",'Timeline Estacas'!L234)</f>
        <v/>
      </c>
      <c r="M234" s="88" t="str">
        <f aca="false">IF('Timeline Estacas'!M234="","",'Timeline Estacas'!M234)</f>
        <v/>
      </c>
      <c r="N234" s="89" t="str">
        <f aca="false">IF('Timeline Estacas'!N234="","",'Timeline Estacas'!N234)</f>
        <v/>
      </c>
      <c r="O234" s="90" t="str">
        <f aca="false">IF(ISNUMBER('Timeline Estacas'!O234),'Timeline Estacas'!O234,"")</f>
        <v/>
      </c>
      <c r="P234" s="91" t="n">
        <f aca="false">IF($Q234&gt;0,1,0)</f>
        <v>0</v>
      </c>
      <c r="Q234" s="91" t="n">
        <f aca="false">IF($F234="",0,1)+IF($H234="",0,1)</f>
        <v>0</v>
      </c>
      <c r="R234" s="91" t="n">
        <f aca="false">IF($N234="",0,1)</f>
        <v>0</v>
      </c>
      <c r="S234" s="91" t="n">
        <f aca="false">IF($F234="",0,1)</f>
        <v>0</v>
      </c>
      <c r="T234" s="91" t="n">
        <f aca="false">IF($H234="",0,1)</f>
        <v>0</v>
      </c>
      <c r="U234" s="91" t="n">
        <f aca="false">IF($J234="",0,1)</f>
        <v>0</v>
      </c>
      <c r="V234" s="91" t="n">
        <f aca="true">IF($J234="",0,IF($J234&lt;=TODAY(),1,0))</f>
        <v>0</v>
      </c>
      <c r="W234" s="92" t="n">
        <f aca="false">IF($O234="",0,$O234)</f>
        <v>0</v>
      </c>
      <c r="X234" s="91" t="str">
        <f aca="false">IF($R234=1,SUM($R$2:$R234),"")</f>
        <v/>
      </c>
      <c r="Y234" s="91" t="n">
        <f aca="false">IF($F234="",0,IF(COUNTIF($F$2:$F234,$F234)+COUNTIF($H$2:$H234,$F234)&gt;1,1,0))+IF($H234="",0,IF(COUNTIF($F$2:$F234,$H234)+COUNTIF($H$2:$H234,$H234)&gt;1,1,0))</f>
        <v>0</v>
      </c>
      <c r="Z234" s="91" t="n">
        <f aca="false">IF($Q234=0,0,IF(COUNTIFS($A$2:$A234,$A234,$Q$2:$Q234,"&gt;0")=1,1,0))</f>
        <v>0</v>
      </c>
      <c r="AA234" s="93" t="str">
        <f aca="false">IF($Q234&gt;0,$A234,"")</f>
        <v/>
      </c>
      <c r="AB234" s="91" t="n">
        <f aca="false">IF($K234="",0,1)</f>
        <v>0</v>
      </c>
      <c r="AC234" s="91" t="n">
        <f aca="false">IF($L234="",0,1)</f>
        <v>0</v>
      </c>
      <c r="AD234" s="91" t="n">
        <f aca="false">IF($M234="",0,1)</f>
        <v>0</v>
      </c>
      <c r="AE234" s="91" t="str">
        <f aca="false">IF($Q234&gt;0,$D234,"")</f>
        <v/>
      </c>
      <c r="AF234" s="1"/>
      <c r="AG234" s="1"/>
      <c r="AH234" s="1"/>
      <c r="AI234" s="1"/>
      <c r="AJ234" s="1"/>
      <c r="AK234" s="1"/>
      <c r="AL234" s="1"/>
      <c r="AM234" s="1"/>
      <c r="AN234" s="1"/>
    </row>
    <row r="235" customFormat="false" ht="18" hidden="false" customHeight="true" outlineLevel="0" collapsed="false">
      <c r="A235" s="86" t="n">
        <f aca="false">IF(ISNUMBER('Timeline Estacas'!A235),'Timeline Estacas'!A235,"")</f>
        <v>46379</v>
      </c>
      <c r="B235" s="87" t="n">
        <f aca="false">IF($A235="","",$A235)</f>
        <v>46379</v>
      </c>
      <c r="C235" s="88" t="n">
        <f aca="false">IF(ISNUMBER('Timeline Estacas'!C235),'Timeline Estacas'!C235,"")</f>
        <v>418</v>
      </c>
      <c r="D235" s="88" t="n">
        <f aca="false">IF(ISNUMBER('Timeline Estacas'!D235),'Timeline Estacas'!D235,"")</f>
        <v>60</v>
      </c>
      <c r="E235" s="88" t="str">
        <f aca="false">IF($D235="","","S-"&amp;TEXT($D235,"00"))</f>
        <v>S-60</v>
      </c>
      <c r="F235" s="88" t="str">
        <f aca="false">IF(ISNUMBER('Timeline Estacas'!F235),'Timeline Estacas'!F235,"")</f>
        <v/>
      </c>
      <c r="G235" s="88" t="str">
        <f aca="false">IF($F235="","",IF('Timeline Estacas'!G235&lt;&gt;"",'Timeline Estacas'!G235,'Timeline Estacas'!I235))</f>
        <v/>
      </c>
      <c r="H235" s="88" t="str">
        <f aca="false">IF(ISNUMBER('Timeline Estacas'!H235),'Timeline Estacas'!H235,"")</f>
        <v/>
      </c>
      <c r="I235" s="88" t="str">
        <f aca="false">IF($H235="","",'Timeline Estacas'!I235)</f>
        <v/>
      </c>
      <c r="J235" s="86" t="str">
        <f aca="false">IF(ISNUMBER('Timeline Estacas'!J235),'Timeline Estacas'!J235,"")</f>
        <v/>
      </c>
      <c r="K235" s="88" t="str">
        <f aca="false">IF('Timeline Estacas'!K235="","",'Timeline Estacas'!K235)</f>
        <v/>
      </c>
      <c r="L235" s="88" t="str">
        <f aca="false">IF('Timeline Estacas'!L235="","",'Timeline Estacas'!L235)</f>
        <v/>
      </c>
      <c r="M235" s="88" t="str">
        <f aca="false">IF('Timeline Estacas'!M235="","",'Timeline Estacas'!M235)</f>
        <v/>
      </c>
      <c r="N235" s="89" t="str">
        <f aca="false">IF('Timeline Estacas'!N235="","",'Timeline Estacas'!N235)</f>
        <v/>
      </c>
      <c r="O235" s="90" t="str">
        <f aca="false">IF(ISNUMBER('Timeline Estacas'!O235),'Timeline Estacas'!O235,"")</f>
        <v/>
      </c>
      <c r="P235" s="91" t="n">
        <f aca="false">IF($Q235&gt;0,1,0)</f>
        <v>0</v>
      </c>
      <c r="Q235" s="91" t="n">
        <f aca="false">IF($F235="",0,1)+IF($H235="",0,1)</f>
        <v>0</v>
      </c>
      <c r="R235" s="91" t="n">
        <f aca="false">IF($N235="",0,1)</f>
        <v>0</v>
      </c>
      <c r="S235" s="91" t="n">
        <f aca="false">IF($F235="",0,1)</f>
        <v>0</v>
      </c>
      <c r="T235" s="91" t="n">
        <f aca="false">IF($H235="",0,1)</f>
        <v>0</v>
      </c>
      <c r="U235" s="91" t="n">
        <f aca="false">IF($J235="",0,1)</f>
        <v>0</v>
      </c>
      <c r="V235" s="91" t="n">
        <f aca="true">IF($J235="",0,IF($J235&lt;=TODAY(),1,0))</f>
        <v>0</v>
      </c>
      <c r="W235" s="92" t="n">
        <f aca="false">IF($O235="",0,$O235)</f>
        <v>0</v>
      </c>
      <c r="X235" s="91" t="str">
        <f aca="false">IF($R235=1,SUM($R$2:$R235),"")</f>
        <v/>
      </c>
      <c r="Y235" s="91" t="n">
        <f aca="false">IF($F235="",0,IF(COUNTIF($F$2:$F235,$F235)+COUNTIF($H$2:$H235,$F235)&gt;1,1,0))+IF($H235="",0,IF(COUNTIF($F$2:$F235,$H235)+COUNTIF($H$2:$H235,$H235)&gt;1,1,0))</f>
        <v>0</v>
      </c>
      <c r="Z235" s="91" t="n">
        <f aca="false">IF($Q235=0,0,IF(COUNTIFS($A$2:$A235,$A235,$Q$2:$Q235,"&gt;0")=1,1,0))</f>
        <v>0</v>
      </c>
      <c r="AA235" s="93" t="str">
        <f aca="false">IF($Q235&gt;0,$A235,"")</f>
        <v/>
      </c>
      <c r="AB235" s="91" t="n">
        <f aca="false">IF($K235="",0,1)</f>
        <v>0</v>
      </c>
      <c r="AC235" s="91" t="n">
        <f aca="false">IF($L235="",0,1)</f>
        <v>0</v>
      </c>
      <c r="AD235" s="91" t="n">
        <f aca="false">IF($M235="",0,1)</f>
        <v>0</v>
      </c>
      <c r="AE235" s="91" t="str">
        <f aca="false">IF($Q235&gt;0,$D235,"")</f>
        <v/>
      </c>
      <c r="AF235" s="1"/>
      <c r="AG235" s="1"/>
      <c r="AH235" s="1"/>
      <c r="AI235" s="1"/>
      <c r="AJ235" s="1"/>
      <c r="AK235" s="1"/>
      <c r="AL235" s="1"/>
      <c r="AM235" s="1"/>
      <c r="AN235" s="1"/>
    </row>
    <row r="236" customFormat="false" ht="18" hidden="false" customHeight="true" outlineLevel="0" collapsed="false">
      <c r="A236" s="86" t="n">
        <f aca="false">IF(ISNUMBER('Timeline Estacas'!A236),'Timeline Estacas'!A236,"")</f>
        <v>46380</v>
      </c>
      <c r="B236" s="87" t="n">
        <f aca="false">IF($A236="","",$A236)</f>
        <v>46380</v>
      </c>
      <c r="C236" s="88" t="n">
        <f aca="false">IF(ISNUMBER('Timeline Estacas'!C236),'Timeline Estacas'!C236,"")</f>
        <v>419</v>
      </c>
      <c r="D236" s="88" t="n">
        <f aca="false">IF(ISNUMBER('Timeline Estacas'!D236),'Timeline Estacas'!D236,"")</f>
        <v>60</v>
      </c>
      <c r="E236" s="88" t="str">
        <f aca="false">IF($D236="","","S-"&amp;TEXT($D236,"00"))</f>
        <v>S-60</v>
      </c>
      <c r="F236" s="88" t="str">
        <f aca="false">IF(ISNUMBER('Timeline Estacas'!F236),'Timeline Estacas'!F236,"")</f>
        <v/>
      </c>
      <c r="G236" s="88" t="str">
        <f aca="false">IF($F236="","",IF('Timeline Estacas'!G236&lt;&gt;"",'Timeline Estacas'!G236,'Timeline Estacas'!I236))</f>
        <v/>
      </c>
      <c r="H236" s="88" t="str">
        <f aca="false">IF(ISNUMBER('Timeline Estacas'!H236),'Timeline Estacas'!H236,"")</f>
        <v/>
      </c>
      <c r="I236" s="88" t="str">
        <f aca="false">IF($H236="","",'Timeline Estacas'!I236)</f>
        <v/>
      </c>
      <c r="J236" s="86" t="str">
        <f aca="false">IF(ISNUMBER('Timeline Estacas'!J236),'Timeline Estacas'!J236,"")</f>
        <v/>
      </c>
      <c r="K236" s="88" t="str">
        <f aca="false">IF('Timeline Estacas'!K236="","",'Timeline Estacas'!K236)</f>
        <v/>
      </c>
      <c r="L236" s="88" t="str">
        <f aca="false">IF('Timeline Estacas'!L236="","",'Timeline Estacas'!L236)</f>
        <v/>
      </c>
      <c r="M236" s="88" t="str">
        <f aca="false">IF('Timeline Estacas'!M236="","",'Timeline Estacas'!M236)</f>
        <v/>
      </c>
      <c r="N236" s="89" t="str">
        <f aca="false">IF('Timeline Estacas'!N236="","",'Timeline Estacas'!N236)</f>
        <v/>
      </c>
      <c r="O236" s="90" t="str">
        <f aca="false">IF(ISNUMBER('Timeline Estacas'!O236),'Timeline Estacas'!O236,"")</f>
        <v/>
      </c>
      <c r="P236" s="91" t="n">
        <f aca="false">IF($Q236&gt;0,1,0)</f>
        <v>0</v>
      </c>
      <c r="Q236" s="91" t="n">
        <f aca="false">IF($F236="",0,1)+IF($H236="",0,1)</f>
        <v>0</v>
      </c>
      <c r="R236" s="91" t="n">
        <f aca="false">IF($N236="",0,1)</f>
        <v>0</v>
      </c>
      <c r="S236" s="91" t="n">
        <f aca="false">IF($F236="",0,1)</f>
        <v>0</v>
      </c>
      <c r="T236" s="91" t="n">
        <f aca="false">IF($H236="",0,1)</f>
        <v>0</v>
      </c>
      <c r="U236" s="91" t="n">
        <f aca="false">IF($J236="",0,1)</f>
        <v>0</v>
      </c>
      <c r="V236" s="91" t="n">
        <f aca="true">IF($J236="",0,IF($J236&lt;=TODAY(),1,0))</f>
        <v>0</v>
      </c>
      <c r="W236" s="92" t="n">
        <f aca="false">IF($O236="",0,$O236)</f>
        <v>0</v>
      </c>
      <c r="X236" s="91" t="str">
        <f aca="false">IF($R236=1,SUM($R$2:$R236),"")</f>
        <v/>
      </c>
      <c r="Y236" s="91" t="n">
        <f aca="false">IF($F236="",0,IF(COUNTIF($F$2:$F236,$F236)+COUNTIF($H$2:$H236,$F236)&gt;1,1,0))+IF($H236="",0,IF(COUNTIF($F$2:$F236,$H236)+COUNTIF($H$2:$H236,$H236)&gt;1,1,0))</f>
        <v>0</v>
      </c>
      <c r="Z236" s="91" t="n">
        <f aca="false">IF($Q236=0,0,IF(COUNTIFS($A$2:$A236,$A236,$Q$2:$Q236,"&gt;0")=1,1,0))</f>
        <v>0</v>
      </c>
      <c r="AA236" s="93" t="str">
        <f aca="false">IF($Q236&gt;0,$A236,"")</f>
        <v/>
      </c>
      <c r="AB236" s="91" t="n">
        <f aca="false">IF($K236="",0,1)</f>
        <v>0</v>
      </c>
      <c r="AC236" s="91" t="n">
        <f aca="false">IF($L236="",0,1)</f>
        <v>0</v>
      </c>
      <c r="AD236" s="91" t="n">
        <f aca="false">IF($M236="",0,1)</f>
        <v>0</v>
      </c>
      <c r="AE236" s="91" t="str">
        <f aca="false">IF($Q236&gt;0,$D236,"")</f>
        <v/>
      </c>
      <c r="AF236" s="1"/>
      <c r="AG236" s="1"/>
      <c r="AH236" s="1"/>
      <c r="AI236" s="1"/>
      <c r="AJ236" s="1"/>
      <c r="AK236" s="1"/>
      <c r="AL236" s="1"/>
      <c r="AM236" s="1"/>
      <c r="AN236" s="1"/>
    </row>
    <row r="237" customFormat="false" ht="18" hidden="false" customHeight="true" outlineLevel="0" collapsed="false">
      <c r="A237" s="86" t="n">
        <f aca="false">IF(ISNUMBER('Timeline Estacas'!A237),'Timeline Estacas'!A237,"")</f>
        <v>46381</v>
      </c>
      <c r="B237" s="87" t="n">
        <f aca="false">IF($A237="","",$A237)</f>
        <v>46381</v>
      </c>
      <c r="C237" s="88" t="n">
        <f aca="false">IF(ISNUMBER('Timeline Estacas'!C237),'Timeline Estacas'!C237,"")</f>
        <v>420</v>
      </c>
      <c r="D237" s="88" t="n">
        <f aca="false">IF(ISNUMBER('Timeline Estacas'!D237),'Timeline Estacas'!D237,"")</f>
        <v>61</v>
      </c>
      <c r="E237" s="88" t="str">
        <f aca="false">IF($D237="","","S-"&amp;TEXT($D237,"00"))</f>
        <v>S-61</v>
      </c>
      <c r="F237" s="88" t="str">
        <f aca="false">IF(ISNUMBER('Timeline Estacas'!F237),'Timeline Estacas'!F237,"")</f>
        <v/>
      </c>
      <c r="G237" s="88" t="str">
        <f aca="false">IF($F237="","",IF('Timeline Estacas'!G237&lt;&gt;"",'Timeline Estacas'!G237,'Timeline Estacas'!I237))</f>
        <v/>
      </c>
      <c r="H237" s="88" t="str">
        <f aca="false">IF(ISNUMBER('Timeline Estacas'!H237),'Timeline Estacas'!H237,"")</f>
        <v/>
      </c>
      <c r="I237" s="88" t="str">
        <f aca="false">IF($H237="","",'Timeline Estacas'!I237)</f>
        <v/>
      </c>
      <c r="J237" s="86" t="str">
        <f aca="false">IF(ISNUMBER('Timeline Estacas'!J237),'Timeline Estacas'!J237,"")</f>
        <v/>
      </c>
      <c r="K237" s="88" t="str">
        <f aca="false">IF('Timeline Estacas'!K237="","",'Timeline Estacas'!K237)</f>
        <v/>
      </c>
      <c r="L237" s="88" t="str">
        <f aca="false">IF('Timeline Estacas'!L237="","",'Timeline Estacas'!L237)</f>
        <v/>
      </c>
      <c r="M237" s="88" t="str">
        <f aca="false">IF('Timeline Estacas'!M237="","",'Timeline Estacas'!M237)</f>
        <v/>
      </c>
      <c r="N237" s="89" t="str">
        <f aca="false">IF('Timeline Estacas'!N237="","",'Timeline Estacas'!N237)</f>
        <v/>
      </c>
      <c r="O237" s="90" t="str">
        <f aca="false">IF(ISNUMBER('Timeline Estacas'!O237),'Timeline Estacas'!O237,"")</f>
        <v/>
      </c>
      <c r="P237" s="91" t="n">
        <f aca="false">IF($Q237&gt;0,1,0)</f>
        <v>0</v>
      </c>
      <c r="Q237" s="91" t="n">
        <f aca="false">IF($F237="",0,1)+IF($H237="",0,1)</f>
        <v>0</v>
      </c>
      <c r="R237" s="91" t="n">
        <f aca="false">IF($N237="",0,1)</f>
        <v>0</v>
      </c>
      <c r="S237" s="91" t="n">
        <f aca="false">IF($F237="",0,1)</f>
        <v>0</v>
      </c>
      <c r="T237" s="91" t="n">
        <f aca="false">IF($H237="",0,1)</f>
        <v>0</v>
      </c>
      <c r="U237" s="91" t="n">
        <f aca="false">IF($J237="",0,1)</f>
        <v>0</v>
      </c>
      <c r="V237" s="91" t="n">
        <f aca="true">IF($J237="",0,IF($J237&lt;=TODAY(),1,0))</f>
        <v>0</v>
      </c>
      <c r="W237" s="92" t="n">
        <f aca="false">IF($O237="",0,$O237)</f>
        <v>0</v>
      </c>
      <c r="X237" s="91" t="str">
        <f aca="false">IF($R237=1,SUM($R$2:$R237),"")</f>
        <v/>
      </c>
      <c r="Y237" s="91" t="n">
        <f aca="false">IF($F237="",0,IF(COUNTIF($F$2:$F237,$F237)+COUNTIF($H$2:$H237,$F237)&gt;1,1,0))+IF($H237="",0,IF(COUNTIF($F$2:$F237,$H237)+COUNTIF($H$2:$H237,$H237)&gt;1,1,0))</f>
        <v>0</v>
      </c>
      <c r="Z237" s="91" t="n">
        <f aca="false">IF($Q237=0,0,IF(COUNTIFS($A$2:$A237,$A237,$Q$2:$Q237,"&gt;0")=1,1,0))</f>
        <v>0</v>
      </c>
      <c r="AA237" s="93" t="str">
        <f aca="false">IF($Q237&gt;0,$A237,"")</f>
        <v/>
      </c>
      <c r="AB237" s="91" t="n">
        <f aca="false">IF($K237="",0,1)</f>
        <v>0</v>
      </c>
      <c r="AC237" s="91" t="n">
        <f aca="false">IF($L237="",0,1)</f>
        <v>0</v>
      </c>
      <c r="AD237" s="91" t="n">
        <f aca="false">IF($M237="",0,1)</f>
        <v>0</v>
      </c>
      <c r="AE237" s="91" t="str">
        <f aca="false">IF($Q237&gt;0,$D237,"")</f>
        <v/>
      </c>
      <c r="AF237" s="1"/>
      <c r="AG237" s="1"/>
      <c r="AH237" s="1"/>
      <c r="AI237" s="1"/>
      <c r="AJ237" s="1"/>
      <c r="AK237" s="1"/>
      <c r="AL237" s="1"/>
      <c r="AM237" s="1"/>
      <c r="AN237" s="1"/>
    </row>
    <row r="238" customFormat="false" ht="18" hidden="false" customHeight="true" outlineLevel="0" collapsed="false">
      <c r="A238" s="86" t="n">
        <f aca="false">IF(ISNUMBER('Timeline Estacas'!A238),'Timeline Estacas'!A238,"")</f>
        <v>46382</v>
      </c>
      <c r="B238" s="87" t="n">
        <f aca="false">IF($A238="","",$A238)</f>
        <v>46382</v>
      </c>
      <c r="C238" s="88" t="n">
        <f aca="false">IF(ISNUMBER('Timeline Estacas'!C238),'Timeline Estacas'!C238,"")</f>
        <v>421</v>
      </c>
      <c r="D238" s="88" t="n">
        <f aca="false">IF(ISNUMBER('Timeline Estacas'!D238),'Timeline Estacas'!D238,"")</f>
        <v>61</v>
      </c>
      <c r="E238" s="88" t="str">
        <f aca="false">IF($D238="","","S-"&amp;TEXT($D238,"00"))</f>
        <v>S-61</v>
      </c>
      <c r="F238" s="88" t="str">
        <f aca="false">IF(ISNUMBER('Timeline Estacas'!F238),'Timeline Estacas'!F238,"")</f>
        <v/>
      </c>
      <c r="G238" s="88" t="str">
        <f aca="false">IF($F238="","",IF('Timeline Estacas'!G238&lt;&gt;"",'Timeline Estacas'!G238,'Timeline Estacas'!I238))</f>
        <v/>
      </c>
      <c r="H238" s="88" t="str">
        <f aca="false">IF(ISNUMBER('Timeline Estacas'!H238),'Timeline Estacas'!H238,"")</f>
        <v/>
      </c>
      <c r="I238" s="88" t="str">
        <f aca="false">IF($H238="","",'Timeline Estacas'!I238)</f>
        <v/>
      </c>
      <c r="J238" s="86" t="str">
        <f aca="false">IF(ISNUMBER('Timeline Estacas'!J238),'Timeline Estacas'!J238,"")</f>
        <v/>
      </c>
      <c r="K238" s="88" t="str">
        <f aca="false">IF('Timeline Estacas'!K238="","",'Timeline Estacas'!K238)</f>
        <v/>
      </c>
      <c r="L238" s="88" t="str">
        <f aca="false">IF('Timeline Estacas'!L238="","",'Timeline Estacas'!L238)</f>
        <v/>
      </c>
      <c r="M238" s="88" t="str">
        <f aca="false">IF('Timeline Estacas'!M238="","",'Timeline Estacas'!M238)</f>
        <v/>
      </c>
      <c r="N238" s="89" t="str">
        <f aca="false">IF('Timeline Estacas'!N238="","",'Timeline Estacas'!N238)</f>
        <v/>
      </c>
      <c r="O238" s="90" t="str">
        <f aca="false">IF(ISNUMBER('Timeline Estacas'!O238),'Timeline Estacas'!O238,"")</f>
        <v/>
      </c>
      <c r="P238" s="91" t="n">
        <f aca="false">IF($Q238&gt;0,1,0)</f>
        <v>0</v>
      </c>
      <c r="Q238" s="91" t="n">
        <f aca="false">IF($F238="",0,1)+IF($H238="",0,1)</f>
        <v>0</v>
      </c>
      <c r="R238" s="91" t="n">
        <f aca="false">IF($N238="",0,1)</f>
        <v>0</v>
      </c>
      <c r="S238" s="91" t="n">
        <f aca="false">IF($F238="",0,1)</f>
        <v>0</v>
      </c>
      <c r="T238" s="91" t="n">
        <f aca="false">IF($H238="",0,1)</f>
        <v>0</v>
      </c>
      <c r="U238" s="91" t="n">
        <f aca="false">IF($J238="",0,1)</f>
        <v>0</v>
      </c>
      <c r="V238" s="91" t="n">
        <f aca="true">IF($J238="",0,IF($J238&lt;=TODAY(),1,0))</f>
        <v>0</v>
      </c>
      <c r="W238" s="92" t="n">
        <f aca="false">IF($O238="",0,$O238)</f>
        <v>0</v>
      </c>
      <c r="X238" s="91" t="str">
        <f aca="false">IF($R238=1,SUM($R$2:$R238),"")</f>
        <v/>
      </c>
      <c r="Y238" s="91" t="n">
        <f aca="false">IF($F238="",0,IF(COUNTIF($F$2:$F238,$F238)+COUNTIF($H$2:$H238,$F238)&gt;1,1,0))+IF($H238="",0,IF(COUNTIF($F$2:$F238,$H238)+COUNTIF($H$2:$H238,$H238)&gt;1,1,0))</f>
        <v>0</v>
      </c>
      <c r="Z238" s="91" t="n">
        <f aca="false">IF($Q238=0,0,IF(COUNTIFS($A$2:$A238,$A238,$Q$2:$Q238,"&gt;0")=1,1,0))</f>
        <v>0</v>
      </c>
      <c r="AA238" s="93" t="str">
        <f aca="false">IF($Q238&gt;0,$A238,"")</f>
        <v/>
      </c>
      <c r="AB238" s="91" t="n">
        <f aca="false">IF($K238="",0,1)</f>
        <v>0</v>
      </c>
      <c r="AC238" s="91" t="n">
        <f aca="false">IF($L238="",0,1)</f>
        <v>0</v>
      </c>
      <c r="AD238" s="91" t="n">
        <f aca="false">IF($M238="",0,1)</f>
        <v>0</v>
      </c>
      <c r="AE238" s="91" t="str">
        <f aca="false">IF($Q238&gt;0,$D238,"")</f>
        <v/>
      </c>
      <c r="AF238" s="1"/>
      <c r="AG238" s="1"/>
      <c r="AH238" s="1"/>
      <c r="AI238" s="1"/>
      <c r="AJ238" s="1"/>
      <c r="AK238" s="1"/>
      <c r="AL238" s="1"/>
      <c r="AM238" s="1"/>
      <c r="AN238" s="1"/>
    </row>
    <row r="239" customFormat="false" ht="18" hidden="false" customHeight="true" outlineLevel="0" collapsed="false">
      <c r="A239" s="86" t="n">
        <f aca="false">IF(ISNUMBER('Timeline Estacas'!A239),'Timeline Estacas'!A239,"")</f>
        <v>46383</v>
      </c>
      <c r="B239" s="87" t="n">
        <f aca="false">IF($A239="","",$A239)</f>
        <v>46383</v>
      </c>
      <c r="C239" s="88" t="n">
        <f aca="false">IF(ISNUMBER('Timeline Estacas'!C239),'Timeline Estacas'!C239,"")</f>
        <v>422</v>
      </c>
      <c r="D239" s="88" t="n">
        <f aca="false">IF(ISNUMBER('Timeline Estacas'!D239),'Timeline Estacas'!D239,"")</f>
        <v>61</v>
      </c>
      <c r="E239" s="88" t="str">
        <f aca="false">IF($D239="","","S-"&amp;TEXT($D239,"00"))</f>
        <v>S-61</v>
      </c>
      <c r="F239" s="88" t="str">
        <f aca="false">IF(ISNUMBER('Timeline Estacas'!F239),'Timeline Estacas'!F239,"")</f>
        <v/>
      </c>
      <c r="G239" s="88" t="str">
        <f aca="false">IF($F239="","",IF('Timeline Estacas'!G239&lt;&gt;"",'Timeline Estacas'!G239,'Timeline Estacas'!I239))</f>
        <v/>
      </c>
      <c r="H239" s="88" t="str">
        <f aca="false">IF(ISNUMBER('Timeline Estacas'!H239),'Timeline Estacas'!H239,"")</f>
        <v/>
      </c>
      <c r="I239" s="88" t="str">
        <f aca="false">IF($H239="","",'Timeline Estacas'!I239)</f>
        <v/>
      </c>
      <c r="J239" s="86" t="str">
        <f aca="false">IF(ISNUMBER('Timeline Estacas'!J239),'Timeline Estacas'!J239,"")</f>
        <v/>
      </c>
      <c r="K239" s="88" t="str">
        <f aca="false">IF('Timeline Estacas'!K239="","",'Timeline Estacas'!K239)</f>
        <v/>
      </c>
      <c r="L239" s="88" t="str">
        <f aca="false">IF('Timeline Estacas'!L239="","",'Timeline Estacas'!L239)</f>
        <v/>
      </c>
      <c r="M239" s="88" t="str">
        <f aca="false">IF('Timeline Estacas'!M239="","",'Timeline Estacas'!M239)</f>
        <v/>
      </c>
      <c r="N239" s="89" t="str">
        <f aca="false">IF('Timeline Estacas'!N239="","",'Timeline Estacas'!N239)</f>
        <v/>
      </c>
      <c r="O239" s="90" t="str">
        <f aca="false">IF(ISNUMBER('Timeline Estacas'!O239),'Timeline Estacas'!O239,"")</f>
        <v/>
      </c>
      <c r="P239" s="91" t="n">
        <f aca="false">IF($Q239&gt;0,1,0)</f>
        <v>0</v>
      </c>
      <c r="Q239" s="91" t="n">
        <f aca="false">IF($F239="",0,1)+IF($H239="",0,1)</f>
        <v>0</v>
      </c>
      <c r="R239" s="91" t="n">
        <f aca="false">IF($N239="",0,1)</f>
        <v>0</v>
      </c>
      <c r="S239" s="91" t="n">
        <f aca="false">IF($F239="",0,1)</f>
        <v>0</v>
      </c>
      <c r="T239" s="91" t="n">
        <f aca="false">IF($H239="",0,1)</f>
        <v>0</v>
      </c>
      <c r="U239" s="91" t="n">
        <f aca="false">IF($J239="",0,1)</f>
        <v>0</v>
      </c>
      <c r="V239" s="91" t="n">
        <f aca="true">IF($J239="",0,IF($J239&lt;=TODAY(),1,0))</f>
        <v>0</v>
      </c>
      <c r="W239" s="92" t="n">
        <f aca="false">IF($O239="",0,$O239)</f>
        <v>0</v>
      </c>
      <c r="X239" s="91" t="str">
        <f aca="false">IF($R239=1,SUM($R$2:$R239),"")</f>
        <v/>
      </c>
      <c r="Y239" s="91" t="n">
        <f aca="false">IF($F239="",0,IF(COUNTIF($F$2:$F239,$F239)+COUNTIF($H$2:$H239,$F239)&gt;1,1,0))+IF($H239="",0,IF(COUNTIF($F$2:$F239,$H239)+COUNTIF($H$2:$H239,$H239)&gt;1,1,0))</f>
        <v>0</v>
      </c>
      <c r="Z239" s="91" t="n">
        <f aca="false">IF($Q239=0,0,IF(COUNTIFS($A$2:$A239,$A239,$Q$2:$Q239,"&gt;0")=1,1,0))</f>
        <v>0</v>
      </c>
      <c r="AA239" s="93" t="str">
        <f aca="false">IF($Q239&gt;0,$A239,"")</f>
        <v/>
      </c>
      <c r="AB239" s="91" t="n">
        <f aca="false">IF($K239="",0,1)</f>
        <v>0</v>
      </c>
      <c r="AC239" s="91" t="n">
        <f aca="false">IF($L239="",0,1)</f>
        <v>0</v>
      </c>
      <c r="AD239" s="91" t="n">
        <f aca="false">IF($M239="",0,1)</f>
        <v>0</v>
      </c>
      <c r="AE239" s="91" t="str">
        <f aca="false">IF($Q239&gt;0,$D239,"")</f>
        <v/>
      </c>
      <c r="AF239" s="1"/>
      <c r="AG239" s="1"/>
      <c r="AH239" s="1"/>
      <c r="AI239" s="1"/>
      <c r="AJ239" s="1"/>
      <c r="AK239" s="1"/>
      <c r="AL239" s="1"/>
      <c r="AM239" s="1"/>
      <c r="AN239" s="1"/>
    </row>
    <row r="240" customFormat="false" ht="18" hidden="false" customHeight="true" outlineLevel="0" collapsed="false">
      <c r="A240" s="86" t="n">
        <f aca="false">IF(ISNUMBER('Timeline Estacas'!A240),'Timeline Estacas'!A240,"")</f>
        <v>46384</v>
      </c>
      <c r="B240" s="87" t="n">
        <f aca="false">IF($A240="","",$A240)</f>
        <v>46384</v>
      </c>
      <c r="C240" s="88" t="n">
        <f aca="false">IF(ISNUMBER('Timeline Estacas'!C240),'Timeline Estacas'!C240,"")</f>
        <v>423</v>
      </c>
      <c r="D240" s="88" t="n">
        <f aca="false">IF(ISNUMBER('Timeline Estacas'!D240),'Timeline Estacas'!D240,"")</f>
        <v>61</v>
      </c>
      <c r="E240" s="88" t="str">
        <f aca="false">IF($D240="","","S-"&amp;TEXT($D240,"00"))</f>
        <v>S-61</v>
      </c>
      <c r="F240" s="88" t="str">
        <f aca="false">IF(ISNUMBER('Timeline Estacas'!F240),'Timeline Estacas'!F240,"")</f>
        <v/>
      </c>
      <c r="G240" s="88" t="str">
        <f aca="false">IF($F240="","",IF('Timeline Estacas'!G240&lt;&gt;"",'Timeline Estacas'!G240,'Timeline Estacas'!I240))</f>
        <v/>
      </c>
      <c r="H240" s="88" t="str">
        <f aca="false">IF(ISNUMBER('Timeline Estacas'!H240),'Timeline Estacas'!H240,"")</f>
        <v/>
      </c>
      <c r="I240" s="88" t="str">
        <f aca="false">IF($H240="","",'Timeline Estacas'!I240)</f>
        <v/>
      </c>
      <c r="J240" s="86" t="str">
        <f aca="false">IF(ISNUMBER('Timeline Estacas'!J240),'Timeline Estacas'!J240,"")</f>
        <v/>
      </c>
      <c r="K240" s="88" t="str">
        <f aca="false">IF('Timeline Estacas'!K240="","",'Timeline Estacas'!K240)</f>
        <v/>
      </c>
      <c r="L240" s="88" t="str">
        <f aca="false">IF('Timeline Estacas'!L240="","",'Timeline Estacas'!L240)</f>
        <v/>
      </c>
      <c r="M240" s="88" t="str">
        <f aca="false">IF('Timeline Estacas'!M240="","",'Timeline Estacas'!M240)</f>
        <v/>
      </c>
      <c r="N240" s="89" t="str">
        <f aca="false">IF('Timeline Estacas'!N240="","",'Timeline Estacas'!N240)</f>
        <v/>
      </c>
      <c r="O240" s="90" t="str">
        <f aca="false">IF(ISNUMBER('Timeline Estacas'!O240),'Timeline Estacas'!O240,"")</f>
        <v/>
      </c>
      <c r="P240" s="91" t="n">
        <f aca="false">IF($Q240&gt;0,1,0)</f>
        <v>0</v>
      </c>
      <c r="Q240" s="91" t="n">
        <f aca="false">IF($F240="",0,1)+IF($H240="",0,1)</f>
        <v>0</v>
      </c>
      <c r="R240" s="91" t="n">
        <f aca="false">IF($N240="",0,1)</f>
        <v>0</v>
      </c>
      <c r="S240" s="91" t="n">
        <f aca="false">IF($F240="",0,1)</f>
        <v>0</v>
      </c>
      <c r="T240" s="91" t="n">
        <f aca="false">IF($H240="",0,1)</f>
        <v>0</v>
      </c>
      <c r="U240" s="91" t="n">
        <f aca="false">IF($J240="",0,1)</f>
        <v>0</v>
      </c>
      <c r="V240" s="91" t="n">
        <f aca="true">IF($J240="",0,IF($J240&lt;=TODAY(),1,0))</f>
        <v>0</v>
      </c>
      <c r="W240" s="92" t="n">
        <f aca="false">IF($O240="",0,$O240)</f>
        <v>0</v>
      </c>
      <c r="X240" s="91" t="str">
        <f aca="false">IF($R240=1,SUM($R$2:$R240),"")</f>
        <v/>
      </c>
      <c r="Y240" s="91" t="n">
        <f aca="false">IF($F240="",0,IF(COUNTIF($F$2:$F240,$F240)+COUNTIF($H$2:$H240,$F240)&gt;1,1,0))+IF($H240="",0,IF(COUNTIF($F$2:$F240,$H240)+COUNTIF($H$2:$H240,$H240)&gt;1,1,0))</f>
        <v>0</v>
      </c>
      <c r="Z240" s="91" t="n">
        <f aca="false">IF($Q240=0,0,IF(COUNTIFS($A$2:$A240,$A240,$Q$2:$Q240,"&gt;0")=1,1,0))</f>
        <v>0</v>
      </c>
      <c r="AA240" s="93" t="str">
        <f aca="false">IF($Q240&gt;0,$A240,"")</f>
        <v/>
      </c>
      <c r="AB240" s="91" t="n">
        <f aca="false">IF($K240="",0,1)</f>
        <v>0</v>
      </c>
      <c r="AC240" s="91" t="n">
        <f aca="false">IF($L240="",0,1)</f>
        <v>0</v>
      </c>
      <c r="AD240" s="91" t="n">
        <f aca="false">IF($M240="",0,1)</f>
        <v>0</v>
      </c>
      <c r="AE240" s="91" t="str">
        <f aca="false">IF($Q240&gt;0,$D240,"")</f>
        <v/>
      </c>
      <c r="AF240" s="1"/>
      <c r="AG240" s="1"/>
      <c r="AH240" s="1"/>
      <c r="AI240" s="1"/>
      <c r="AJ240" s="1"/>
      <c r="AK240" s="1"/>
      <c r="AL240" s="1"/>
      <c r="AM240" s="1"/>
      <c r="AN240" s="1"/>
    </row>
    <row r="241" customFormat="false" ht="15" hidden="false" customHeight="false" outlineLevel="0" collapsed="false">
      <c r="A241" s="86" t="n">
        <f aca="false">IF(ISNUMBER('Timeline Estacas'!A241),'Timeline Estacas'!A241,"")</f>
        <v>46385</v>
      </c>
      <c r="B241" s="87" t="n">
        <f aca="false">IF($A241="","",$A241)</f>
        <v>46385</v>
      </c>
      <c r="C241" s="88" t="n">
        <f aca="false">IF(ISNUMBER('Timeline Estacas'!C241),'Timeline Estacas'!C241,"")</f>
        <v>424</v>
      </c>
      <c r="D241" s="88" t="n">
        <f aca="false">IF(ISNUMBER('Timeline Estacas'!D241),'Timeline Estacas'!D241,"")</f>
        <v>61</v>
      </c>
      <c r="E241" s="88" t="str">
        <f aca="false">IF($D241="","","S-"&amp;TEXT($D241,"00"))</f>
        <v>S-61</v>
      </c>
      <c r="F241" s="88" t="str">
        <f aca="false">IF(ISNUMBER('Timeline Estacas'!F241),'Timeline Estacas'!F241,"")</f>
        <v/>
      </c>
      <c r="G241" s="88" t="str">
        <f aca="false">IF($F241="","",IF('Timeline Estacas'!G241&lt;&gt;"",'Timeline Estacas'!G241,'Timeline Estacas'!I241))</f>
        <v/>
      </c>
      <c r="H241" s="88" t="str">
        <f aca="false">IF(ISNUMBER('Timeline Estacas'!H241),'Timeline Estacas'!H241,"")</f>
        <v/>
      </c>
      <c r="I241" s="88" t="str">
        <f aca="false">IF($H241="","",'Timeline Estacas'!I241)</f>
        <v/>
      </c>
      <c r="J241" s="86" t="str">
        <f aca="false">IF(ISNUMBER('Timeline Estacas'!J241),'Timeline Estacas'!J241,"")</f>
        <v/>
      </c>
      <c r="K241" s="88" t="str">
        <f aca="false">IF('Timeline Estacas'!K241="","",'Timeline Estacas'!K241)</f>
        <v/>
      </c>
      <c r="L241" s="88" t="str">
        <f aca="false">IF('Timeline Estacas'!L241="","",'Timeline Estacas'!L241)</f>
        <v/>
      </c>
      <c r="M241" s="88" t="str">
        <f aca="false">IF('Timeline Estacas'!M241="","",'Timeline Estacas'!M241)</f>
        <v/>
      </c>
      <c r="N241" s="88" t="str">
        <f aca="false">IF('Timeline Estacas'!N241="","",'Timeline Estacas'!N241)</f>
        <v/>
      </c>
      <c r="O241" s="90" t="str">
        <f aca="false">IF(ISNUMBER('Timeline Estacas'!O241),'Timeline Estacas'!O241,"")</f>
        <v/>
      </c>
      <c r="P241" s="91" t="n">
        <f aca="false">IF($Q241&gt;0,1,0)</f>
        <v>0</v>
      </c>
      <c r="Q241" s="91" t="n">
        <f aca="false">IF($F241="",0,1)+IF($H241="",0,1)</f>
        <v>0</v>
      </c>
      <c r="R241" s="91" t="n">
        <f aca="false">IF($N241="",0,1)</f>
        <v>0</v>
      </c>
      <c r="S241" s="91" t="n">
        <f aca="false">IF($F241="",0,1)</f>
        <v>0</v>
      </c>
      <c r="T241" s="91" t="n">
        <f aca="false">IF($H241="",0,1)</f>
        <v>0</v>
      </c>
      <c r="U241" s="91" t="n">
        <f aca="false">IF($J241="",0,1)</f>
        <v>0</v>
      </c>
      <c r="V241" s="91" t="n">
        <f aca="true">IF($J241="",0,IF($J241&lt;=TODAY(),1,0))</f>
        <v>0</v>
      </c>
      <c r="W241" s="92" t="n">
        <f aca="false">IF($O241="",0,$O241)</f>
        <v>0</v>
      </c>
      <c r="X241" s="91" t="str">
        <f aca="false">IF($R241=1,SUM($R$2:$R241),"")</f>
        <v/>
      </c>
      <c r="Y241" s="91" t="n">
        <f aca="false">IF($F241="",0,IF(COUNTIF($F$2:$F241,$F241)+COUNTIF($H$2:$H241,$F241)&gt;1,1,0))+IF($H241="",0,IF(COUNTIF($F$2:$F241,$H241)+COUNTIF($H$2:$H241,$H241)&gt;1,1,0))</f>
        <v>0</v>
      </c>
      <c r="Z241" s="91" t="n">
        <f aca="false">IF($Q241=0,0,IF(COUNTIFS($A$2:$A241,$A241,$Q$2:$Q241,"&gt;0")=1,1,0))</f>
        <v>0</v>
      </c>
      <c r="AA241" s="93" t="str">
        <f aca="false">IF($Q241&gt;0,$A241,"")</f>
        <v/>
      </c>
      <c r="AB241" s="91" t="n">
        <f aca="false">IF($K241="",0,1)</f>
        <v>0</v>
      </c>
      <c r="AC241" s="91" t="n">
        <f aca="false">IF($L241="",0,1)</f>
        <v>0</v>
      </c>
      <c r="AD241" s="91" t="n">
        <f aca="false">IF($M241="",0,1)</f>
        <v>0</v>
      </c>
      <c r="AE241" s="91" t="str">
        <f aca="false">IF($Q241&gt;0,$D241,"")</f>
        <v/>
      </c>
      <c r="AF241" s="1"/>
      <c r="AG241" s="1"/>
      <c r="AH241" s="1"/>
      <c r="AI241" s="1"/>
      <c r="AJ241" s="1"/>
      <c r="AK241" s="1"/>
      <c r="AL241" s="1"/>
      <c r="AM241" s="1"/>
      <c r="AN241" s="1"/>
    </row>
    <row r="242" customFormat="false" ht="15" hidden="false" customHeight="false" outlineLevel="0" collapsed="false">
      <c r="A242" s="86" t="n">
        <f aca="false">IF(ISNUMBER('Timeline Estacas'!A242),'Timeline Estacas'!A242,"")</f>
        <v>46386</v>
      </c>
      <c r="B242" s="87" t="n">
        <f aca="false">IF($A242="","",$A242)</f>
        <v>46386</v>
      </c>
      <c r="C242" s="88" t="n">
        <f aca="false">IF(ISNUMBER('Timeline Estacas'!C242),'Timeline Estacas'!C242,"")</f>
        <v>425</v>
      </c>
      <c r="D242" s="88" t="n">
        <f aca="false">IF(ISNUMBER('Timeline Estacas'!D242),'Timeline Estacas'!D242,"")</f>
        <v>61</v>
      </c>
      <c r="E242" s="88" t="str">
        <f aca="false">IF($D242="","","S-"&amp;TEXT($D242,"00"))</f>
        <v>S-61</v>
      </c>
      <c r="F242" s="88" t="str">
        <f aca="false">IF(ISNUMBER('Timeline Estacas'!F242),'Timeline Estacas'!F242,"")</f>
        <v/>
      </c>
      <c r="G242" s="88" t="str">
        <f aca="false">IF($F242="","",IF('Timeline Estacas'!G242&lt;&gt;"",'Timeline Estacas'!G242,'Timeline Estacas'!I242))</f>
        <v/>
      </c>
      <c r="H242" s="88" t="str">
        <f aca="false">IF(ISNUMBER('Timeline Estacas'!H242),'Timeline Estacas'!H242,"")</f>
        <v/>
      </c>
      <c r="I242" s="88" t="str">
        <f aca="false">IF($H242="","",'Timeline Estacas'!I242)</f>
        <v/>
      </c>
      <c r="J242" s="86" t="str">
        <f aca="false">IF(ISNUMBER('Timeline Estacas'!J242),'Timeline Estacas'!J242,"")</f>
        <v/>
      </c>
      <c r="K242" s="88" t="str">
        <f aca="false">IF('Timeline Estacas'!K242="","",'Timeline Estacas'!K242)</f>
        <v/>
      </c>
      <c r="L242" s="88" t="str">
        <f aca="false">IF('Timeline Estacas'!L242="","",'Timeline Estacas'!L242)</f>
        <v/>
      </c>
      <c r="M242" s="88" t="str">
        <f aca="false">IF('Timeline Estacas'!M242="","",'Timeline Estacas'!M242)</f>
        <v/>
      </c>
      <c r="N242" s="88" t="str">
        <f aca="false">IF('Timeline Estacas'!N242="","",'Timeline Estacas'!N242)</f>
        <v/>
      </c>
      <c r="O242" s="90" t="str">
        <f aca="false">IF(ISNUMBER('Timeline Estacas'!O242),'Timeline Estacas'!O242,"")</f>
        <v/>
      </c>
      <c r="P242" s="91" t="n">
        <f aca="false">IF($Q242&gt;0,1,0)</f>
        <v>0</v>
      </c>
      <c r="Q242" s="91" t="n">
        <f aca="false">IF($F242="",0,1)+IF($H242="",0,1)</f>
        <v>0</v>
      </c>
      <c r="R242" s="91" t="n">
        <f aca="false">IF($N242="",0,1)</f>
        <v>0</v>
      </c>
      <c r="S242" s="91" t="n">
        <f aca="false">IF($F242="",0,1)</f>
        <v>0</v>
      </c>
      <c r="T242" s="91" t="n">
        <f aca="false">IF($H242="",0,1)</f>
        <v>0</v>
      </c>
      <c r="U242" s="91" t="n">
        <f aca="false">IF($J242="",0,1)</f>
        <v>0</v>
      </c>
      <c r="V242" s="91" t="n">
        <f aca="true">IF($J242="",0,IF($J242&lt;=TODAY(),1,0))</f>
        <v>0</v>
      </c>
      <c r="W242" s="92" t="n">
        <f aca="false">IF($O242="",0,$O242)</f>
        <v>0</v>
      </c>
      <c r="X242" s="91" t="str">
        <f aca="false">IF($R242=1,SUM($R$2:$R242),"")</f>
        <v/>
      </c>
      <c r="Y242" s="91" t="n">
        <f aca="false">IF($F242="",0,IF(COUNTIF($F$2:$F242,$F242)+COUNTIF($H$2:$H242,$F242)&gt;1,1,0))+IF($H242="",0,IF(COUNTIF($F$2:$F242,$H242)+COUNTIF($H$2:$H242,$H242)&gt;1,1,0))</f>
        <v>0</v>
      </c>
      <c r="Z242" s="91" t="n">
        <f aca="false">IF($Q242=0,0,IF(COUNTIFS($A$2:$A242,$A242,$Q$2:$Q242,"&gt;0")=1,1,0))</f>
        <v>0</v>
      </c>
      <c r="AA242" s="93" t="str">
        <f aca="false">IF($Q242&gt;0,$A242,"")</f>
        <v/>
      </c>
      <c r="AB242" s="91" t="n">
        <f aca="false">IF($K242="",0,1)</f>
        <v>0</v>
      </c>
      <c r="AC242" s="91" t="n">
        <f aca="false">IF($L242="",0,1)</f>
        <v>0</v>
      </c>
      <c r="AD242" s="91" t="n">
        <f aca="false">IF($M242="",0,1)</f>
        <v>0</v>
      </c>
      <c r="AE242" s="91" t="str">
        <f aca="false">IF($Q242&gt;0,$D242,"")</f>
        <v/>
      </c>
      <c r="AF242" s="1"/>
      <c r="AG242" s="1"/>
      <c r="AH242" s="1"/>
      <c r="AI242" s="1"/>
      <c r="AJ242" s="1"/>
      <c r="AK242" s="1"/>
      <c r="AL242" s="1"/>
      <c r="AM242" s="1"/>
      <c r="AN242" s="1"/>
    </row>
    <row r="243" customFormat="false" ht="15" hidden="false" customHeight="false" outlineLevel="0" collapsed="false">
      <c r="A243" s="86" t="n">
        <f aca="false">IF(ISNUMBER('Timeline Estacas'!A243),'Timeline Estacas'!A243,"")</f>
        <v>46387</v>
      </c>
      <c r="B243" s="87" t="n">
        <f aca="false">IF($A243="","",$A243)</f>
        <v>46387</v>
      </c>
      <c r="C243" s="88" t="n">
        <f aca="false">IF(ISNUMBER('Timeline Estacas'!C243),'Timeline Estacas'!C243,"")</f>
        <v>426</v>
      </c>
      <c r="D243" s="88" t="n">
        <f aca="false">IF(ISNUMBER('Timeline Estacas'!D243),'Timeline Estacas'!D243,"")</f>
        <v>61</v>
      </c>
      <c r="E243" s="88" t="str">
        <f aca="false">IF($D243="","","S-"&amp;TEXT($D243,"00"))</f>
        <v>S-61</v>
      </c>
      <c r="F243" s="88" t="str">
        <f aca="false">IF(ISNUMBER('Timeline Estacas'!F243),'Timeline Estacas'!F243,"")</f>
        <v/>
      </c>
      <c r="G243" s="88" t="str">
        <f aca="false">IF($F243="","",IF('Timeline Estacas'!G243&lt;&gt;"",'Timeline Estacas'!G243,'Timeline Estacas'!I243))</f>
        <v/>
      </c>
      <c r="H243" s="88" t="str">
        <f aca="false">IF(ISNUMBER('Timeline Estacas'!H243),'Timeline Estacas'!H243,"")</f>
        <v/>
      </c>
      <c r="I243" s="88" t="str">
        <f aca="false">IF($H243="","",'Timeline Estacas'!I243)</f>
        <v/>
      </c>
      <c r="J243" s="86" t="str">
        <f aca="false">IF(ISNUMBER('Timeline Estacas'!J243),'Timeline Estacas'!J243,"")</f>
        <v/>
      </c>
      <c r="K243" s="88" t="str">
        <f aca="false">IF('Timeline Estacas'!K243="","",'Timeline Estacas'!K243)</f>
        <v/>
      </c>
      <c r="L243" s="88" t="str">
        <f aca="false">IF('Timeline Estacas'!L243="","",'Timeline Estacas'!L243)</f>
        <v/>
      </c>
      <c r="M243" s="88" t="str">
        <f aca="false">IF('Timeline Estacas'!M243="","",'Timeline Estacas'!M243)</f>
        <v/>
      </c>
      <c r="N243" s="88" t="str">
        <f aca="false">IF('Timeline Estacas'!N243="","",'Timeline Estacas'!N243)</f>
        <v/>
      </c>
      <c r="O243" s="90" t="str">
        <f aca="false">IF(ISNUMBER('Timeline Estacas'!O243),'Timeline Estacas'!O243,"")</f>
        <v/>
      </c>
      <c r="P243" s="91" t="n">
        <f aca="false">IF($Q243&gt;0,1,0)</f>
        <v>0</v>
      </c>
      <c r="Q243" s="91" t="n">
        <f aca="false">IF($F243="",0,1)+IF($H243="",0,1)</f>
        <v>0</v>
      </c>
      <c r="R243" s="91" t="n">
        <f aca="false">IF($N243="",0,1)</f>
        <v>0</v>
      </c>
      <c r="S243" s="91" t="n">
        <f aca="false">IF($F243="",0,1)</f>
        <v>0</v>
      </c>
      <c r="T243" s="91" t="n">
        <f aca="false">IF($H243="",0,1)</f>
        <v>0</v>
      </c>
      <c r="U243" s="91" t="n">
        <f aca="false">IF($J243="",0,1)</f>
        <v>0</v>
      </c>
      <c r="V243" s="91" t="n">
        <f aca="true">IF($J243="",0,IF($J243&lt;=TODAY(),1,0))</f>
        <v>0</v>
      </c>
      <c r="W243" s="92" t="n">
        <f aca="false">IF($O243="",0,$O243)</f>
        <v>0</v>
      </c>
      <c r="X243" s="91" t="str">
        <f aca="false">IF($R243=1,SUM($R$2:$R243),"")</f>
        <v/>
      </c>
      <c r="Y243" s="91" t="n">
        <f aca="false">IF($F243="",0,IF(COUNTIF($F$2:$F243,$F243)+COUNTIF($H$2:$H243,$F243)&gt;1,1,0))+IF($H243="",0,IF(COUNTIF($F$2:$F243,$H243)+COUNTIF($H$2:$H243,$H243)&gt;1,1,0))</f>
        <v>0</v>
      </c>
      <c r="Z243" s="91" t="n">
        <f aca="false">IF($Q243=0,0,IF(COUNTIFS($A$2:$A243,$A243,$Q$2:$Q243,"&gt;0")=1,1,0))</f>
        <v>0</v>
      </c>
      <c r="AA243" s="93" t="str">
        <f aca="false">IF($Q243&gt;0,$A243,"")</f>
        <v/>
      </c>
      <c r="AB243" s="91" t="n">
        <f aca="false">IF($K243="",0,1)</f>
        <v>0</v>
      </c>
      <c r="AC243" s="91" t="n">
        <f aca="false">IF($L243="",0,1)</f>
        <v>0</v>
      </c>
      <c r="AD243" s="91" t="n">
        <f aca="false">IF($M243="",0,1)</f>
        <v>0</v>
      </c>
      <c r="AE243" s="91" t="str">
        <f aca="false">IF($Q243&gt;0,$D243,"")</f>
        <v/>
      </c>
      <c r="AF243" s="1"/>
      <c r="AG243" s="1"/>
      <c r="AH243" s="1"/>
      <c r="AI243" s="1"/>
      <c r="AJ243" s="1"/>
      <c r="AK243" s="1"/>
      <c r="AL243" s="1"/>
      <c r="AM243" s="1"/>
      <c r="AN243" s="1"/>
    </row>
    <row r="244" customFormat="false" ht="15" hidden="false" customHeight="false" outlineLevel="0" collapsed="false">
      <c r="AF244" s="1"/>
      <c r="AG244" s="1"/>
      <c r="AH244" s="1"/>
      <c r="AI244" s="1"/>
      <c r="AJ244" s="1"/>
      <c r="AK244" s="1"/>
      <c r="AL244" s="1"/>
      <c r="AM244" s="1"/>
      <c r="AN244" s="1"/>
    </row>
    <row r="245" customFormat="false" ht="15" hidden="false" customHeight="false" outlineLevel="0" collapsed="false">
      <c r="AF245" s="1"/>
      <c r="AG245" s="1"/>
      <c r="AH245" s="1"/>
      <c r="AI245" s="1"/>
      <c r="AJ245" s="1"/>
      <c r="AK245" s="1"/>
      <c r="AL245" s="1"/>
      <c r="AM245" s="1"/>
      <c r="AN245" s="1"/>
    </row>
    <row r="246" customFormat="false" ht="15" hidden="false" customHeight="false" outlineLevel="0" collapsed="false">
      <c r="AF246" s="1"/>
      <c r="AG246" s="1"/>
      <c r="AH246" s="1"/>
      <c r="AI246" s="1"/>
      <c r="AJ246" s="1"/>
      <c r="AK246" s="1"/>
      <c r="AL246" s="1"/>
      <c r="AM246" s="1"/>
      <c r="AN246" s="1"/>
    </row>
    <row r="247" customFormat="false" ht="15" hidden="false" customHeight="false" outlineLevel="0" collapsed="false">
      <c r="AF247" s="1"/>
      <c r="AG247" s="1"/>
      <c r="AH247" s="1"/>
      <c r="AI247" s="1"/>
      <c r="AJ247" s="1"/>
      <c r="AK247" s="1"/>
      <c r="AL247" s="1"/>
      <c r="AM247" s="1"/>
      <c r="AN247" s="1"/>
    </row>
    <row r="248" customFormat="false" ht="15" hidden="false" customHeight="false" outlineLevel="0" collapsed="false">
      <c r="AF248" s="1"/>
      <c r="AG248" s="1"/>
      <c r="AH248" s="1"/>
      <c r="AI248" s="1"/>
      <c r="AJ248" s="1"/>
      <c r="AK248" s="1"/>
      <c r="AL248" s="1"/>
      <c r="AM248" s="1"/>
      <c r="AN248" s="1"/>
    </row>
  </sheetData>
  <autoFilter ref="A1:R240"/>
  <conditionalFormatting sqref="N2:N240">
    <cfRule type="expression" priority="2" aboveAverage="0" equalAverage="0" bottom="0" percent="0" rank="0" text="" dxfId="9">
      <formula>N2&lt;&gt;""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573"/>
    <pageSetUpPr fitToPage="false"/>
  </sheetPr>
  <dimension ref="A1:C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293</v>
      </c>
      <c r="C1" s="0" t="s">
        <v>294</v>
      </c>
    </row>
    <row r="2" customFormat="false" ht="15" hidden="false" customHeight="false" outlineLevel="0" collapsed="false">
      <c r="A2" s="0" t="s">
        <v>12</v>
      </c>
      <c r="C2" s="0" t="s">
        <v>61</v>
      </c>
    </row>
    <row r="3" customFormat="false" ht="15" hidden="false" customHeight="false" outlineLevel="0" collapsed="false">
      <c r="A3" s="0" t="s">
        <v>295</v>
      </c>
      <c r="C3" s="0" t="s">
        <v>63</v>
      </c>
    </row>
    <row r="4" customFormat="false" ht="15" hidden="false" customHeight="false" outlineLevel="0" collapsed="false">
      <c r="A4" s="0" t="s">
        <v>296</v>
      </c>
      <c r="C4" s="0" t="s">
        <v>64</v>
      </c>
    </row>
    <row r="5" customFormat="false" ht="15" hidden="false" customHeight="false" outlineLevel="0" collapsed="false">
      <c r="A5" s="0" t="s">
        <v>297</v>
      </c>
      <c r="C5" s="0" t="s">
        <v>39</v>
      </c>
    </row>
    <row r="6" customFormat="false" ht="15" hidden="false" customHeight="false" outlineLevel="0" collapsed="false">
      <c r="A6" s="0" t="s">
        <v>298</v>
      </c>
      <c r="C6" s="0" t="s">
        <v>40</v>
      </c>
    </row>
    <row r="7" customFormat="false" ht="15" hidden="false" customHeight="false" outlineLevel="0" collapsed="false">
      <c r="A7" s="0" t="s">
        <v>299</v>
      </c>
      <c r="C7" s="0" t="s">
        <v>41</v>
      </c>
    </row>
    <row r="8" customFormat="false" ht="15" hidden="false" customHeight="false" outlineLevel="0" collapsed="false">
      <c r="A8" s="0" t="s">
        <v>300</v>
      </c>
      <c r="C8" s="0" t="s">
        <v>301</v>
      </c>
    </row>
    <row r="9" customFormat="false" ht="15" hidden="false" customHeight="false" outlineLevel="0" collapsed="false">
      <c r="A9" s="0" t="s">
        <v>302</v>
      </c>
    </row>
    <row r="10" customFormat="false" ht="15" hidden="false" customHeight="false" outlineLevel="0" collapsed="false">
      <c r="A10" s="0" t="s">
        <v>303</v>
      </c>
    </row>
    <row r="11" customFormat="false" ht="15" hidden="false" customHeight="false" outlineLevel="0" collapsed="false">
      <c r="A11" s="0" t="s">
        <v>304</v>
      </c>
    </row>
    <row r="12" customFormat="false" ht="15" hidden="false" customHeight="false" outlineLevel="0" collapsed="false">
      <c r="A12" s="0" t="s">
        <v>305</v>
      </c>
    </row>
    <row r="13" customFormat="false" ht="15" hidden="false" customHeight="false" outlineLevel="0" collapsed="false">
      <c r="A13" s="0" t="s">
        <v>306</v>
      </c>
    </row>
    <row r="14" customFormat="false" ht="15" hidden="false" customHeight="false" outlineLevel="0" collapsed="false">
      <c r="A14" s="0" t="s">
        <v>307</v>
      </c>
    </row>
    <row r="15" customFormat="false" ht="15" hidden="false" customHeight="false" outlineLevel="0" collapsed="false">
      <c r="A15" s="0" t="s">
        <v>308</v>
      </c>
    </row>
    <row r="16" customFormat="false" ht="15" hidden="false" customHeight="false" outlineLevel="0" collapsed="false">
      <c r="A16" s="0" t="s">
        <v>309</v>
      </c>
    </row>
    <row r="17" customFormat="false" ht="15" hidden="false" customHeight="false" outlineLevel="0" collapsed="false">
      <c r="A17" s="0" t="s">
        <v>310</v>
      </c>
    </row>
    <row r="18" customFormat="false" ht="15" hidden="false" customHeight="false" outlineLevel="0" collapsed="false">
      <c r="A18" s="0" t="s">
        <v>311</v>
      </c>
    </row>
    <row r="19" customFormat="false" ht="15" hidden="false" customHeight="false" outlineLevel="0" collapsed="false">
      <c r="A19" s="0" t="s">
        <v>312</v>
      </c>
    </row>
    <row r="20" customFormat="false" ht="15" hidden="false" customHeight="false" outlineLevel="0" collapsed="false">
      <c r="A20" s="0" t="s">
        <v>313</v>
      </c>
    </row>
    <row r="21" customFormat="false" ht="15" hidden="false" customHeight="false" outlineLevel="0" collapsed="false">
      <c r="A21" s="0" t="s">
        <v>314</v>
      </c>
    </row>
    <row r="22" customFormat="false" ht="15" hidden="false" customHeight="false" outlineLevel="0" collapsed="false">
      <c r="A22" s="0" t="s">
        <v>315</v>
      </c>
    </row>
    <row r="23" customFormat="false" ht="15" hidden="false" customHeight="false" outlineLevel="0" collapsed="false">
      <c r="A23" s="0" t="s">
        <v>316</v>
      </c>
    </row>
    <row r="24" customFormat="false" ht="15" hidden="false" customHeight="false" outlineLevel="0" collapsed="false">
      <c r="A24" s="0" t="s">
        <v>317</v>
      </c>
    </row>
    <row r="25" customFormat="false" ht="15" hidden="false" customHeight="false" outlineLevel="0" collapsed="false">
      <c r="A25" s="0" t="s">
        <v>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573"/>
    <pageSetUpPr fitToPage="true"/>
  </sheetPr>
  <dimension ref="B1:N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10" min="2" style="1" width="13"/>
  </cols>
  <sheetData>
    <row r="1" customFormat="false" ht="15" hidden="false" customHeight="false" outlineLevel="0" collapsed="false">
      <c r="K1" s="1"/>
      <c r="L1" s="1"/>
      <c r="M1" s="1"/>
      <c r="N1" s="1"/>
    </row>
    <row r="2" customFormat="false" ht="33.75" hidden="false" customHeight="true" outlineLevel="0" collapsed="false">
      <c r="B2" s="2" t="s">
        <v>319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</row>
    <row r="3" customFormat="false" ht="7.5" hidden="false" customHeight="true" outlineLevel="0" collapsed="false">
      <c r="K3" s="1"/>
      <c r="L3" s="1"/>
      <c r="M3" s="1"/>
      <c r="N3" s="1"/>
    </row>
    <row r="4" customFormat="false" ht="18" hidden="false" customHeight="true" outlineLevel="0" collapsed="false">
      <c r="B4" s="94" t="s">
        <v>320</v>
      </c>
      <c r="C4" s="94"/>
      <c r="D4" s="94"/>
      <c r="E4" s="94"/>
      <c r="F4" s="94"/>
      <c r="G4" s="94"/>
      <c r="H4" s="94"/>
      <c r="I4" s="94"/>
      <c r="J4" s="94"/>
      <c r="K4" s="1"/>
      <c r="L4" s="1"/>
      <c r="M4" s="1"/>
      <c r="N4" s="1"/>
    </row>
    <row r="5" customFormat="false" ht="15.75" hidden="false" customHeight="true" outlineLevel="0" collapsed="false">
      <c r="B5" s="95" t="s">
        <v>321</v>
      </c>
      <c r="C5" s="95"/>
      <c r="D5" s="95"/>
      <c r="E5" s="95"/>
      <c r="F5" s="95"/>
      <c r="G5" s="95"/>
      <c r="H5" s="95"/>
      <c r="I5" s="95"/>
      <c r="J5" s="95"/>
      <c r="K5" s="1"/>
      <c r="L5" s="1"/>
      <c r="M5" s="1"/>
      <c r="N5" s="1"/>
    </row>
    <row r="6" customFormat="false" ht="15.75" hidden="false" customHeight="true" outlineLevel="0" collapsed="false">
      <c r="B6" s="95"/>
      <c r="C6" s="95"/>
      <c r="D6" s="95"/>
      <c r="E6" s="95"/>
      <c r="F6" s="95"/>
      <c r="G6" s="95"/>
      <c r="H6" s="95"/>
      <c r="I6" s="95"/>
      <c r="J6" s="95"/>
      <c r="K6" s="1"/>
      <c r="L6" s="1"/>
      <c r="M6" s="1"/>
      <c r="N6" s="1"/>
    </row>
    <row r="7" customFormat="false" ht="15.75" hidden="false" customHeight="true" outlineLevel="0" collapsed="false">
      <c r="B7" s="95"/>
      <c r="C7" s="95"/>
      <c r="D7" s="95"/>
      <c r="E7" s="95"/>
      <c r="F7" s="95"/>
      <c r="G7" s="95"/>
      <c r="H7" s="95"/>
      <c r="I7" s="95"/>
      <c r="J7" s="95"/>
      <c r="K7" s="1"/>
      <c r="L7" s="1"/>
      <c r="M7" s="1"/>
      <c r="N7" s="1"/>
    </row>
    <row r="8" customFormat="false" ht="6" hidden="false" customHeight="true" outlineLevel="0" collapsed="false">
      <c r="K8" s="1"/>
      <c r="L8" s="1"/>
      <c r="M8" s="1"/>
      <c r="N8" s="1"/>
    </row>
    <row r="9" customFormat="false" ht="18" hidden="false" customHeight="true" outlineLevel="0" collapsed="false">
      <c r="B9" s="94" t="s">
        <v>322</v>
      </c>
      <c r="C9" s="94"/>
      <c r="D9" s="94"/>
      <c r="E9" s="94"/>
      <c r="F9" s="94"/>
      <c r="G9" s="94"/>
      <c r="H9" s="94"/>
      <c r="I9" s="94"/>
      <c r="J9" s="94"/>
      <c r="K9" s="1"/>
      <c r="L9" s="1"/>
      <c r="M9" s="1"/>
      <c r="N9" s="1"/>
    </row>
    <row r="10" customFormat="false" ht="15.75" hidden="false" customHeight="true" outlineLevel="0" collapsed="false">
      <c r="B10" s="95" t="s">
        <v>323</v>
      </c>
      <c r="C10" s="95"/>
      <c r="D10" s="95"/>
      <c r="E10" s="95"/>
      <c r="F10" s="95"/>
      <c r="G10" s="95"/>
      <c r="H10" s="95"/>
      <c r="I10" s="95"/>
      <c r="J10" s="95"/>
      <c r="K10" s="1"/>
      <c r="L10" s="1"/>
      <c r="M10" s="1"/>
      <c r="N10" s="1"/>
    </row>
    <row r="11" customFormat="false" ht="15.75" hidden="false" customHeight="true" outlineLevel="0" collapsed="false">
      <c r="B11" s="95"/>
      <c r="C11" s="95"/>
      <c r="D11" s="95"/>
      <c r="E11" s="95"/>
      <c r="F11" s="95"/>
      <c r="G11" s="95"/>
      <c r="H11" s="95"/>
      <c r="I11" s="95"/>
      <c r="J11" s="95"/>
      <c r="K11" s="1"/>
      <c r="L11" s="1"/>
      <c r="M11" s="1"/>
      <c r="N11" s="1"/>
    </row>
    <row r="12" customFormat="false" ht="15.75" hidden="false" customHeight="true" outlineLevel="0" collapsed="false">
      <c r="B12" s="95"/>
      <c r="C12" s="95"/>
      <c r="D12" s="95"/>
      <c r="E12" s="95"/>
      <c r="F12" s="95"/>
      <c r="G12" s="95"/>
      <c r="H12" s="95"/>
      <c r="I12" s="95"/>
      <c r="J12" s="95"/>
      <c r="K12" s="1"/>
      <c r="L12" s="1"/>
      <c r="M12" s="1"/>
      <c r="N12" s="1"/>
    </row>
    <row r="13" customFormat="false" ht="6" hidden="false" customHeight="true" outlineLevel="0" collapsed="false">
      <c r="K13" s="1"/>
      <c r="L13" s="1"/>
      <c r="M13" s="1"/>
      <c r="N13" s="1"/>
    </row>
    <row r="14" customFormat="false" ht="18" hidden="false" customHeight="true" outlineLevel="0" collapsed="false">
      <c r="B14" s="94" t="s">
        <v>324</v>
      </c>
      <c r="C14" s="94"/>
      <c r="D14" s="94"/>
      <c r="E14" s="94"/>
      <c r="F14" s="94"/>
      <c r="G14" s="94"/>
      <c r="H14" s="94"/>
      <c r="I14" s="94"/>
      <c r="J14" s="94"/>
      <c r="K14" s="1"/>
      <c r="L14" s="1"/>
      <c r="M14" s="1"/>
      <c r="N14" s="1"/>
    </row>
    <row r="15" customFormat="false" ht="15.75" hidden="false" customHeight="true" outlineLevel="0" collapsed="false">
      <c r="B15" s="95" t="s">
        <v>325</v>
      </c>
      <c r="C15" s="95"/>
      <c r="D15" s="95"/>
      <c r="E15" s="95"/>
      <c r="F15" s="95"/>
      <c r="G15" s="95"/>
      <c r="H15" s="95"/>
      <c r="I15" s="95"/>
      <c r="J15" s="95"/>
      <c r="K15" s="1"/>
      <c r="L15" s="1"/>
      <c r="M15" s="1"/>
      <c r="N15" s="1"/>
    </row>
    <row r="16" customFormat="false" ht="15.75" hidden="false" customHeight="true" outlineLevel="0" collapsed="false">
      <c r="B16" s="95"/>
      <c r="C16" s="95"/>
      <c r="D16" s="95"/>
      <c r="E16" s="95"/>
      <c r="F16" s="95"/>
      <c r="G16" s="95"/>
      <c r="H16" s="95"/>
      <c r="I16" s="95"/>
      <c r="J16" s="95"/>
      <c r="K16" s="1"/>
      <c r="L16" s="1"/>
      <c r="M16" s="1"/>
      <c r="N16" s="1"/>
    </row>
    <row r="17" customFormat="false" ht="15.75" hidden="false" customHeight="true" outlineLevel="0" collapsed="false">
      <c r="B17" s="95"/>
      <c r="C17" s="95"/>
      <c r="D17" s="95"/>
      <c r="E17" s="95"/>
      <c r="F17" s="95"/>
      <c r="G17" s="95"/>
      <c r="H17" s="95"/>
      <c r="I17" s="95"/>
      <c r="J17" s="95"/>
      <c r="K17" s="1"/>
      <c r="L17" s="1"/>
      <c r="M17" s="1"/>
      <c r="N17" s="1"/>
    </row>
    <row r="18" customFormat="false" ht="6" hidden="false" customHeight="true" outlineLevel="0" collapsed="false">
      <c r="K18" s="1"/>
      <c r="L18" s="1"/>
      <c r="M18" s="1"/>
      <c r="N18" s="1"/>
    </row>
    <row r="19" customFormat="false" ht="18" hidden="false" customHeight="true" outlineLevel="0" collapsed="false">
      <c r="B19" s="94" t="s">
        <v>326</v>
      </c>
      <c r="C19" s="94"/>
      <c r="D19" s="94"/>
      <c r="E19" s="94"/>
      <c r="F19" s="94"/>
      <c r="G19" s="94"/>
      <c r="H19" s="94"/>
      <c r="I19" s="94"/>
      <c r="J19" s="94"/>
      <c r="K19" s="1"/>
      <c r="L19" s="1"/>
      <c r="M19" s="1"/>
      <c r="N19" s="1"/>
    </row>
    <row r="20" customFormat="false" ht="15.75" hidden="false" customHeight="true" outlineLevel="0" collapsed="false">
      <c r="B20" s="95" t="s">
        <v>327</v>
      </c>
      <c r="C20" s="95"/>
      <c r="D20" s="95"/>
      <c r="E20" s="95"/>
      <c r="F20" s="95"/>
      <c r="G20" s="95"/>
      <c r="H20" s="95"/>
      <c r="I20" s="95"/>
      <c r="J20" s="95"/>
      <c r="K20" s="1"/>
      <c r="L20" s="1"/>
      <c r="M20" s="1"/>
      <c r="N20" s="1"/>
    </row>
    <row r="21" customFormat="false" ht="15.75" hidden="false" customHeight="true" outlineLevel="0" collapsed="false">
      <c r="B21" s="95"/>
      <c r="C21" s="95"/>
      <c r="D21" s="95"/>
      <c r="E21" s="95"/>
      <c r="F21" s="95"/>
      <c r="G21" s="95"/>
      <c r="H21" s="95"/>
      <c r="I21" s="95"/>
      <c r="J21" s="95"/>
      <c r="K21" s="1"/>
      <c r="L21" s="1"/>
      <c r="M21" s="1"/>
      <c r="N21" s="1"/>
    </row>
    <row r="22" customFormat="false" ht="15.75" hidden="false" customHeight="true" outlineLevel="0" collapsed="false">
      <c r="B22" s="95"/>
      <c r="C22" s="95"/>
      <c r="D22" s="95"/>
      <c r="E22" s="95"/>
      <c r="F22" s="95"/>
      <c r="G22" s="95"/>
      <c r="H22" s="95"/>
      <c r="I22" s="95"/>
      <c r="J22" s="95"/>
      <c r="K22" s="1"/>
      <c r="L22" s="1"/>
      <c r="M22" s="1"/>
      <c r="N22" s="1"/>
    </row>
    <row r="23" customFormat="false" ht="6" hidden="false" customHeight="true" outlineLevel="0" collapsed="false">
      <c r="K23" s="1"/>
      <c r="L23" s="1"/>
      <c r="M23" s="1"/>
      <c r="N23" s="1"/>
    </row>
    <row r="24" customFormat="false" ht="18" hidden="false" customHeight="true" outlineLevel="0" collapsed="false">
      <c r="B24" s="94" t="s">
        <v>328</v>
      </c>
      <c r="C24" s="94"/>
      <c r="D24" s="94"/>
      <c r="E24" s="94"/>
      <c r="F24" s="94"/>
      <c r="G24" s="94"/>
      <c r="H24" s="94"/>
      <c r="I24" s="94"/>
      <c r="J24" s="94"/>
      <c r="K24" s="1"/>
      <c r="L24" s="1"/>
      <c r="M24" s="1"/>
      <c r="N24" s="1"/>
    </row>
    <row r="25" customFormat="false" ht="15.75" hidden="false" customHeight="true" outlineLevel="0" collapsed="false">
      <c r="B25" s="95" t="s">
        <v>329</v>
      </c>
      <c r="C25" s="95"/>
      <c r="D25" s="95"/>
      <c r="E25" s="95"/>
      <c r="F25" s="95"/>
      <c r="G25" s="95"/>
      <c r="H25" s="95"/>
      <c r="I25" s="95"/>
      <c r="J25" s="95"/>
      <c r="K25" s="1"/>
      <c r="L25" s="1"/>
      <c r="M25" s="1"/>
      <c r="N25" s="1"/>
    </row>
    <row r="26" customFormat="false" ht="15.75" hidden="false" customHeight="true" outlineLevel="0" collapsed="false">
      <c r="B26" s="95"/>
      <c r="C26" s="95"/>
      <c r="D26" s="95"/>
      <c r="E26" s="95"/>
      <c r="F26" s="95"/>
      <c r="G26" s="95"/>
      <c r="H26" s="95"/>
      <c r="I26" s="95"/>
      <c r="J26" s="95"/>
      <c r="K26" s="1"/>
      <c r="L26" s="1"/>
      <c r="M26" s="1"/>
      <c r="N26" s="1"/>
    </row>
    <row r="27" customFormat="false" ht="15.75" hidden="false" customHeight="true" outlineLevel="0" collapsed="false">
      <c r="B27" s="95"/>
      <c r="C27" s="95"/>
      <c r="D27" s="95"/>
      <c r="E27" s="95"/>
      <c r="F27" s="95"/>
      <c r="G27" s="95"/>
      <c r="H27" s="95"/>
      <c r="I27" s="95"/>
      <c r="J27" s="95"/>
      <c r="K27" s="1"/>
      <c r="L27" s="1"/>
      <c r="M27" s="1"/>
      <c r="N27" s="1"/>
    </row>
    <row r="28" customFormat="false" ht="6" hidden="false" customHeight="true" outlineLevel="0" collapsed="false">
      <c r="K28" s="1"/>
      <c r="L28" s="1"/>
      <c r="M28" s="1"/>
      <c r="N28" s="1"/>
    </row>
    <row r="29" customFormat="false" ht="18" hidden="false" customHeight="true" outlineLevel="0" collapsed="false">
      <c r="B29" s="94" t="s">
        <v>330</v>
      </c>
      <c r="C29" s="94"/>
      <c r="D29" s="94"/>
      <c r="E29" s="94"/>
      <c r="F29" s="94"/>
      <c r="G29" s="94"/>
      <c r="H29" s="94"/>
      <c r="I29" s="94"/>
      <c r="J29" s="94"/>
      <c r="K29" s="1"/>
      <c r="L29" s="1"/>
      <c r="M29" s="1"/>
      <c r="N29" s="1"/>
    </row>
    <row r="30" customFormat="false" ht="15.75" hidden="false" customHeight="true" outlineLevel="0" collapsed="false">
      <c r="B30" s="95" t="s">
        <v>331</v>
      </c>
      <c r="C30" s="95"/>
      <c r="D30" s="95"/>
      <c r="E30" s="95"/>
      <c r="F30" s="95"/>
      <c r="G30" s="95"/>
      <c r="H30" s="95"/>
      <c r="I30" s="95"/>
      <c r="J30" s="95"/>
      <c r="K30" s="1"/>
      <c r="L30" s="1"/>
      <c r="M30" s="1"/>
      <c r="N30" s="1"/>
    </row>
    <row r="31" customFormat="false" ht="15.75" hidden="false" customHeight="true" outlineLevel="0" collapsed="false">
      <c r="B31" s="95"/>
      <c r="C31" s="95"/>
      <c r="D31" s="95"/>
      <c r="E31" s="95"/>
      <c r="F31" s="95"/>
      <c r="G31" s="95"/>
      <c r="H31" s="95"/>
      <c r="I31" s="95"/>
      <c r="J31" s="95"/>
      <c r="K31" s="1"/>
      <c r="L31" s="1"/>
      <c r="M31" s="1"/>
      <c r="N31" s="1"/>
    </row>
    <row r="32" customFormat="false" ht="15.75" hidden="false" customHeight="true" outlineLevel="0" collapsed="false">
      <c r="B32" s="95"/>
      <c r="C32" s="95"/>
      <c r="D32" s="95"/>
      <c r="E32" s="95"/>
      <c r="F32" s="95"/>
      <c r="G32" s="95"/>
      <c r="H32" s="95"/>
      <c r="I32" s="95"/>
      <c r="J32" s="95"/>
      <c r="K32" s="1"/>
      <c r="L32" s="1"/>
      <c r="M32" s="1"/>
      <c r="N32" s="1"/>
    </row>
    <row r="33" customFormat="false" ht="6" hidden="false" customHeight="true" outlineLevel="0" collapsed="false">
      <c r="K33" s="1"/>
      <c r="L33" s="1"/>
      <c r="M33" s="1"/>
      <c r="N33" s="1"/>
    </row>
    <row r="34" customFormat="false" ht="18" hidden="false" customHeight="true" outlineLevel="0" collapsed="false">
      <c r="B34" s="94" t="s">
        <v>332</v>
      </c>
      <c r="C34" s="94"/>
      <c r="D34" s="94"/>
      <c r="E34" s="94"/>
      <c r="F34" s="94"/>
      <c r="G34" s="94"/>
      <c r="H34" s="94"/>
      <c r="I34" s="94"/>
      <c r="J34" s="94"/>
      <c r="K34" s="1"/>
      <c r="L34" s="1"/>
      <c r="M34" s="1"/>
      <c r="N34" s="1"/>
    </row>
    <row r="35" customFormat="false" ht="15.75" hidden="false" customHeight="true" outlineLevel="0" collapsed="false">
      <c r="B35" s="95" t="s">
        <v>333</v>
      </c>
      <c r="C35" s="95"/>
      <c r="D35" s="95"/>
      <c r="E35" s="95"/>
      <c r="F35" s="95"/>
      <c r="G35" s="95"/>
      <c r="H35" s="95"/>
      <c r="I35" s="95"/>
      <c r="J35" s="95"/>
      <c r="K35" s="1"/>
      <c r="L35" s="1"/>
      <c r="M35" s="1"/>
      <c r="N35" s="1"/>
    </row>
    <row r="36" customFormat="false" ht="15.75" hidden="false" customHeight="true" outlineLevel="0" collapsed="false">
      <c r="B36" s="95"/>
      <c r="C36" s="95"/>
      <c r="D36" s="95"/>
      <c r="E36" s="95"/>
      <c r="F36" s="95"/>
      <c r="G36" s="95"/>
      <c r="H36" s="95"/>
      <c r="I36" s="95"/>
      <c r="J36" s="95"/>
      <c r="K36" s="1"/>
      <c r="L36" s="1"/>
      <c r="M36" s="1"/>
      <c r="N36" s="1"/>
    </row>
    <row r="37" customFormat="false" ht="15.75" hidden="false" customHeight="true" outlineLevel="0" collapsed="false">
      <c r="B37" s="95"/>
      <c r="C37" s="95"/>
      <c r="D37" s="95"/>
      <c r="E37" s="95"/>
      <c r="F37" s="95"/>
      <c r="G37" s="95"/>
      <c r="H37" s="95"/>
      <c r="I37" s="95"/>
      <c r="J37" s="95"/>
      <c r="K37" s="1"/>
      <c r="L37" s="1"/>
      <c r="M37" s="1"/>
      <c r="N37" s="1"/>
    </row>
    <row r="38" customFormat="false" ht="6" hidden="false" customHeight="true" outlineLevel="0" collapsed="false">
      <c r="K38" s="1"/>
      <c r="L38" s="1"/>
      <c r="M38" s="1"/>
      <c r="N38" s="1"/>
    </row>
    <row r="39" customFormat="false" ht="15" hidden="false" customHeight="false" outlineLevel="0" collapsed="false">
      <c r="K39" s="1"/>
      <c r="L39" s="1"/>
      <c r="M39" s="1"/>
      <c r="N39" s="1"/>
    </row>
    <row r="40" customFormat="false" ht="15" hidden="false" customHeight="false" outlineLevel="0" collapsed="false">
      <c r="K40" s="1"/>
      <c r="L40" s="1"/>
      <c r="M40" s="1"/>
      <c r="N40" s="1"/>
    </row>
  </sheetData>
  <mergeCells count="15">
    <mergeCell ref="B2:J2"/>
    <mergeCell ref="B4:J4"/>
    <mergeCell ref="B5:J7"/>
    <mergeCell ref="B9:J9"/>
    <mergeCell ref="B10:J12"/>
    <mergeCell ref="B14:J14"/>
    <mergeCell ref="B15:J17"/>
    <mergeCell ref="B19:J19"/>
    <mergeCell ref="B20:J22"/>
    <mergeCell ref="B24:J24"/>
    <mergeCell ref="B25:J27"/>
    <mergeCell ref="B29:J29"/>
    <mergeCell ref="B30:J32"/>
    <mergeCell ref="B34:J34"/>
    <mergeCell ref="B35:J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2026-08-07T16:55:07Z</dcterms:created>
  <dc:creator>Felipe De Oliveira Candido</dc:creator>
  <dc:description/>
  <dc:language>en-US</dc:language>
  <cp:lastModifiedBy/>
  <dcterms:modified xsi:type="dcterms:W3CDTF">2026-09-01T12:24:21Z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