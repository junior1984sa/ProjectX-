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xecutivo" sheetId="1" state="visible" r:id="rId1"/>
    <sheet name="Quantitativo Total" sheetId="2" state="visible" r:id="rId2"/>
    <sheet name="Resumo por Grupo" sheetId="3" state="visible" r:id="rId3"/>
    <sheet name="Quantitativo por Tanque" sheetId="4" state="visible" r:id="rId4"/>
    <sheet name="Geometria e Seções" sheetId="5" state="visible" r:id="rId5"/>
    <sheet name="Camadas e Materiais" sheetId="6" state="visible" r:id="rId6"/>
    <sheet name="Parâmetros Técnicos" sheetId="7" state="visible" r:id="rId7"/>
    <sheet name="Validações" sheetId="8" state="visible" r:id="rId8"/>
    <sheet name="Leia-me" sheetId="9" state="visible" r:id="rId9"/>
  </sheets>
  <definedNames>
    <definedName name="_xlnm.Print_Titles" localSheetId="1">'Quantitativo Total'!$1:$5</definedName>
    <definedName name="_xlnm.Print_Titles" localSheetId="2">'Resumo por Grupo'!$1:$5</definedName>
    <definedName name="_xlnm.Print_Titles" localSheetId="3">'Quantitativo por Tanque'!$1:$5</definedName>
    <definedName name="_xlnm.Print_Titles" localSheetId="4">'Geometria e Seções'!$1:$5</definedName>
    <definedName name="_xlnm.Print_Titles" localSheetId="5">'Camadas e Materiais'!$1:$5</definedName>
    <definedName name="_xlnm.Print_Titles" localSheetId="6">'Parâmetros Técnicos'!$1:$5</definedName>
    <definedName name="_xlnm.Print_Titles" localSheetId="7">'Validações'!$1:$5</definedName>
    <definedName name="_xlnm.Print_Titles" localSheetId="8">'Leia-me'!$1:$5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color rgb="FF182532"/>
      <sz val="9"/>
    </font>
    <font>
      <name val="Arial"/>
      <color rgb="FF182532"/>
      <sz val="8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rgb="FFFFFFFF"/>
      <sz val="11"/>
    </font>
    <font>
      <name val="Arial"/>
      <b val="1"/>
      <color rgb="FF182532"/>
      <sz val="20"/>
    </font>
  </fonts>
  <fills count="10">
    <fill>
      <patternFill/>
    </fill>
    <fill>
      <patternFill patternType="gray125"/>
    </fill>
    <fill>
      <patternFill patternType="solid">
        <fgColor rgb="FF13283F"/>
      </patternFill>
    </fill>
    <fill>
      <patternFill patternType="solid">
        <fgColor rgb="FFF5F2EC"/>
      </patternFill>
    </fill>
    <fill>
      <patternFill patternType="solid">
        <fgColor rgb="FF31556F"/>
      </patternFill>
    </fill>
    <fill>
      <patternFill patternType="solid">
        <fgColor rgb="FFF8FAFB"/>
      </patternFill>
    </fill>
    <fill>
      <patternFill patternType="solid">
        <fgColor rgb="FF195E83"/>
      </patternFill>
    </fill>
    <fill>
      <patternFill patternType="solid">
        <fgColor rgb="FFFBFAF7"/>
      </patternFill>
    </fill>
    <fill>
      <patternFill patternType="solid">
        <fgColor rgb="FFD9652B"/>
      </patternFill>
    </fill>
    <fill>
      <patternFill patternType="solid">
        <fgColor rgb="FF5E8B76"/>
      </patternFill>
    </fill>
  </fills>
  <borders count="2">
    <border>
      <left/>
      <right/>
      <top/>
      <bottom/>
      <diagonal/>
    </border>
    <border>
      <left style="thin">
        <color rgb="FFB9C4CD"/>
      </left>
      <right style="thin">
        <color rgb="FFB9C4CD"/>
      </right>
      <top style="thin">
        <color rgb="FFB9C4CD"/>
      </top>
      <bottom style="thin">
        <color rgb="FFB9C4C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4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4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3" fontId="2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Volume por item (m³)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Executivo'!C16</f>
            </strRef>
          </tx>
          <spPr>
            <a:solidFill>
              <a:srgbClr val="195E83"/>
            </a:solidFill>
            <a:ln>
              <a:prstDash val="solid"/>
            </a:ln>
          </spPr>
          <cat>
            <numRef>
              <f>'Dashboard Executivo'!$A$17:$A$25</f>
            </numRef>
          </cat>
          <val>
            <numRef>
              <f>'Dashboard Executivo'!$C$17:$C$25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Participação por grupo (volume)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Executivo'!H16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95E83"/>
              </a:solidFill>
              <a:ln>
                <a:prstDash val="solid"/>
              </a:ln>
            </spPr>
          </dPt>
          <dPt>
            <idx val="1"/>
            <spPr>
              <a:solidFill>
                <a:srgbClr val="D9652B"/>
              </a:solidFill>
              <a:ln>
                <a:prstDash val="solid"/>
              </a:ln>
            </spPr>
          </dPt>
          <cat>
            <numRef>
              <f>'Dashboard Executivo'!$F$17:$F$18</f>
            </numRef>
          </cat>
          <val>
            <numRef>
              <f>'Dashboard Executivo'!$H$17:$H$18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Área por item (m²)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Executivo'!M16</f>
            </strRef>
          </tx>
          <spPr>
            <a:solidFill>
              <a:srgbClr val="D9652B"/>
            </a:solidFill>
            <a:ln>
              <a:prstDash val="solid"/>
            </a:ln>
          </spPr>
          <cat>
            <numRef>
              <f>'Dashboard Executivo'!$K$17:$K$20</f>
            </numRef>
          </cat>
          <val>
            <numRef>
              <f>'Dashboard Executivo'!$M$17:$M$20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8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27</row>
      <rowOff>0</rowOff>
    </from>
    <ext cx="540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49</row>
      <rowOff>0</rowOff>
    </from>
    <ext cx="11520000" cy="302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1" t="inlineStr">
        <is>
          <t>PAINEL DE QUANTITATIVOS - FORMAS DA FUNDAÇÃO DO TQ-6312824 (TANQUE DE UCO)</t>
        </is>
      </c>
    </row>
    <row r="2" ht="24" customHeight="1">
      <c r="A2" s="2" t="inlineStr">
        <is>
          <t>Prancha DE-5400.00-6312-120-TX3-001 Rev. 0 (07/08/2026)  |  TQ-6312824 - tanque de UCO  |  U-6312 - Refino Boaventura  |  Escopo: formas, concreto, terraplenagem, impermeabilização e drenagem</t>
        </is>
      </c>
    </row>
    <row r="4">
      <c r="A4" s="3" t="inlineStr">
        <is>
          <t>CONCRETO ESTRUTURAL</t>
        </is>
      </c>
      <c r="B4" s="4" t="n"/>
      <c r="C4" s="4" t="n"/>
      <c r="D4" s="5" t="inlineStr">
        <is>
          <t>ÁREA DE FORMA</t>
        </is>
      </c>
      <c r="E4" s="4" t="n"/>
      <c r="F4" s="4" t="n"/>
      <c r="G4" s="6" t="inlineStr">
        <is>
          <t>MOVIMENTO DE TERRA</t>
        </is>
      </c>
      <c r="H4" s="4" t="n"/>
      <c r="I4" s="4" t="n"/>
      <c r="J4" s="7" t="inlineStr">
        <is>
          <t>TANQUES ATENDIDOS</t>
        </is>
      </c>
      <c r="K4" s="4" t="n"/>
      <c r="L4" s="4" t="n"/>
    </row>
    <row r="5">
      <c r="A5" s="8" t="n">
        <v>114</v>
      </c>
      <c r="B5" s="4" t="n"/>
      <c r="C5" s="4" t="n"/>
      <c r="D5" s="8" t="n">
        <v>225.04</v>
      </c>
      <c r="E5" s="4" t="n"/>
      <c r="F5" s="4" t="n"/>
      <c r="G5" s="8" t="n">
        <v>1572.85</v>
      </c>
      <c r="H5" s="4" t="n"/>
      <c r="I5" s="4" t="n"/>
      <c r="J5" s="9" t="n">
        <v>1</v>
      </c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16" customHeight="1">
      <c r="A7" s="10" t="inlineStr">
        <is>
          <t>m³ de concreto do anel (1 tanque)</t>
        </is>
      </c>
      <c r="D7" s="10" t="inlineStr">
        <is>
          <t>m² de forma</t>
        </is>
      </c>
      <c r="G7" s="10" t="inlineStr">
        <is>
          <t>m³ de escavação, reaterro e camadas</t>
        </is>
      </c>
      <c r="J7" s="10" t="inlineStr">
        <is>
          <t>fundações cobertas pela prancha</t>
        </is>
      </c>
    </row>
    <row r="9">
      <c r="A9" s="7" t="inlineStr">
        <is>
          <t>ESCAVAÇÃO</t>
        </is>
      </c>
      <c r="B9" s="4" t="n"/>
      <c r="C9" s="4" t="n"/>
      <c r="D9" s="6" t="inlineStr">
        <is>
          <t>GROUT</t>
        </is>
      </c>
      <c r="E9" s="4" t="n"/>
      <c r="F9" s="4" t="n"/>
      <c r="G9" s="5" t="inlineStr">
        <is>
          <t>ÁREA TOTAL DE SERVIÇOS</t>
        </is>
      </c>
      <c r="H9" s="4" t="n"/>
      <c r="I9" s="4" t="n"/>
      <c r="J9" s="3" t="inlineStr">
        <is>
          <t>ITENS DO QUADRO</t>
        </is>
      </c>
      <c r="K9" s="4" t="n"/>
      <c r="L9" s="4" t="n"/>
    </row>
    <row r="10">
      <c r="A10" s="8" t="n">
        <v>192</v>
      </c>
      <c r="B10" s="4" t="n"/>
      <c r="C10" s="4" t="n"/>
      <c r="D10" s="8" t="n">
        <v>1.9</v>
      </c>
      <c r="E10" s="4" t="n"/>
      <c r="F10" s="4" t="n"/>
      <c r="G10" s="8" t="n">
        <v>2267.39</v>
      </c>
      <c r="H10" s="4" t="n"/>
      <c r="I10" s="4" t="n"/>
      <c r="J10" s="9" t="n">
        <v>15</v>
      </c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6" customHeight="1">
      <c r="A12" s="10" t="inlineStr">
        <is>
          <t>m³ de escavação</t>
        </is>
      </c>
      <c r="D12" s="10" t="inlineStr">
        <is>
          <t>m³ de grout de assentamento</t>
        </is>
      </c>
      <c r="G12" s="10" t="inlineStr">
        <is>
          <t>m² somando formas, mantas e pinturas</t>
        </is>
      </c>
      <c r="J12" s="10" t="inlineStr">
        <is>
          <t>linhas do QUANTITATIVO TOTAL</t>
        </is>
      </c>
    </row>
    <row r="15" ht="22" customHeight="1">
      <c r="A15" s="11" t="inlineStr">
        <is>
          <t>VOLUMES (m³) - TOTAL DA PRANCHA</t>
        </is>
      </c>
      <c r="B15" s="12" t="n"/>
      <c r="C15" s="12" t="n"/>
      <c r="D15" s="12" t="n"/>
      <c r="E15" s="12" t="n"/>
      <c r="F15" s="11" t="inlineStr">
        <is>
          <t>PARTICIPAÇÃO POR GRUPO DE SERVIÇO (VOLUME)</t>
        </is>
      </c>
      <c r="G15" s="12" t="n"/>
      <c r="H15" s="12" t="n"/>
      <c r="I15" s="12" t="n"/>
      <c r="K15" s="11" t="inlineStr">
        <is>
          <t>ÁREAS (m²) - TOTAL DA PRANCHA</t>
        </is>
      </c>
      <c r="L15" s="12" t="n"/>
      <c r="M15" s="12" t="n"/>
      <c r="N15" s="12" t="n"/>
    </row>
    <row r="16" ht="26" customHeight="1">
      <c r="A16" s="13" t="inlineStr">
        <is>
          <t>Item</t>
        </is>
      </c>
      <c r="B16" s="12" t="n"/>
      <c r="C16" s="13" t="inlineStr">
        <is>
          <t>Volume (m³)</t>
        </is>
      </c>
      <c r="D16" s="13" t="inlineStr">
        <is>
          <t>% do volume</t>
        </is>
      </c>
      <c r="E16" s="13" t="inlineStr">
        <is>
          <t>Por tanque (m³)</t>
        </is>
      </c>
      <c r="F16" s="13" t="inlineStr">
        <is>
          <t>Grupo de serviço</t>
        </is>
      </c>
      <c r="G16" s="12" t="n"/>
      <c r="H16" s="13" t="inlineStr">
        <is>
          <t>Volume (m³)</t>
        </is>
      </c>
      <c r="I16" s="13" t="inlineStr">
        <is>
          <t>% do volume</t>
        </is>
      </c>
      <c r="K16" s="13" t="inlineStr">
        <is>
          <t>Item</t>
        </is>
      </c>
      <c r="L16" s="12" t="n"/>
      <c r="M16" s="13" t="inlineStr">
        <is>
          <t>Área (m²)</t>
        </is>
      </c>
      <c r="N16" s="13" t="inlineStr">
        <is>
          <t>Por tanque (m²)</t>
        </is>
      </c>
    </row>
    <row r="17">
      <c r="A17" s="14" t="inlineStr">
        <is>
          <t>CONCRETO ESTRUTURAL</t>
        </is>
      </c>
      <c r="B17" s="15" t="n"/>
      <c r="C17" s="16" t="n">
        <v>114</v>
      </c>
      <c r="D17" s="17" t="n">
        <v>0.06615598885793872</v>
      </c>
      <c r="E17" s="16" t="n">
        <v>114</v>
      </c>
      <c r="F17" s="14" t="inlineStr">
        <is>
          <t>Concreto, formas e grout</t>
        </is>
      </c>
      <c r="G17" s="15" t="n"/>
      <c r="H17" s="16" t="n">
        <v>150.35</v>
      </c>
      <c r="I17" s="17" t="n">
        <v>0.08725046425255338</v>
      </c>
      <c r="K17" s="14" t="inlineStr">
        <is>
          <t>ÁREA DE FORMA</t>
        </is>
      </c>
      <c r="L17" s="15" t="n"/>
      <c r="M17" s="16" t="n">
        <v>225.04</v>
      </c>
      <c r="N17" s="16" t="n">
        <v>225.04</v>
      </c>
    </row>
    <row r="18">
      <c r="A18" s="14" t="inlineStr">
        <is>
          <t>CONCRETO MAGRO</t>
        </is>
      </c>
      <c r="B18" s="15" t="n"/>
      <c r="C18" s="16" t="n">
        <v>3.8</v>
      </c>
      <c r="D18" s="17" t="n">
        <v>0.002205199628597957</v>
      </c>
      <c r="E18" s="16" t="n">
        <v>3.8</v>
      </c>
      <c r="F18" s="14" t="inlineStr">
        <is>
          <t>Movimento de terra</t>
        </is>
      </c>
      <c r="G18" s="15" t="n"/>
      <c r="H18" s="16" t="n">
        <v>1572.85</v>
      </c>
      <c r="I18" s="17" t="n">
        <v>0.9127495357474467</v>
      </c>
      <c r="K18" s="14" t="inlineStr">
        <is>
          <t>PINTURA BETUMINOSA</t>
        </is>
      </c>
      <c r="L18" s="15" t="n"/>
      <c r="M18" s="16" t="n">
        <v>203.35</v>
      </c>
      <c r="N18" s="16" t="n">
        <v>203.35</v>
      </c>
    </row>
    <row r="19">
      <c r="A19" s="14" t="inlineStr">
        <is>
          <t>GROUT</t>
        </is>
      </c>
      <c r="B19" s="15" t="n"/>
      <c r="C19" s="16" t="n">
        <v>1.9</v>
      </c>
      <c r="D19" s="17" t="n">
        <v>0.001102599814298979</v>
      </c>
      <c r="E19" s="16" t="n">
        <v>1.9</v>
      </c>
      <c r="F19" s="18" t="inlineStr">
        <is>
          <t>TOTAL</t>
        </is>
      </c>
      <c r="G19" s="12" t="n"/>
      <c r="H19" s="19" t="n">
        <v>1723.2</v>
      </c>
      <c r="I19" s="20" t="n">
        <v>1</v>
      </c>
      <c r="K19" s="14" t="inlineStr">
        <is>
          <t>MANTA GEOTÊXTIL NÃO TECIDO</t>
        </is>
      </c>
      <c r="L19" s="15" t="n"/>
      <c r="M19" s="16" t="n">
        <v>1226</v>
      </c>
      <c r="N19" s="16" t="n">
        <v>1226</v>
      </c>
    </row>
    <row r="20">
      <c r="A20" s="14" t="inlineStr">
        <is>
          <t>ESCAVAÇÃO</t>
        </is>
      </c>
      <c r="B20" s="15" t="n"/>
      <c r="C20" s="16" t="n">
        <v>192</v>
      </c>
      <c r="D20" s="17" t="n">
        <v>0.1114206128133705</v>
      </c>
      <c r="E20" s="16" t="n">
        <v>192</v>
      </c>
      <c r="K20" s="14" t="inlineStr">
        <is>
          <t>GEOMEMBRANA PEAD e ≥ 0,8mm</t>
        </is>
      </c>
      <c r="L20" s="15" t="n"/>
      <c r="M20" s="16" t="n">
        <v>613</v>
      </c>
      <c r="N20" s="16" t="n">
        <v>613</v>
      </c>
    </row>
    <row r="21">
      <c r="A21" s="14" t="inlineStr">
        <is>
          <t>REATERRO COMPACTADO</t>
        </is>
      </c>
      <c r="B21" s="15" t="n"/>
      <c r="C21" s="16" t="n">
        <v>492</v>
      </c>
      <c r="D21" s="17" t="n">
        <v>0.2855153203342619</v>
      </c>
      <c r="E21" s="16" t="n">
        <v>492</v>
      </c>
      <c r="K21" s="18" t="inlineStr">
        <is>
          <t>TOTAL</t>
        </is>
      </c>
      <c r="L21" s="12" t="n"/>
      <c r="M21" s="19" t="n">
        <v>2267.39</v>
      </c>
      <c r="N21" s="19" t="n">
        <v>2267.39</v>
      </c>
    </row>
    <row r="22">
      <c r="A22" s="14" t="inlineStr">
        <is>
          <t>AREIA GROSSA COMPACTADA</t>
        </is>
      </c>
      <c r="B22" s="15" t="n"/>
      <c r="C22" s="16" t="n">
        <v>202.29</v>
      </c>
      <c r="D22" s="17" t="n">
        <v>0.117392061281337</v>
      </c>
      <c r="E22" s="16" t="n">
        <v>202.29</v>
      </c>
    </row>
    <row r="23">
      <c r="A23" s="14" t="inlineStr">
        <is>
          <t>BICA CORRIDA</t>
        </is>
      </c>
      <c r="B23" s="15" t="n"/>
      <c r="C23" s="16" t="n">
        <v>288.11</v>
      </c>
      <c r="D23" s="17" t="n">
        <v>0.1671947539461467</v>
      </c>
      <c r="E23" s="16" t="n">
        <v>288.11</v>
      </c>
    </row>
    <row r="24">
      <c r="A24" s="14" t="inlineStr">
        <is>
          <t>REVESTIMENTO CONCRETO SIMPLES e=5cm</t>
        </is>
      </c>
      <c r="B24" s="15" t="n"/>
      <c r="C24" s="16" t="n">
        <v>30.65</v>
      </c>
      <c r="D24" s="17" t="n">
        <v>0.01778667595171773</v>
      </c>
      <c r="E24" s="16" t="n">
        <v>30.65</v>
      </c>
    </row>
    <row r="25">
      <c r="A25" s="14" t="inlineStr">
        <is>
          <t>RACHÃO</t>
        </is>
      </c>
      <c r="B25" s="15" t="n"/>
      <c r="C25" s="16" t="n">
        <v>398.45</v>
      </c>
      <c r="D25" s="17" t="n">
        <v>0.2312267873723305</v>
      </c>
      <c r="E25" s="16" t="n">
        <v>398.45</v>
      </c>
    </row>
    <row r="26">
      <c r="A26" s="18" t="inlineStr">
        <is>
          <t>TOTAL</t>
        </is>
      </c>
      <c r="B26" s="12" t="n"/>
      <c r="C26" s="19" t="n">
        <v>1723.2</v>
      </c>
      <c r="D26" s="20" t="n">
        <v>1</v>
      </c>
      <c r="E26" s="19" t="n">
        <v>1723.2</v>
      </c>
    </row>
    <row r="48" ht="22" customHeight="1">
      <c r="A48" s="11" t="inlineStr">
        <is>
          <t>ÁREAS POR ITEM (m²) - TOTAL DA PRANCHA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68" ht="22" customHeight="1">
      <c r="A68" s="11" t="inlineStr">
        <is>
          <t>CONTROLE DE VALIDAÇÃO - DESTAQUES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</row>
    <row r="69">
      <c r="A69" s="13" t="inlineStr">
        <is>
          <t>Grupo</t>
        </is>
      </c>
      <c r="B69" s="13" t="inlineStr">
        <is>
          <t>Indicador</t>
        </is>
      </c>
      <c r="C69" s="12" t="n"/>
      <c r="D69" s="13" t="inlineStr">
        <is>
          <t>Calculado</t>
        </is>
      </c>
      <c r="E69" s="13" t="inlineStr">
        <is>
          <t>Referência</t>
        </is>
      </c>
      <c r="F69" s="13" t="inlineStr">
        <is>
          <t>Desvio</t>
        </is>
      </c>
      <c r="G69" s="13" t="inlineStr">
        <is>
          <t>Critério</t>
        </is>
      </c>
      <c r="H69" s="12" t="n"/>
      <c r="I69" s="12" t="n"/>
      <c r="J69" s="12" t="n"/>
      <c r="K69" s="12" t="n"/>
      <c r="L69" s="12" t="n"/>
      <c r="M69" s="12" t="n"/>
      <c r="N69" s="12" t="n"/>
    </row>
    <row r="70" ht="24" customHeight="1">
      <c r="A70" s="21" t="inlineStr">
        <is>
          <t>Coerência interna</t>
        </is>
      </c>
      <c r="B70" s="22" t="inlineStr">
        <is>
          <t>Manta geotêxtil vs. geomembrana (m²)</t>
        </is>
      </c>
      <c r="C70" s="15" t="n"/>
      <c r="D70" s="23" t="n">
        <v>1226</v>
      </c>
      <c r="E70" s="23" t="n">
        <v>1226</v>
      </c>
      <c r="F70" s="23" t="n">
        <v>0</v>
      </c>
      <c r="G70" s="22" t="inlineStr">
        <is>
          <t>A manta tem exatamente o dobro da geomembrana, coerente com uma camada acima e outra abaixo.</t>
        </is>
      </c>
      <c r="H70" s="15" t="n"/>
      <c r="I70" s="15" t="n"/>
      <c r="J70" s="15" t="n"/>
      <c r="K70" s="15" t="n"/>
      <c r="L70" s="15" t="n"/>
      <c r="M70" s="15" t="n"/>
      <c r="N70" s="15" t="n"/>
    </row>
    <row r="71" ht="24" customHeight="1">
      <c r="A71" s="21" t="inlineStr">
        <is>
          <t>Coerência entre pranchas</t>
        </is>
      </c>
      <c r="B71" s="22" t="inlineStr">
        <is>
          <t>Desenvolvimento do eixo (m)</t>
        </is>
      </c>
      <c r="C71" s="15" t="n"/>
      <c r="D71" s="23" t="n">
        <v>89.84999999999999</v>
      </c>
      <c r="E71" s="23" t="n">
        <v>89.84999999999999</v>
      </c>
      <c r="F71" s="23" t="n">
        <v>-0</v>
      </c>
      <c r="G71" s="22" t="inlineStr">
        <is>
          <t>2π × R1430 confere com a cota da FACE SUPERIOR E INFERIOR da prancha de armaduras 6312 TX3-002.</t>
        </is>
      </c>
      <c r="H71" s="15" t="n"/>
      <c r="I71" s="15" t="n"/>
      <c r="J71" s="15" t="n"/>
      <c r="K71" s="15" t="n"/>
      <c r="L71" s="15" t="n"/>
      <c r="M71" s="15" t="n"/>
      <c r="N71" s="15" t="n"/>
    </row>
    <row r="72" ht="24" customHeight="1">
      <c r="A72" s="21" t="inlineStr">
        <is>
          <t>Coerência entre pranchas</t>
        </is>
      </c>
      <c r="B72" s="22" t="inlineStr">
        <is>
          <t>Taxa de armadura (kg/m³)</t>
        </is>
      </c>
      <c r="C72" s="15" t="n"/>
      <c r="D72" s="23" t="n">
        <v>67.3</v>
      </c>
      <c r="E72" s="23" t="n">
        <v>67</v>
      </c>
      <c r="F72" s="23" t="n">
        <v>0.3</v>
      </c>
      <c r="G72" s="22" t="inlineStr">
        <is>
          <t>67,3 kg/m³ contra 67,1 kg/m³ das fundações dos TQ-6310818. Consistente.</t>
        </is>
      </c>
      <c r="H72" s="15" t="n"/>
      <c r="I72" s="15" t="n"/>
      <c r="J72" s="15" t="n"/>
      <c r="K72" s="15" t="n"/>
      <c r="L72" s="15" t="n"/>
      <c r="M72" s="15" t="n"/>
      <c r="N72" s="15" t="n"/>
    </row>
    <row r="73" ht="24" customHeight="1">
      <c r="A73" s="21" t="inlineStr">
        <is>
          <t>Coerência geométrica</t>
        </is>
      </c>
      <c r="B73" s="22" t="inlineStr">
        <is>
          <t>Anel corrente vs. concreto declarado (m³)</t>
        </is>
      </c>
      <c r="C73" s="15" t="n"/>
      <c r="D73" s="23" t="n">
        <v>87.59999999999999</v>
      </c>
      <c r="E73" s="23" t="n">
        <v>114</v>
      </c>
      <c r="F73" s="23" t="n">
        <v>-26.4</v>
      </c>
      <c r="G73" s="22" t="inlineStr">
        <is>
          <t>Seção corrente resulta em 87,60 m³; o quadro declara 114,00 m³. A diferença cobre os dois rebaixos e demais elementos. Informativo, não é divergência.</t>
        </is>
      </c>
      <c r="H73" s="15" t="n"/>
      <c r="I73" s="15" t="n"/>
      <c r="J73" s="15" t="n"/>
      <c r="K73" s="15" t="n"/>
      <c r="L73" s="15" t="n"/>
      <c r="M73" s="15" t="n"/>
      <c r="N73" s="15" t="n"/>
    </row>
    <row r="74" ht="24" customHeight="1">
      <c r="A74" s="21" t="inlineStr">
        <is>
          <t>Observação</t>
        </is>
      </c>
      <c r="B74" s="22" t="inlineStr">
        <is>
          <t>Memória de cálculo citada</t>
        </is>
      </c>
      <c r="C74" s="15" t="n"/>
      <c r="D74" s="23" t="n">
        <v>0</v>
      </c>
      <c r="E74" s="23" t="n">
        <v>0</v>
      </c>
      <c r="F74" s="23" t="n">
        <v>0</v>
      </c>
      <c r="G74" s="22" t="inlineStr">
        <is>
          <t>A prancha cita a MC do U-6310; a prancha de armaduras do mesmo tanque cita a MC do U-6312. Confirmar.</t>
        </is>
      </c>
      <c r="H74" s="15" t="n"/>
      <c r="I74" s="15" t="n"/>
      <c r="J74" s="15" t="n"/>
      <c r="K74" s="15" t="n"/>
      <c r="L74" s="15" t="n"/>
      <c r="M74" s="15" t="n"/>
      <c r="N74" s="15" t="n"/>
    </row>
  </sheetData>
  <mergeCells count="64">
    <mergeCell ref="K16:L16"/>
    <mergeCell ref="A10:C11"/>
    <mergeCell ref="A24:B24"/>
    <mergeCell ref="G72:N72"/>
    <mergeCell ref="B72:C72"/>
    <mergeCell ref="F16:G16"/>
    <mergeCell ref="D5:F6"/>
    <mergeCell ref="A15:E15"/>
    <mergeCell ref="A48:N48"/>
    <mergeCell ref="F19:G19"/>
    <mergeCell ref="D10:F11"/>
    <mergeCell ref="G71:N71"/>
    <mergeCell ref="J5:L6"/>
    <mergeCell ref="J4:L4"/>
    <mergeCell ref="A12:C12"/>
    <mergeCell ref="D7:F7"/>
    <mergeCell ref="G70:N70"/>
    <mergeCell ref="B71:C71"/>
    <mergeCell ref="A1:N1"/>
    <mergeCell ref="J7:L7"/>
    <mergeCell ref="K21:L21"/>
    <mergeCell ref="B70:C70"/>
    <mergeCell ref="A16:B16"/>
    <mergeCell ref="K20:L20"/>
    <mergeCell ref="A25:B25"/>
    <mergeCell ref="J10:L11"/>
    <mergeCell ref="D4:F4"/>
    <mergeCell ref="F18:G18"/>
    <mergeCell ref="D12:F12"/>
    <mergeCell ref="G4:I4"/>
    <mergeCell ref="D9:F9"/>
    <mergeCell ref="J12:L12"/>
    <mergeCell ref="A4:C4"/>
    <mergeCell ref="A18:B18"/>
    <mergeCell ref="K15:N15"/>
    <mergeCell ref="F17:G17"/>
    <mergeCell ref="B73:C73"/>
    <mergeCell ref="G69:N69"/>
    <mergeCell ref="B69:C69"/>
    <mergeCell ref="A26:B26"/>
    <mergeCell ref="A21:B21"/>
    <mergeCell ref="G74:N74"/>
    <mergeCell ref="G10:I11"/>
    <mergeCell ref="A2:N2"/>
    <mergeCell ref="A9:C9"/>
    <mergeCell ref="G9:I9"/>
    <mergeCell ref="F15:I15"/>
    <mergeCell ref="G12:I12"/>
    <mergeCell ref="A17:B17"/>
    <mergeCell ref="A23:B23"/>
    <mergeCell ref="A22:B22"/>
    <mergeCell ref="K17:L17"/>
    <mergeCell ref="B74:C74"/>
    <mergeCell ref="G73:N73"/>
    <mergeCell ref="A20:B20"/>
    <mergeCell ref="A5:C6"/>
    <mergeCell ref="G5:I6"/>
    <mergeCell ref="A19:B19"/>
    <mergeCell ref="K19:L19"/>
    <mergeCell ref="A68:N68"/>
    <mergeCell ref="J9:L9"/>
    <mergeCell ref="A7:C7"/>
    <mergeCell ref="G7:I7"/>
    <mergeCell ref="K18:L18"/>
  </mergeCells>
  <printOptions horizontalCentered="1"/>
  <pageMargins left="0.3" right="0.3" top="0.4" bottom="0.4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3" customWidth="1" min="3" max="3"/>
    <col width="15" customWidth="1" min="4" max="4"/>
    <col width="15" customWidth="1" min="5" max="5"/>
    <col width="11" customWidth="1" min="6" max="6"/>
    <col width="26" customWidth="1" min="7" max="7"/>
    <col width="46" customWidth="1" min="8" max="8"/>
  </cols>
  <sheetData>
    <row r="1" ht="36" customHeight="1">
      <c r="A1" s="1" t="inlineStr">
        <is>
          <t>QUANTITATIVO TOTAL - TRANSCRIÇÃO INTEGRAL DA PRANCHA</t>
        </is>
      </c>
    </row>
    <row r="2" ht="24" customHeight="1">
      <c r="A2" s="2" t="inlineStr">
        <is>
          <t>Fonte: prancha DE-5400.00-6312-120-TX3-001, Rev. 0 (07/08/2026) - Desenho de fundação, tanque de UCO TQ-6312824 - FORMAS</t>
        </is>
      </c>
    </row>
    <row r="3" ht="26" customHeight="1">
      <c r="A3" s="24" t="inlineStr">
        <is>
          <t>Quadro QUANTITATIVO TOTAL transcrito item a item. A prancha atende uma única fundação e o quadro traz apenas a coluna '1 UN', sem coluna de total — por isso não há, nesta prancha, a conferência de multiplicação disponível nas pranchas de 4 tanques.</t>
        </is>
      </c>
    </row>
    <row r="5" ht="30" customHeight="1">
      <c r="A5" s="13" t="inlineStr">
        <is>
          <t>Item</t>
        </is>
      </c>
      <c r="B5" s="13" t="inlineStr">
        <is>
          <t>Unidade</t>
        </is>
      </c>
      <c r="C5" s="13" t="inlineStr">
        <is>
          <t>Quantidade
por tanque</t>
        </is>
      </c>
      <c r="D5" s="13" t="inlineStr">
        <is>
          <t>Total impresso
na prancha</t>
        </is>
      </c>
      <c r="E5" s="13" t="inlineStr">
        <is>
          <t>Total calculado
(unit. × 1)</t>
        </is>
      </c>
      <c r="F5" s="13" t="inlineStr">
        <is>
          <t>Desvio</t>
        </is>
      </c>
      <c r="G5" s="13" t="inlineStr">
        <is>
          <t>Grupo</t>
        </is>
      </c>
      <c r="H5" s="13" t="inlineStr">
        <is>
          <t>Observação</t>
        </is>
      </c>
    </row>
    <row r="6">
      <c r="A6" s="14" t="inlineStr">
        <is>
          <t>CONCRETO ESTRUTURAL</t>
        </is>
      </c>
      <c r="B6" s="14" t="inlineStr">
        <is>
          <t>m³</t>
        </is>
      </c>
      <c r="C6" s="16" t="n">
        <v>114</v>
      </c>
      <c r="D6" s="16" t="n">
        <v>114</v>
      </c>
      <c r="E6" s="16" t="n">
        <v>114</v>
      </c>
      <c r="F6" s="16" t="n">
        <v>0</v>
      </c>
      <c r="G6" s="14" t="inlineStr">
        <is>
          <t>Concreto, formas e grout</t>
        </is>
      </c>
      <c r="H6" s="25" t="inlineStr">
        <is>
          <t>Anel de concreto de 65 × 150 cm, fck ≥ 30 MPa, sobre R1430 de eixo.</t>
        </is>
      </c>
    </row>
    <row r="7">
      <c r="A7" s="14" t="inlineStr">
        <is>
          <t>CONCRETO MAGRO</t>
        </is>
      </c>
      <c r="B7" s="14" t="inlineStr">
        <is>
          <t>m³</t>
        </is>
      </c>
      <c r="C7" s="16" t="n">
        <v>3.8</v>
      </c>
      <c r="D7" s="16" t="n">
        <v>3.8</v>
      </c>
      <c r="E7" s="16" t="n">
        <v>3.8</v>
      </c>
      <c r="F7" s="16" t="n">
        <v>0</v>
      </c>
      <c r="G7" s="14" t="inlineStr">
        <is>
          <t>Concreto, formas e grout</t>
        </is>
      </c>
      <c r="H7" s="25" t="inlineStr">
        <is>
          <t>fck ≥ 10 MPa, camada de 5 cm sob o anel e sob o revestimento. Unidade sem sufixo no quadro.</t>
        </is>
      </c>
    </row>
    <row r="8">
      <c r="A8" s="14" t="inlineStr">
        <is>
          <t>ÁREA DE FORMA</t>
        </is>
      </c>
      <c r="B8" s="14" t="inlineStr">
        <is>
          <t>m²</t>
        </is>
      </c>
      <c r="C8" s="16" t="n">
        <v>225.04</v>
      </c>
      <c r="D8" s="16" t="n">
        <v>225.04</v>
      </c>
      <c r="E8" s="16" t="n">
        <v>225.04</v>
      </c>
      <c r="F8" s="16" t="n">
        <v>0</v>
      </c>
      <c r="G8" s="14" t="inlineStr">
        <is>
          <t>Concreto, formas e grout</t>
        </is>
      </c>
      <c r="H8" s="25" t="inlineStr">
        <is>
          <t>Formas das faces interna e externa do anel.</t>
        </is>
      </c>
    </row>
    <row r="9">
      <c r="A9" s="14" t="inlineStr">
        <is>
          <t>GROUT</t>
        </is>
      </c>
      <c r="B9" s="14" t="inlineStr">
        <is>
          <t>m³</t>
        </is>
      </c>
      <c r="C9" s="16" t="n">
        <v>1.9</v>
      </c>
      <c r="D9" s="16" t="n">
        <v>1.9</v>
      </c>
      <c r="E9" s="16" t="n">
        <v>1.9</v>
      </c>
      <c r="F9" s="16" t="n">
        <v>0</v>
      </c>
      <c r="G9" s="14" t="inlineStr">
        <is>
          <t>Concreto, formas e grout</t>
        </is>
      </c>
      <c r="H9" s="25" t="inlineStr">
        <is>
          <t>Camada de 2,5 cm no topo do anel (EL.19,75), sob a chapa de fundo do tanque.</t>
        </is>
      </c>
    </row>
    <row r="10">
      <c r="A10" s="14" t="inlineStr">
        <is>
          <t>PINTURA BETUMINOSA</t>
        </is>
      </c>
      <c r="B10" s="14" t="inlineStr">
        <is>
          <t>m²</t>
        </is>
      </c>
      <c r="C10" s="16" t="n">
        <v>203.35</v>
      </c>
      <c r="D10" s="16" t="n">
        <v>203.35</v>
      </c>
      <c r="E10" s="16" t="n">
        <v>203.35</v>
      </c>
      <c r="F10" s="16" t="n">
        <v>0</v>
      </c>
      <c r="G10" s="14" t="inlineStr">
        <is>
          <t>Impermeabilização</t>
        </is>
      </c>
      <c r="H10" s="25" t="inlineStr">
        <is>
          <t>Aplicada nas faces indicadas no DETALHE 1.</t>
        </is>
      </c>
    </row>
    <row r="11">
      <c r="A11" s="14" t="inlineStr">
        <is>
          <t>ESCAVAÇÃO</t>
        </is>
      </c>
      <c r="B11" s="14" t="inlineStr">
        <is>
          <t>m³</t>
        </is>
      </c>
      <c r="C11" s="16" t="n">
        <v>192</v>
      </c>
      <c r="D11" s="16" t="n">
        <v>192</v>
      </c>
      <c r="E11" s="16" t="n">
        <v>192</v>
      </c>
      <c r="F11" s="16" t="n">
        <v>0</v>
      </c>
      <c r="G11" s="14" t="inlineStr">
        <is>
          <t>Movimento de terra</t>
        </is>
      </c>
      <c r="H11" s="25" t="inlineStr">
        <is>
          <t>Escavação para implantação do berço e do anel.</t>
        </is>
      </c>
    </row>
    <row r="12">
      <c r="A12" s="14" t="inlineStr">
        <is>
          <t>REATERRO COMPACTADO</t>
        </is>
      </c>
      <c r="B12" s="14" t="inlineStr">
        <is>
          <t>m³</t>
        </is>
      </c>
      <c r="C12" s="16" t="n">
        <v>492</v>
      </c>
      <c r="D12" s="16" t="n">
        <v>492</v>
      </c>
      <c r="E12" s="16" t="n">
        <v>492</v>
      </c>
      <c r="F12" s="16" t="n">
        <v>0</v>
      </c>
      <c r="G12" s="14" t="inlineStr">
        <is>
          <t>Movimento de terra</t>
        </is>
      </c>
      <c r="H12" s="25" t="inlineStr">
        <is>
          <t>Ver Nota 8: material da própria escavação, compactação ≥ 98% do PN, camadas ≤ 20 cm.</t>
        </is>
      </c>
    </row>
    <row r="13">
      <c r="A13" s="14" t="inlineStr">
        <is>
          <t>AREIA GROSSA COMPACTADA</t>
        </is>
      </c>
      <c r="B13" s="14" t="inlineStr">
        <is>
          <t>m³</t>
        </is>
      </c>
      <c r="C13" s="16" t="n">
        <v>202.29</v>
      </c>
      <c r="D13" s="16" t="n">
        <v>202.29</v>
      </c>
      <c r="E13" s="16" t="n">
        <v>202.29</v>
      </c>
      <c r="F13" s="16" t="n">
        <v>0</v>
      </c>
      <c r="G13" s="14" t="inlineStr">
        <is>
          <t>Movimento de terra</t>
        </is>
      </c>
      <c r="H13" s="14" t="inlineStr">
        <is>
          <t>Camada de regularização do berço.</t>
        </is>
      </c>
    </row>
    <row r="14">
      <c r="A14" s="14" t="inlineStr">
        <is>
          <t>MANTA GEOTÊXTIL NÃO TECIDO</t>
        </is>
      </c>
      <c r="B14" s="14" t="inlineStr">
        <is>
          <t>m²</t>
        </is>
      </c>
      <c r="C14" s="16" t="n">
        <v>1226</v>
      </c>
      <c r="D14" s="16" t="n">
        <v>1226</v>
      </c>
      <c r="E14" s="16" t="n">
        <v>1226</v>
      </c>
      <c r="F14" s="16" t="n">
        <v>0</v>
      </c>
      <c r="G14" s="14" t="inlineStr">
        <is>
          <t>Impermeabilização</t>
        </is>
      </c>
      <c r="H14" s="25" t="inlineStr">
        <is>
          <t>Bidim RT-31 ou equivalente. A área é exatamente o dobro da geomembrana, coerente com a aplicação acima e abaixo dela.</t>
        </is>
      </c>
    </row>
    <row r="15">
      <c r="A15" s="14" t="inlineStr">
        <is>
          <t>BICA CORRIDA</t>
        </is>
      </c>
      <c r="B15" s="14" t="inlineStr">
        <is>
          <t>m³</t>
        </is>
      </c>
      <c r="C15" s="16" t="n">
        <v>288.11</v>
      </c>
      <c r="D15" s="16" t="n">
        <v>288.11</v>
      </c>
      <c r="E15" s="16" t="n">
        <v>288.11</v>
      </c>
      <c r="F15" s="16" t="n">
        <v>0</v>
      </c>
      <c r="G15" s="14" t="inlineStr">
        <is>
          <t>Movimento de terra</t>
        </is>
      </c>
      <c r="H15" s="25" t="inlineStr">
        <is>
          <t>Ver Nota 10: fração grossa de 19 a 38 mm.</t>
        </is>
      </c>
    </row>
    <row r="16">
      <c r="A16" s="14" t="inlineStr">
        <is>
          <t>REVESTIMENTO CONCRETO SIMPLES e=5cm</t>
        </is>
      </c>
      <c r="B16" s="14" t="inlineStr">
        <is>
          <t>m³</t>
        </is>
      </c>
      <c r="C16" s="16" t="n">
        <v>30.65</v>
      </c>
      <c r="D16" s="16" t="n">
        <v>30.65</v>
      </c>
      <c r="E16" s="16" t="n">
        <v>30.65</v>
      </c>
      <c r="F16" s="16" t="n">
        <v>0</v>
      </c>
      <c r="G16" s="14" t="inlineStr">
        <is>
          <t>Concreto, formas e grout</t>
        </is>
      </c>
      <c r="H16" s="25" t="inlineStr">
        <is>
          <t>Revestimento do berço interno, espessura de 5 cm.</t>
        </is>
      </c>
    </row>
    <row r="17">
      <c r="A17" s="14" t="inlineStr">
        <is>
          <t>GEOMEMBRANA PEAD e ≥ 0,8mm</t>
        </is>
      </c>
      <c r="B17" s="14" t="inlineStr">
        <is>
          <t>m²</t>
        </is>
      </c>
      <c r="C17" s="16" t="n">
        <v>613</v>
      </c>
      <c r="D17" s="16" t="n">
        <v>613</v>
      </c>
      <c r="E17" s="16" t="n">
        <v>613</v>
      </c>
      <c r="F17" s="16" t="n">
        <v>0</v>
      </c>
      <c r="G17" s="14" t="inlineStr">
        <is>
          <t>Impermeabilização</t>
        </is>
      </c>
      <c r="H17" s="25" t="inlineStr">
        <is>
          <t>Fixada ao anel de concreto conforme o DETALHE 1.</t>
        </is>
      </c>
    </row>
    <row r="18">
      <c r="A18" s="14" t="inlineStr">
        <is>
          <t>TUBO DRENO CORRUGADO DN-3"</t>
        </is>
      </c>
      <c r="B18" s="14" t="inlineStr">
        <is>
          <t>un</t>
        </is>
      </c>
      <c r="C18" s="16" t="n">
        <v>12</v>
      </c>
      <c r="D18" s="16" t="n">
        <v>12</v>
      </c>
      <c r="E18" s="16" t="n">
        <v>12</v>
      </c>
      <c r="F18" s="16" t="n">
        <v>0</v>
      </c>
      <c r="G18" s="14" t="inlineStr">
        <is>
          <t>Drenagem</t>
        </is>
      </c>
      <c r="H18" s="25" t="inlineStr">
        <is>
          <t>Envolto em manta geotêxtil não tecido, com tampão e declividade de 5%.</t>
        </is>
      </c>
    </row>
    <row r="19">
      <c r="A19" s="14" t="inlineStr">
        <is>
          <t>RACHÃO</t>
        </is>
      </c>
      <c r="B19" s="14" t="inlineStr">
        <is>
          <t>m³</t>
        </is>
      </c>
      <c r="C19" s="16" t="n">
        <v>398.45</v>
      </c>
      <c r="D19" s="16" t="n">
        <v>398.45</v>
      </c>
      <c r="E19" s="16" t="n">
        <v>398.45</v>
      </c>
      <c r="F19" s="16" t="n">
        <v>0</v>
      </c>
      <c r="G19" s="14" t="inlineStr">
        <is>
          <t>Movimento de terra</t>
        </is>
      </c>
      <c r="H19" s="25" t="inlineStr">
        <is>
          <t>Ver Nota 9: pedra britada de origem sã, compactada.</t>
        </is>
      </c>
    </row>
    <row r="20">
      <c r="A20" s="14" t="inlineStr">
        <is>
          <t>TUBO CORRUGADO NÃO PERFURADO DN-3" C/36º</t>
        </is>
      </c>
      <c r="B20" s="14" t="inlineStr">
        <is>
          <t>un</t>
        </is>
      </c>
      <c r="C20" s="16" t="n">
        <v>12</v>
      </c>
      <c r="D20" s="16" t="n">
        <v>12</v>
      </c>
      <c r="E20" s="16" t="n">
        <v>12</v>
      </c>
      <c r="F20" s="16" t="n">
        <v>0</v>
      </c>
      <c r="G20" s="14" t="inlineStr">
        <is>
          <t>Drenagem</t>
        </is>
      </c>
      <c r="H20" s="25" t="inlineStr">
        <is>
          <t>Travessia do anel; a cada 36° o perímetro comportaria 10 posições, e o quadro adota 12 un.</t>
        </is>
      </c>
    </row>
  </sheetData>
  <mergeCells count="3">
    <mergeCell ref="A3:H3"/>
    <mergeCell ref="A2:H2"/>
    <mergeCell ref="A1:H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4" customWidth="1" min="4" max="4"/>
    <col width="11" customWidth="1" min="5" max="5"/>
    <col width="74" customWidth="1" min="6" max="6"/>
  </cols>
  <sheetData>
    <row r="1" ht="36" customHeight="1">
      <c r="A1" s="1" t="inlineStr">
        <is>
          <t>RESUMO POR GRUPO DE SERVIÇO</t>
        </is>
      </c>
    </row>
    <row r="2" ht="24" customHeight="1">
      <c r="A2" s="2" t="inlineStr">
        <is>
          <t>Fonte: prancha DE-5400.00-6312-120-TX3-001, Rev. 0 (07/08/2026) - Desenho de fundação, tanque de UCO TQ-6312824 - FORMAS</t>
        </is>
      </c>
    </row>
    <row r="3" ht="26" customHeight="1">
      <c r="A3" s="24" t="inlineStr">
        <is>
          <t>Agrupamento dos itens do quadro por natureza de serviço. Volumes (m³), áreas (m²) e unidades são somados separadamente, pois não se agregam entre si.</t>
        </is>
      </c>
    </row>
    <row r="5" ht="30" customHeight="1">
      <c r="A5" s="13" t="inlineStr">
        <is>
          <t>Grupo de serviço</t>
        </is>
      </c>
      <c r="B5" s="13" t="inlineStr">
        <is>
          <t>Itens</t>
        </is>
      </c>
      <c r="C5" s="13" t="inlineStr">
        <is>
          <t>Volume total
(m³)</t>
        </is>
      </c>
      <c r="D5" s="13" t="inlineStr">
        <is>
          <t>Área total
(m²)</t>
        </is>
      </c>
      <c r="E5" s="13" t="inlineStr">
        <is>
          <t>Unidades
(un)</t>
        </is>
      </c>
      <c r="F5" s="13" t="inlineStr">
        <is>
          <t>Itens que compõem o grupo</t>
        </is>
      </c>
    </row>
    <row r="6">
      <c r="A6" s="14" t="inlineStr">
        <is>
          <t>Concreto, formas e grout</t>
        </is>
      </c>
      <c r="B6" s="26" t="n">
        <v>5</v>
      </c>
      <c r="C6" s="16" t="n">
        <v>150.35</v>
      </c>
      <c r="D6" s="16" t="n">
        <v>225.04</v>
      </c>
      <c r="E6" s="26" t="n"/>
      <c r="F6" s="25" t="inlineStr">
        <is>
          <t>CONCRETO ESTRUTURAL, CONCRETO MAGRO, ÁREA DE FORMA, GROUT, REVESTIMENTO CONCRETO SIMPLES e=5cm</t>
        </is>
      </c>
    </row>
    <row r="7">
      <c r="A7" s="14" t="inlineStr">
        <is>
          <t>Movimento de terra</t>
        </is>
      </c>
      <c r="B7" s="26" t="n">
        <v>5</v>
      </c>
      <c r="C7" s="16" t="n">
        <v>1572.85</v>
      </c>
      <c r="D7" s="16" t="n"/>
      <c r="E7" s="26" t="n"/>
      <c r="F7" s="25" t="inlineStr">
        <is>
          <t>ESCAVAÇÃO, REATERRO COMPACTADO, AREIA GROSSA COMPACTADA, BICA CORRIDA, RACHÃO</t>
        </is>
      </c>
    </row>
    <row r="8">
      <c r="A8" s="14" t="inlineStr">
        <is>
          <t>Impermeabilização</t>
        </is>
      </c>
      <c r="B8" s="26" t="n">
        <v>3</v>
      </c>
      <c r="C8" s="16" t="n"/>
      <c r="D8" s="16" t="n">
        <v>2042.35</v>
      </c>
      <c r="E8" s="26" t="n"/>
      <c r="F8" s="25" t="inlineStr">
        <is>
          <t>PINTURA BETUMINOSA, MANTA GEOTÊXTIL NÃO TECIDO, GEOMEMBRANA PEAD e ≥ 0,8mm</t>
        </is>
      </c>
    </row>
    <row r="9">
      <c r="A9" s="14" t="inlineStr">
        <is>
          <t>Drenagem</t>
        </is>
      </c>
      <c r="B9" s="26" t="n">
        <v>2</v>
      </c>
      <c r="C9" s="16" t="n"/>
      <c r="D9" s="16" t="n"/>
      <c r="E9" s="26" t="n">
        <v>24</v>
      </c>
      <c r="F9" s="25" t="inlineStr">
        <is>
          <t>TUBO DRENO CORRUGADO DN-3", TUBO CORRUGADO NÃO PERFURADO DN-3" C/36º</t>
        </is>
      </c>
    </row>
    <row r="10">
      <c r="A10" s="27" t="inlineStr">
        <is>
          <t>TOTAL</t>
        </is>
      </c>
      <c r="B10" s="28" t="n">
        <v>15</v>
      </c>
      <c r="C10" s="19" t="n">
        <v>1723.2</v>
      </c>
      <c r="D10" s="19" t="n">
        <v>2267.39</v>
      </c>
      <c r="E10" s="28" t="n">
        <v>24</v>
      </c>
      <c r="F10" s="27" t="n"/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26" customWidth="1" min="4" max="4"/>
  </cols>
  <sheetData>
    <row r="1" ht="36" customHeight="1">
      <c r="A1" s="1" t="inlineStr">
        <is>
          <t>QUANTITATIVO POR TANQUE</t>
        </is>
      </c>
    </row>
    <row r="2" ht="24" customHeight="1">
      <c r="A2" s="2" t="inlineStr">
        <is>
          <t>Fonte: prancha DE-5400.00-6312-120-TX3-001, Rev. 0 (07/08/2026) - Desenho de fundação, tanque de UCO TQ-6312824 - FORMAS</t>
        </is>
      </c>
    </row>
    <row r="3" ht="26" customHeight="1">
      <c r="A3" s="24" t="inlineStr">
        <is>
          <t>A prancha atende uma única fundação (TQ-6312824). As quantidades desta aba são as do próprio quadro da prancha.</t>
        </is>
      </c>
    </row>
    <row r="5" ht="22" customHeight="1">
      <c r="A5" s="11" t="inlineStr">
        <is>
          <t>QUANTITATIVO COMPLETO DE UMA FUNDAÇÃO</t>
        </is>
      </c>
      <c r="B5" s="12" t="n"/>
      <c r="C5" s="12" t="n"/>
      <c r="D5" s="12" t="n"/>
    </row>
    <row r="6" ht="30" customHeight="1">
      <c r="A6" s="13" t="inlineStr">
        <is>
          <t>Item</t>
        </is>
      </c>
      <c r="B6" s="13" t="inlineStr">
        <is>
          <t>Unidade</t>
        </is>
      </c>
      <c r="C6" s="13" t="inlineStr">
        <is>
          <t>Quantidade por tanque</t>
        </is>
      </c>
      <c r="D6" s="13" t="inlineStr">
        <is>
          <t>Grupo</t>
        </is>
      </c>
    </row>
    <row r="7">
      <c r="A7" s="14" t="inlineStr">
        <is>
          <t>CONCRETO ESTRUTURAL</t>
        </is>
      </c>
      <c r="B7" s="14" t="inlineStr">
        <is>
          <t>m³</t>
        </is>
      </c>
      <c r="C7" s="16" t="n">
        <v>114</v>
      </c>
      <c r="D7" s="14" t="inlineStr">
        <is>
          <t>Concreto, formas e grout</t>
        </is>
      </c>
    </row>
    <row r="8">
      <c r="A8" s="14" t="inlineStr">
        <is>
          <t>CONCRETO MAGRO</t>
        </is>
      </c>
      <c r="B8" s="14" t="inlineStr">
        <is>
          <t>m³</t>
        </is>
      </c>
      <c r="C8" s="16" t="n">
        <v>3.8</v>
      </c>
      <c r="D8" s="14" t="inlineStr">
        <is>
          <t>Concreto, formas e grout</t>
        </is>
      </c>
    </row>
    <row r="9">
      <c r="A9" s="14" t="inlineStr">
        <is>
          <t>ÁREA DE FORMA</t>
        </is>
      </c>
      <c r="B9" s="14" t="inlineStr">
        <is>
          <t>m²</t>
        </is>
      </c>
      <c r="C9" s="16" t="n">
        <v>225.04</v>
      </c>
      <c r="D9" s="14" t="inlineStr">
        <is>
          <t>Concreto, formas e grout</t>
        </is>
      </c>
    </row>
    <row r="10">
      <c r="A10" s="14" t="inlineStr">
        <is>
          <t>GROUT</t>
        </is>
      </c>
      <c r="B10" s="14" t="inlineStr">
        <is>
          <t>m³</t>
        </is>
      </c>
      <c r="C10" s="16" t="n">
        <v>1.9</v>
      </c>
      <c r="D10" s="14" t="inlineStr">
        <is>
          <t>Concreto, formas e grout</t>
        </is>
      </c>
    </row>
    <row r="11">
      <c r="A11" s="14" t="inlineStr">
        <is>
          <t>PINTURA BETUMINOSA</t>
        </is>
      </c>
      <c r="B11" s="14" t="inlineStr">
        <is>
          <t>m²</t>
        </is>
      </c>
      <c r="C11" s="16" t="n">
        <v>203.35</v>
      </c>
      <c r="D11" s="14" t="inlineStr">
        <is>
          <t>Impermeabilização</t>
        </is>
      </c>
    </row>
    <row r="12">
      <c r="A12" s="14" t="inlineStr">
        <is>
          <t>ESCAVAÇÃO</t>
        </is>
      </c>
      <c r="B12" s="14" t="inlineStr">
        <is>
          <t>m³</t>
        </is>
      </c>
      <c r="C12" s="16" t="n">
        <v>192</v>
      </c>
      <c r="D12" s="14" t="inlineStr">
        <is>
          <t>Movimento de terra</t>
        </is>
      </c>
    </row>
    <row r="13">
      <c r="A13" s="14" t="inlineStr">
        <is>
          <t>REATERRO COMPACTADO</t>
        </is>
      </c>
      <c r="B13" s="14" t="inlineStr">
        <is>
          <t>m³</t>
        </is>
      </c>
      <c r="C13" s="16" t="n">
        <v>492</v>
      </c>
      <c r="D13" s="14" t="inlineStr">
        <is>
          <t>Movimento de terra</t>
        </is>
      </c>
    </row>
    <row r="14">
      <c r="A14" s="14" t="inlineStr">
        <is>
          <t>AREIA GROSSA COMPACTADA</t>
        </is>
      </c>
      <c r="B14" s="14" t="inlineStr">
        <is>
          <t>m³</t>
        </is>
      </c>
      <c r="C14" s="16" t="n">
        <v>202.29</v>
      </c>
      <c r="D14" s="14" t="inlineStr">
        <is>
          <t>Movimento de terra</t>
        </is>
      </c>
    </row>
    <row r="15">
      <c r="A15" s="14" t="inlineStr">
        <is>
          <t>MANTA GEOTÊXTIL NÃO TECIDO</t>
        </is>
      </c>
      <c r="B15" s="14" t="inlineStr">
        <is>
          <t>m²</t>
        </is>
      </c>
      <c r="C15" s="16" t="n">
        <v>1226</v>
      </c>
      <c r="D15" s="14" t="inlineStr">
        <is>
          <t>Impermeabilização</t>
        </is>
      </c>
    </row>
    <row r="16">
      <c r="A16" s="14" t="inlineStr">
        <is>
          <t>BICA CORRIDA</t>
        </is>
      </c>
      <c r="B16" s="14" t="inlineStr">
        <is>
          <t>m³</t>
        </is>
      </c>
      <c r="C16" s="16" t="n">
        <v>288.11</v>
      </c>
      <c r="D16" s="14" t="inlineStr">
        <is>
          <t>Movimento de terra</t>
        </is>
      </c>
    </row>
    <row r="17">
      <c r="A17" s="14" t="inlineStr">
        <is>
          <t>REVESTIMENTO CONCRETO SIMPLES e=5cm</t>
        </is>
      </c>
      <c r="B17" s="14" t="inlineStr">
        <is>
          <t>m³</t>
        </is>
      </c>
      <c r="C17" s="16" t="n">
        <v>30.65</v>
      </c>
      <c r="D17" s="14" t="inlineStr">
        <is>
          <t>Concreto, formas e grout</t>
        </is>
      </c>
    </row>
    <row r="18">
      <c r="A18" s="14" t="inlineStr">
        <is>
          <t>GEOMEMBRANA PEAD e ≥ 0,8mm</t>
        </is>
      </c>
      <c r="B18" s="14" t="inlineStr">
        <is>
          <t>m²</t>
        </is>
      </c>
      <c r="C18" s="16" t="n">
        <v>613</v>
      </c>
      <c r="D18" s="14" t="inlineStr">
        <is>
          <t>Impermeabilização</t>
        </is>
      </c>
    </row>
    <row r="19">
      <c r="A19" s="14" t="inlineStr">
        <is>
          <t>TUBO DRENO CORRUGADO DN-3"</t>
        </is>
      </c>
      <c r="B19" s="14" t="inlineStr">
        <is>
          <t>un</t>
        </is>
      </c>
      <c r="C19" s="16" t="n">
        <v>12</v>
      </c>
      <c r="D19" s="14" t="inlineStr">
        <is>
          <t>Drenagem</t>
        </is>
      </c>
    </row>
    <row r="20">
      <c r="A20" s="14" t="inlineStr">
        <is>
          <t>RACHÃO</t>
        </is>
      </c>
      <c r="B20" s="14" t="inlineStr">
        <is>
          <t>m³</t>
        </is>
      </c>
      <c r="C20" s="16" t="n">
        <v>398.45</v>
      </c>
      <c r="D20" s="14" t="inlineStr">
        <is>
          <t>Movimento de terra</t>
        </is>
      </c>
    </row>
    <row r="21">
      <c r="A21" s="14" t="inlineStr">
        <is>
          <t>TUBO CORRUGADO NÃO PERFURADO DN-3" C/36º</t>
        </is>
      </c>
      <c r="B21" s="14" t="inlineStr">
        <is>
          <t>un</t>
        </is>
      </c>
      <c r="C21" s="16" t="n">
        <v>12</v>
      </c>
      <c r="D21" s="14" t="inlineStr">
        <is>
          <t>Drenagem</t>
        </is>
      </c>
    </row>
  </sheetData>
  <mergeCells count="4">
    <mergeCell ref="A2:E2"/>
    <mergeCell ref="A5:D5"/>
    <mergeCell ref="A1:E1"/>
    <mergeCell ref="A3:E3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9" customWidth="1" min="3" max="3"/>
    <col width="14" customWidth="1" min="4" max="4"/>
    <col width="12" customWidth="1" min="5" max="5"/>
    <col width="66" customWidth="1" min="6" max="6"/>
  </cols>
  <sheetData>
    <row r="1" ht="36" customHeight="1">
      <c r="A1" s="1" t="inlineStr">
        <is>
          <t>GEOMETRIA, VISTAS E SEÇÕES</t>
        </is>
      </c>
    </row>
    <row r="2" ht="24" customHeight="1">
      <c r="A2" s="2" t="inlineStr">
        <is>
          <t>Fonte: prancha DE-5400.00-6312-120-TX3-001, Rev. 0 (07/08/2026) - Desenho de fundação, tanque de UCO TQ-6312824 - FORMAS</t>
        </is>
      </c>
    </row>
    <row r="3" ht="26" customHeight="1">
      <c r="A3" s="24" t="inlineStr">
        <is>
          <t>Cotas, raios e elevações lidos diretamente da prancha, e grandezas derivadas a partir delas. Os itens marcados como DERIVADO não constam do desenho: são cálculo próprio.</t>
        </is>
      </c>
    </row>
    <row r="5" ht="30" customHeight="1">
      <c r="A5" s="13" t="inlineStr">
        <is>
          <t>Grupo</t>
        </is>
      </c>
      <c r="B5" s="13" t="inlineStr">
        <is>
          <t>Item</t>
        </is>
      </c>
      <c r="C5" s="13" t="inlineStr">
        <is>
          <t>Escala</t>
        </is>
      </c>
      <c r="D5" s="13" t="inlineStr">
        <is>
          <t>Valor</t>
        </is>
      </c>
      <c r="E5" s="13" t="inlineStr">
        <is>
          <t>Origem</t>
        </is>
      </c>
      <c r="F5" s="13" t="inlineStr">
        <is>
          <t>Observação</t>
        </is>
      </c>
    </row>
    <row r="6">
      <c r="A6" s="14" t="inlineStr">
        <is>
          <t>Vista</t>
        </is>
      </c>
      <c r="B6" s="14" t="inlineStr">
        <is>
          <t>PLANTA - FORMAS - TQ-6312824</t>
        </is>
      </c>
      <c r="C6" s="14" t="inlineStr">
        <is>
          <t>1:75</t>
        </is>
      </c>
      <c r="D6" s="16" t="n"/>
      <c r="E6" s="14" t="inlineStr">
        <is>
          <t>PRANCHA</t>
        </is>
      </c>
      <c r="F6" s="25" t="inlineStr">
        <is>
          <t>Planta do anel; orientações 0º, 90º, 180º e 270º; dois rebaixos para fixação da porta de limpeza.</t>
        </is>
      </c>
    </row>
    <row r="7">
      <c r="A7" s="14" t="inlineStr">
        <is>
          <t>Vista</t>
        </is>
      </c>
      <c r="B7" s="14" t="inlineStr">
        <is>
          <t>CORTE A-A</t>
        </is>
      </c>
      <c r="C7" s="14" t="inlineStr">
        <is>
          <t>1:75</t>
        </is>
      </c>
      <c r="D7" s="16" t="n"/>
      <c r="E7" s="14" t="inlineStr">
        <is>
          <t>PRANCHA</t>
        </is>
      </c>
      <c r="F7" s="25" t="inlineStr">
        <is>
          <t>Corte geral do berço, mostrando as camadas de reaterro, rachão, bica corrida e areia.</t>
        </is>
      </c>
    </row>
    <row r="8">
      <c r="A8" s="14" t="inlineStr">
        <is>
          <t>Vista</t>
        </is>
      </c>
      <c r="B8" s="14" t="inlineStr">
        <is>
          <t>CORTE C-C</t>
        </is>
      </c>
      <c r="C8" s="14" t="inlineStr">
        <is>
          <t>-</t>
        </is>
      </c>
      <c r="D8" s="16" t="n"/>
      <c r="E8" s="14" t="inlineStr">
        <is>
          <t>PRANCHA</t>
        </is>
      </c>
      <c r="F8" s="14" t="inlineStr">
        <is>
          <t>Corte no rebaixo; cotas 60 / 90 / 30.</t>
        </is>
      </c>
    </row>
    <row r="9">
      <c r="A9" s="14" t="inlineStr">
        <is>
          <t>Vista</t>
        </is>
      </c>
      <c r="B9" s="14" t="inlineStr">
        <is>
          <t>DETALHE 1 - anel de concreto</t>
        </is>
      </c>
      <c r="C9" s="14" t="inlineStr">
        <is>
          <t>1:25</t>
        </is>
      </c>
      <c r="D9" s="16" t="n"/>
      <c r="E9" s="14" t="inlineStr">
        <is>
          <t>PRANCHA</t>
        </is>
      </c>
      <c r="F9" s="25" t="inlineStr">
        <is>
          <t>Seção do anel e composição das camadas do berço; base da leitura da aba Camadas e Materiais.</t>
        </is>
      </c>
    </row>
    <row r="10">
      <c r="A10" s="14" t="inlineStr">
        <is>
          <t>Vista</t>
        </is>
      </c>
      <c r="B10" s="14" t="inlineStr">
        <is>
          <t>DETALHE 2 - dreno</t>
        </is>
      </c>
      <c r="C10" s="14" t="inlineStr">
        <is>
          <t>1:12,5</t>
        </is>
      </c>
      <c r="D10" s="16" t="n"/>
      <c r="E10" s="14" t="inlineStr">
        <is>
          <t>PRANCHA</t>
        </is>
      </c>
      <c r="F10" s="25" t="inlineStr">
        <is>
          <t>Tubo dreno corrugado DN-3" com tampão e declividade i=5%.</t>
        </is>
      </c>
    </row>
    <row r="11">
      <c r="A11" s="14" t="inlineStr">
        <is>
          <t>Vista</t>
        </is>
      </c>
      <c r="B11" s="14" t="inlineStr">
        <is>
          <t>DETALHE A (JE)</t>
        </is>
      </c>
      <c r="C11" s="14" t="inlineStr">
        <is>
          <t>-</t>
        </is>
      </c>
      <c r="D11" s="16" t="n"/>
      <c r="E11" s="14" t="inlineStr">
        <is>
          <t>PRANCHA</t>
        </is>
      </c>
      <c r="F11" s="25" t="inlineStr">
        <is>
          <t>Junta de encontro conforme o documento de pavimentação (Nota 6).</t>
        </is>
      </c>
    </row>
    <row r="12">
      <c r="A12" s="14" t="inlineStr">
        <is>
          <t>Anel</t>
        </is>
      </c>
      <c r="B12" s="14" t="inlineStr">
        <is>
          <t>Raio interno (m)</t>
        </is>
      </c>
      <c r="C12" s="14" t="inlineStr">
        <is>
          <t>-</t>
        </is>
      </c>
      <c r="D12" s="16" t="n">
        <v>13.975</v>
      </c>
      <c r="E12" s="14" t="inlineStr">
        <is>
          <t>PRANCHA</t>
        </is>
      </c>
      <c r="F12" s="25" t="inlineStr">
        <is>
          <t>R1397,5 cm; diâmetro interno cotado de 2795 cm.</t>
        </is>
      </c>
    </row>
    <row r="13">
      <c r="A13" s="14" t="inlineStr">
        <is>
          <t>Anel</t>
        </is>
      </c>
      <c r="B13" s="14" t="inlineStr">
        <is>
          <t>Raio do eixo (m)</t>
        </is>
      </c>
      <c r="C13" s="14" t="inlineStr">
        <is>
          <t>-</t>
        </is>
      </c>
      <c r="D13" s="16" t="n">
        <v>14.3</v>
      </c>
      <c r="E13" s="14" t="inlineStr">
        <is>
          <t>PRANCHA</t>
        </is>
      </c>
      <c r="F13" s="14" t="inlineStr">
        <is>
          <t>R1430 cm.</t>
        </is>
      </c>
    </row>
    <row r="14">
      <c r="A14" s="14" t="inlineStr">
        <is>
          <t>Anel</t>
        </is>
      </c>
      <c r="B14" s="14" t="inlineStr">
        <is>
          <t>Raio externo (m)</t>
        </is>
      </c>
      <c r="C14" s="14" t="inlineStr">
        <is>
          <t>-</t>
        </is>
      </c>
      <c r="D14" s="16" t="n">
        <v>14.625</v>
      </c>
      <c r="E14" s="14" t="inlineStr">
        <is>
          <t>PRANCHA</t>
        </is>
      </c>
      <c r="F14" s="14" t="inlineStr">
        <is>
          <t>R1462,5 cm.</t>
        </is>
      </c>
    </row>
    <row r="15">
      <c r="A15" s="14" t="inlineStr">
        <is>
          <t>Anel</t>
        </is>
      </c>
      <c r="B15" s="14" t="inlineStr">
        <is>
          <t>Largura radial da seção (m)</t>
        </is>
      </c>
      <c r="C15" s="14" t="inlineStr">
        <is>
          <t>-</t>
        </is>
      </c>
      <c r="D15" s="16" t="n">
        <v>0.65</v>
      </c>
      <c r="E15" s="14" t="inlineStr">
        <is>
          <t>PRANCHA</t>
        </is>
      </c>
      <c r="F15" s="14" t="inlineStr">
        <is>
          <t>Cota 65 cm (R1462,5 - R1397,5).</t>
        </is>
      </c>
    </row>
    <row r="16">
      <c r="A16" s="14" t="inlineStr">
        <is>
          <t>Anel</t>
        </is>
      </c>
      <c r="B16" s="14" t="inlineStr">
        <is>
          <t>Altura da seção (m)</t>
        </is>
      </c>
      <c r="C16" s="14" t="inlineStr">
        <is>
          <t>-</t>
        </is>
      </c>
      <c r="D16" s="16" t="n">
        <v>1.5</v>
      </c>
      <c r="E16" s="14" t="inlineStr">
        <is>
          <t>PRANCHA</t>
        </is>
      </c>
      <c r="F16" s="14" t="inlineStr">
        <is>
          <t>Cota 150 cm no DETALHE 1.</t>
        </is>
      </c>
    </row>
    <row r="17">
      <c r="A17" s="14" t="inlineStr">
        <is>
          <t>Rebaixo</t>
        </is>
      </c>
      <c r="B17" s="14" t="inlineStr">
        <is>
          <t>Cotas do rebaixo (cm)</t>
        </is>
      </c>
      <c r="C17" s="14" t="inlineStr">
        <is>
          <t>-</t>
        </is>
      </c>
      <c r="D17" s="16" t="n"/>
      <c r="E17" s="14" t="inlineStr">
        <is>
          <t>PRANCHA</t>
        </is>
      </c>
      <c r="F17" s="25" t="inlineStr">
        <is>
          <t>Cotas 60 / 60 / 90 / 90 / 30 / 30 nos dois rebaixos para fixação da porta de limpeza (Nota 7).</t>
        </is>
      </c>
    </row>
    <row r="18">
      <c r="A18" s="14" t="inlineStr">
        <is>
          <t>Elevação</t>
        </is>
      </c>
      <c r="B18" s="14" t="inlineStr">
        <is>
          <t>Topo do grout (m)</t>
        </is>
      </c>
      <c r="C18" s="14" t="inlineStr">
        <is>
          <t>-</t>
        </is>
      </c>
      <c r="D18" s="16" t="n">
        <v>19.75</v>
      </c>
      <c r="E18" s="14" t="inlineStr">
        <is>
          <t>PRANCHA</t>
        </is>
      </c>
      <c r="F18" s="14" t="inlineStr">
        <is>
          <t>EL.19,75 (T.GROUT).</t>
        </is>
      </c>
    </row>
    <row r="19">
      <c r="A19" s="14" t="inlineStr">
        <is>
          <t>Elevação</t>
        </is>
      </c>
      <c r="B19" s="14" t="inlineStr">
        <is>
          <t>Mini dique (m)</t>
        </is>
      </c>
      <c r="C19" s="14" t="inlineStr">
        <is>
          <t>-</t>
        </is>
      </c>
      <c r="D19" s="16" t="n">
        <v>19.1</v>
      </c>
      <c r="E19" s="14" t="inlineStr">
        <is>
          <t>PRANCHA</t>
        </is>
      </c>
      <c r="F19" s="14" t="inlineStr">
        <is>
          <t>EL.19,10 (MINI DIQUE).</t>
        </is>
      </c>
    </row>
    <row r="20">
      <c r="A20" s="14" t="inlineStr">
        <is>
          <t>Elevação</t>
        </is>
      </c>
      <c r="B20" s="14" t="inlineStr">
        <is>
          <t>Terreno acabado (m)</t>
        </is>
      </c>
      <c r="C20" s="14" t="inlineStr">
        <is>
          <t>-</t>
        </is>
      </c>
      <c r="D20" s="16" t="n">
        <v>19</v>
      </c>
      <c r="E20" s="14" t="inlineStr">
        <is>
          <t>PRANCHA</t>
        </is>
      </c>
      <c r="F20" s="14" t="inlineStr">
        <is>
          <t>EL.19,00 (TERRENO ACABADO).</t>
        </is>
      </c>
    </row>
    <row r="21">
      <c r="A21" s="14" t="inlineStr">
        <is>
          <t>Elevação</t>
        </is>
      </c>
      <c r="B21" s="14" t="inlineStr">
        <is>
          <t>Centro do tanque (m)</t>
        </is>
      </c>
      <c r="C21" s="14" t="inlineStr">
        <is>
          <t>-</t>
        </is>
      </c>
      <c r="D21" s="16" t="n">
        <v>19.883</v>
      </c>
      <c r="E21" s="14" t="inlineStr">
        <is>
          <t>PRANCHA</t>
        </is>
      </c>
      <c r="F21" s="25" t="inlineStr">
        <is>
          <t>EL.19,883, conforme Nota 4 (i &gt; 1:120 acrescido de contra-flecha de 53 mm).</t>
        </is>
      </c>
    </row>
    <row r="22">
      <c r="A22" s="14" t="inlineStr">
        <is>
          <t>Locação</t>
        </is>
      </c>
      <c r="B22" s="14" t="inlineStr">
        <is>
          <t>Coordenada N (m)</t>
        </is>
      </c>
      <c r="C22" s="14" t="inlineStr">
        <is>
          <t>-</t>
        </is>
      </c>
      <c r="D22" s="16" t="n">
        <v>3286.681</v>
      </c>
      <c r="E22" s="14" t="inlineStr">
        <is>
          <t>PRANCHA</t>
        </is>
      </c>
      <c r="F22" s="14" t="inlineStr">
        <is>
          <t>N=3286.681.</t>
        </is>
      </c>
    </row>
    <row r="23">
      <c r="A23" s="14" t="inlineStr">
        <is>
          <t>Locação</t>
        </is>
      </c>
      <c r="B23" s="14" t="inlineStr">
        <is>
          <t>Coordenada E (m)</t>
        </is>
      </c>
      <c r="C23" s="14" t="inlineStr">
        <is>
          <t>-</t>
        </is>
      </c>
      <c r="D23" s="16" t="n">
        <v>4401.137</v>
      </c>
      <c r="E23" s="14" t="inlineStr">
        <is>
          <t>PRANCHA</t>
        </is>
      </c>
      <c r="F23" s="14" t="inlineStr">
        <is>
          <t>E=4401.137.</t>
        </is>
      </c>
    </row>
    <row r="24">
      <c r="A24" s="14" t="inlineStr">
        <is>
          <t>Derivado</t>
        </is>
      </c>
      <c r="B24" s="14" t="inlineStr">
        <is>
          <t>Desenvolvimento do eixo do anel (m)</t>
        </is>
      </c>
      <c r="C24" s="14" t="inlineStr">
        <is>
          <t>-</t>
        </is>
      </c>
      <c r="D24" s="16" t="n">
        <v>89.84999999999999</v>
      </c>
      <c r="E24" s="14" t="inlineStr">
        <is>
          <t>DERIVADO</t>
        </is>
      </c>
      <c r="F24" s="25" t="inlineStr">
        <is>
          <t>2π × R1430. Coincide com os 8985 cm cotados na FACE SUPERIOR E INFERIOR da prancha de armaduras 6312 TX3-002.</t>
        </is>
      </c>
    </row>
    <row r="25">
      <c r="A25" s="14" t="inlineStr">
        <is>
          <t>Derivado</t>
        </is>
      </c>
      <c r="B25" s="14" t="inlineStr">
        <is>
          <t>Área da seção do anel (m²)</t>
        </is>
      </c>
      <c r="C25" s="14" t="inlineStr">
        <is>
          <t>-</t>
        </is>
      </c>
      <c r="D25" s="16" t="n">
        <v>0.975</v>
      </c>
      <c r="E25" s="14" t="inlineStr">
        <is>
          <t>DERIVADO</t>
        </is>
      </c>
      <c r="F25" s="14" t="inlineStr">
        <is>
          <t>0,65 m × 1,50 m.</t>
        </is>
      </c>
    </row>
    <row r="26">
      <c r="A26" s="14" t="inlineStr">
        <is>
          <t>Derivado</t>
        </is>
      </c>
      <c r="B26" s="14" t="inlineStr">
        <is>
          <t>Volume do anel corrente (m³)</t>
        </is>
      </c>
      <c r="C26" s="14" t="inlineStr">
        <is>
          <t>-</t>
        </is>
      </c>
      <c r="D26" s="16" t="n">
        <v>87.59999999999999</v>
      </c>
      <c r="E26" s="14" t="inlineStr">
        <is>
          <t>DERIVADO</t>
        </is>
      </c>
      <c r="F26" s="25" t="inlineStr">
        <is>
          <t>Seção × desenvolvimento do eixo. Cobre apenas o anel corrente: fica 26,40 m³ abaixo dos 114,00 m³ declarados, diferença atribuível aos dois rebaixos e demais elementos.</t>
        </is>
      </c>
    </row>
    <row r="27">
      <c r="A27" s="14" t="inlineStr">
        <is>
          <t>Derivado</t>
        </is>
      </c>
      <c r="B27" s="14" t="inlineStr">
        <is>
          <t>Taxa de armadura (kg/m³)</t>
        </is>
      </c>
      <c r="C27" s="14" t="inlineStr">
        <is>
          <t>-</t>
        </is>
      </c>
      <c r="D27" s="16" t="n">
        <v>67.3</v>
      </c>
      <c r="E27" s="14" t="inlineStr">
        <is>
          <t>DERIVADO</t>
        </is>
      </c>
      <c r="F27" s="25" t="inlineStr">
        <is>
          <t>7.676,39 kg da prancha de armaduras 6312 TX3-002 divididos pelo concreto estrutural declarado. Comparável às taxas das fundações dos tanques de lubrificação (67 kg/m³).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30" customWidth="1" min="4" max="4"/>
    <col width="70" customWidth="1" min="5" max="5"/>
  </cols>
  <sheetData>
    <row r="1" ht="36" customHeight="1">
      <c r="A1" s="1" t="inlineStr">
        <is>
          <t>CAMADAS, DETALHES E ESPECIFICAÇÃO DE MATERIAIS</t>
        </is>
      </c>
    </row>
    <row r="2" ht="24" customHeight="1">
      <c r="A2" s="2" t="inlineStr">
        <is>
          <t>Fonte: prancha DE-5400.00-6312-120-TX3-001, Rev. 0 (07/08/2026) - Desenho de fundação, tanque de UCO TQ-6312824 - FORMAS</t>
        </is>
      </c>
    </row>
    <row r="3" ht="26" customHeight="1">
      <c r="A3" s="24" t="inlineStr">
        <is>
          <t>Composição das camadas do berço do tanque e dos detalhes construtivos, na ordem de execução, conforme o DETALHE 1 e as notas gerais da prancha.</t>
        </is>
      </c>
    </row>
    <row r="5" ht="30" customHeight="1">
      <c r="A5" s="13" t="inlineStr">
        <is>
          <t>Ordem</t>
        </is>
      </c>
      <c r="B5" s="13" t="inlineStr">
        <is>
          <t>Camada / elemento</t>
        </is>
      </c>
      <c r="C5" s="13" t="inlineStr">
        <is>
          <t>Espessura ou cota</t>
        </is>
      </c>
      <c r="D5" s="13" t="inlineStr">
        <is>
          <t>Item do quantitativo</t>
        </is>
      </c>
      <c r="E5" s="13" t="inlineStr">
        <is>
          <t>Especificação conforme a prancha</t>
        </is>
      </c>
    </row>
    <row r="6">
      <c r="A6" s="26" t="n">
        <v>1</v>
      </c>
      <c r="B6" s="14" t="inlineStr">
        <is>
          <t>Anel de concreto estrutural</t>
        </is>
      </c>
      <c r="C6" s="14" t="inlineStr">
        <is>
          <t>65 × 150 cm</t>
        </is>
      </c>
      <c r="D6" s="14" t="inlineStr">
        <is>
          <t>CONCRETO ESTRUTURAL</t>
        </is>
      </c>
      <c r="E6" s="25" t="inlineStr">
        <is>
          <t>fck ≥ 30 MPa, fator água/cimento ≤ 0,55, cobrimento 5 cm. Topo do grout na EL.19,75.</t>
        </is>
      </c>
    </row>
    <row r="7">
      <c r="A7" s="26" t="n">
        <v>2</v>
      </c>
      <c r="B7" s="14" t="inlineStr">
        <is>
          <t>Grout de assentamento</t>
        </is>
      </c>
      <c r="C7" s="14" t="inlineStr">
        <is>
          <t>2,5 cm</t>
        </is>
      </c>
      <c r="D7" s="14" t="inlineStr">
        <is>
          <t>GROUT</t>
        </is>
      </c>
      <c r="E7" s="25" t="inlineStr">
        <is>
          <t>Camada de 2,5 cm sob a chapa de fundo do tanque, no topo do anel (EL.19,75).</t>
        </is>
      </c>
    </row>
    <row r="8">
      <c r="A8" s="26" t="n">
        <v>3</v>
      </c>
      <c r="B8" s="14" t="inlineStr">
        <is>
          <t>Mini dique</t>
        </is>
      </c>
      <c r="C8" s="14" t="inlineStr">
        <is>
          <t>EL.19,10</t>
        </is>
      </c>
      <c r="D8" s="14" t="inlineStr">
        <is>
          <t>CONCRETO ESTRUTURAL</t>
        </is>
      </c>
      <c r="E8" s="25" t="inlineStr">
        <is>
          <t>Mini dique perimetral na EL.19,10, junto à face externa do anel.</t>
        </is>
      </c>
    </row>
    <row r="9">
      <c r="A9" s="26" t="n">
        <v>4</v>
      </c>
      <c r="B9" s="14" t="inlineStr">
        <is>
          <t>Concreto magro</t>
        </is>
      </c>
      <c r="C9" s="14" t="inlineStr">
        <is>
          <t>5 cm</t>
        </is>
      </c>
      <c r="D9" s="14" t="inlineStr">
        <is>
          <t>CONCRETO MAGRO</t>
        </is>
      </c>
      <c r="E9" s="25" t="inlineStr">
        <is>
          <t>fck ≥ 10 MPa, sob o anel de concreto e sob o revestimento.</t>
        </is>
      </c>
    </row>
    <row r="10">
      <c r="A10" s="26" t="n">
        <v>5</v>
      </c>
      <c r="B10" s="14" t="inlineStr">
        <is>
          <t>Revestimento de concreto simples</t>
        </is>
      </c>
      <c r="C10" s="14" t="inlineStr">
        <is>
          <t>e=5 cm</t>
        </is>
      </c>
      <c r="D10" s="14" t="inlineStr">
        <is>
          <t>REVESTIMENTO CONCRETO SIMPLES e=5cm</t>
        </is>
      </c>
      <c r="E10" s="14" t="inlineStr">
        <is>
          <t>Revestimento do berço interno do tanque.</t>
        </is>
      </c>
    </row>
    <row r="11">
      <c r="A11" s="26" t="n">
        <v>6</v>
      </c>
      <c r="B11" s="14" t="inlineStr">
        <is>
          <t>Pintura betuminosa</t>
        </is>
      </c>
      <c r="C11" s="14" t="inlineStr">
        <is>
          <t>-</t>
        </is>
      </c>
      <c r="D11" s="14" t="inlineStr">
        <is>
          <t>PINTURA BETUMINOSA</t>
        </is>
      </c>
      <c r="E11" s="25" t="inlineStr">
        <is>
          <t>Aplicada nas faces indicadas do anel e do berço.</t>
        </is>
      </c>
    </row>
    <row r="12">
      <c r="A12" s="26" t="n">
        <v>7</v>
      </c>
      <c r="B12" s="14" t="inlineStr">
        <is>
          <t>Geomembrana PEAD</t>
        </is>
      </c>
      <c r="C12" s="14" t="inlineStr">
        <is>
          <t>e ≥ 0,8 mm</t>
        </is>
      </c>
      <c r="D12" s="14" t="inlineStr">
        <is>
          <t>GEOMEMBRANA PEAD e ≥ 0,8mm</t>
        </is>
      </c>
      <c r="E12" s="25" t="inlineStr">
        <is>
          <t>Fixação da manta de PEAD no anel de concreto conforme o DETALHE 1.</t>
        </is>
      </c>
    </row>
    <row r="13">
      <c r="A13" s="26" t="n">
        <v>8</v>
      </c>
      <c r="B13" s="14" t="inlineStr">
        <is>
          <t>Manta geotêxtil não tecido</t>
        </is>
      </c>
      <c r="C13" s="14" t="inlineStr">
        <is>
          <t>-</t>
        </is>
      </c>
      <c r="D13" s="14" t="inlineStr">
        <is>
          <t>MANTA GEOTÊXTIL NÃO TECIDO</t>
        </is>
      </c>
      <c r="E13" s="25" t="inlineStr">
        <is>
          <t>Bidim RT-31 ou equivalente, acima e abaixo da geomembrana (daí a área ser o dobro da geomembrana).</t>
        </is>
      </c>
    </row>
    <row r="14">
      <c r="A14" s="26" t="n">
        <v>9</v>
      </c>
      <c r="B14" s="14" t="inlineStr">
        <is>
          <t>Areia grossa compactada</t>
        </is>
      </c>
      <c r="C14" s="14" t="inlineStr">
        <is>
          <t>-</t>
        </is>
      </c>
      <c r="D14" s="14" t="inlineStr">
        <is>
          <t>AREIA GROSSA COMPACTADA</t>
        </is>
      </c>
      <c r="E14" s="25" t="inlineStr">
        <is>
          <t>Camada de regularização sobre a bica corrida.</t>
        </is>
      </c>
    </row>
    <row r="15">
      <c r="A15" s="26" t="n">
        <v>10</v>
      </c>
      <c r="B15" s="14" t="inlineStr">
        <is>
          <t>Bica corrida compactada</t>
        </is>
      </c>
      <c r="C15" s="14" t="inlineStr">
        <is>
          <t>-</t>
        </is>
      </c>
      <c r="D15" s="14" t="inlineStr">
        <is>
          <t>BICA CORRIDA</t>
        </is>
      </c>
      <c r="E15" s="25" t="inlineStr">
        <is>
          <t>Ver Nota 10: fração grossa de 19 a 38 mm; compactação com rolo vibratório.</t>
        </is>
      </c>
    </row>
    <row r="16">
      <c r="A16" s="26" t="n">
        <v>11</v>
      </c>
      <c r="B16" s="14" t="inlineStr">
        <is>
          <t>Rachão</t>
        </is>
      </c>
      <c r="C16" s="14" t="inlineStr">
        <is>
          <t>-</t>
        </is>
      </c>
      <c r="D16" s="14" t="inlineStr">
        <is>
          <t>RACHÃO</t>
        </is>
      </c>
      <c r="E16" s="25" t="inlineStr">
        <is>
          <t>Ver Nota 9: pedra britada de origem sã, compactada até camada estável.</t>
        </is>
      </c>
    </row>
    <row r="17">
      <c r="A17" s="26" t="n">
        <v>12</v>
      </c>
      <c r="B17" s="14" t="inlineStr">
        <is>
          <t>Reaterro compactado</t>
        </is>
      </c>
      <c r="C17" s="14" t="inlineStr">
        <is>
          <t>camadas ≤ 20 cm</t>
        </is>
      </c>
      <c r="D17" s="14" t="inlineStr">
        <is>
          <t>REATERRO COMPACTADO</t>
        </is>
      </c>
      <c r="E17" s="25" t="inlineStr">
        <is>
          <t>Ver Nota 8: material da própria escavação, compactação ≥ 98% do PN.</t>
        </is>
      </c>
    </row>
    <row r="18">
      <c r="A18" s="26" t="n">
        <v>13</v>
      </c>
      <c r="B18" s="14" t="inlineStr">
        <is>
          <t>Tubo dreno corrugado DN-3"</t>
        </is>
      </c>
      <c r="C18" s="14" t="inlineStr">
        <is>
          <t>i = 5%</t>
        </is>
      </c>
      <c r="D18" s="14" t="inlineStr">
        <is>
          <t>TUBO DRENO CORRUGADO DN-3"</t>
        </is>
      </c>
      <c r="E18" s="25" t="inlineStr">
        <is>
          <t>Envolto em manta geotêxtil não tecido, com tampão; declividade de 5%.</t>
        </is>
      </c>
    </row>
    <row r="19">
      <c r="A19" s="26" t="n">
        <v>14</v>
      </c>
      <c r="B19" s="14" t="inlineStr">
        <is>
          <t>Tubo corrugado não perfurado DN-3"</t>
        </is>
      </c>
      <c r="C19" s="14" t="inlineStr">
        <is>
          <t>c/36°</t>
        </is>
      </c>
      <c r="D19" s="14" t="inlineStr">
        <is>
          <t>TUBO CORRUGADO NÃO PERFURADO DN-3" C/36º</t>
        </is>
      </c>
      <c r="E19" s="25" t="inlineStr">
        <is>
          <t>Travessia do anel a cada 36°, totalizando 10 posições por tanque no perímetro.</t>
        </is>
      </c>
    </row>
  </sheetData>
  <mergeCells count="3">
    <mergeCell ref="A2:E2"/>
    <mergeCell ref="A1:E1"/>
    <mergeCell ref="A3:E3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00" customWidth="1" min="3" max="3"/>
  </cols>
  <sheetData>
    <row r="1" ht="36" customHeight="1">
      <c r="A1" s="1" t="inlineStr">
        <is>
          <t>PARÂMETROS TÉCNICOS E IDENTIFICAÇÃO DA PRANCHA</t>
        </is>
      </c>
    </row>
    <row r="2" ht="24" customHeight="1">
      <c r="A2" s="2" t="inlineStr">
        <is>
          <t>Fonte: prancha DE-5400.00-6312-120-TX3-001, Rev. 0 (07/08/2026) - Desenho de fundação, tanque de UCO TQ-6312824 - FORMAS</t>
        </is>
      </c>
    </row>
    <row r="3" ht="18" customHeight="1">
      <c r="A3" s="24" t="inlineStr">
        <is>
          <t>Dados de carimbo, notas gerais e documentos vinculados, transcritos da prancha.</t>
        </is>
      </c>
    </row>
    <row r="5" ht="30" customHeight="1">
      <c r="A5" s="13" t="inlineStr">
        <is>
          <t>Grupo</t>
        </is>
      </c>
      <c r="B5" s="13" t="inlineStr">
        <is>
          <t>Parâmetro</t>
        </is>
      </c>
      <c r="C5" s="13" t="inlineStr">
        <is>
          <t>Especificação / conteúdo transcrito</t>
        </is>
      </c>
    </row>
    <row r="6">
      <c r="A6" s="14" t="inlineStr">
        <is>
          <t>Identificação</t>
        </is>
      </c>
      <c r="B6" s="14" t="inlineStr">
        <is>
          <t>Número do documento</t>
        </is>
      </c>
      <c r="C6" s="14" t="inlineStr">
        <is>
          <t>DE-5400.00-6312-120-TX3-001</t>
        </is>
      </c>
    </row>
    <row r="7">
      <c r="A7" s="14" t="inlineStr">
        <is>
          <t>Identificação</t>
        </is>
      </c>
      <c r="B7" s="14" t="inlineStr">
        <is>
          <t>Revisão</t>
        </is>
      </c>
      <c r="C7" s="25" t="inlineStr">
        <is>
          <t>0 — EMISSÃO ORIGINAL - PARA CONSTRUÇÃO (07/08/2026)</t>
        </is>
      </c>
    </row>
    <row r="8">
      <c r="A8" s="14" t="inlineStr">
        <is>
          <t>Identificação</t>
        </is>
      </c>
      <c r="B8" s="14" t="inlineStr">
        <is>
          <t>Título</t>
        </is>
      </c>
      <c r="C8" s="25" t="inlineStr">
        <is>
          <t>Desenho de fundação - tanque de UCO TQ-6312824 - FORMAS</t>
        </is>
      </c>
    </row>
    <row r="9">
      <c r="A9" s="14" t="inlineStr">
        <is>
          <t>Identificação</t>
        </is>
      </c>
      <c r="B9" s="14" t="inlineStr">
        <is>
          <t>Área</t>
        </is>
      </c>
      <c r="C9" s="25" t="inlineStr">
        <is>
          <t>Parque de tanques de produtos intermediários (lubrificantes) - U-6312</t>
        </is>
      </c>
    </row>
    <row r="10">
      <c r="A10" s="14" t="inlineStr">
        <is>
          <t>Identificação</t>
        </is>
      </c>
      <c r="B10" s="14" t="inlineStr">
        <is>
          <t>Programa / Cliente</t>
        </is>
      </c>
      <c r="C10" s="14" t="inlineStr">
        <is>
          <t>Refino Boaventura / TR - Boaventura</t>
        </is>
      </c>
    </row>
    <row r="11">
      <c r="A11" s="14" t="inlineStr">
        <is>
          <t>Identificação</t>
        </is>
      </c>
      <c r="B11" s="14" t="inlineStr">
        <is>
          <t>Proprietário do documento</t>
        </is>
      </c>
      <c r="C11" s="25" t="inlineStr">
        <is>
          <t>Petrobras — SRGE/SI-III (classificação INTERNA)</t>
        </is>
      </c>
    </row>
    <row r="12">
      <c r="A12" s="14" t="inlineStr">
        <is>
          <t>Identificação</t>
        </is>
      </c>
      <c r="B12" s="14" t="inlineStr">
        <is>
          <t>Razão social</t>
        </is>
      </c>
      <c r="C12" s="14" t="inlineStr">
        <is>
          <t>Consórcio TEM Boaventura</t>
        </is>
      </c>
    </row>
    <row r="13">
      <c r="A13" s="14" t="inlineStr">
        <is>
          <t>Identificação</t>
        </is>
      </c>
      <c r="B13" s="14" t="inlineStr">
        <is>
          <t>Número do contrato</t>
        </is>
      </c>
      <c r="C13" s="14" t="inlineStr">
        <is>
          <t>ICJ 5900.0131990.25.2</t>
        </is>
      </c>
    </row>
    <row r="14">
      <c r="A14" s="14" t="inlineStr">
        <is>
          <t>Identificação</t>
        </is>
      </c>
      <c r="B14" s="14" t="inlineStr">
        <is>
          <t>Responsável técnico</t>
        </is>
      </c>
      <c r="C14" s="14" t="inlineStr">
        <is>
          <t>Antenor de Castro — CREA 17974D-MG</t>
        </is>
      </c>
    </row>
    <row r="15">
      <c r="A15" s="14" t="inlineStr">
        <is>
          <t>Identificação</t>
        </is>
      </c>
      <c r="B15" s="14" t="inlineStr">
        <is>
          <t>Executou / Verificou / Aprovou</t>
        </is>
      </c>
      <c r="C15" s="25" t="inlineStr">
        <is>
          <t>Carmen Santos / Marcio Yukio / Helgo Santos</t>
        </is>
      </c>
    </row>
    <row r="16">
      <c r="A16" s="14" t="inlineStr">
        <is>
          <t>Identificação</t>
        </is>
      </c>
      <c r="B16" s="14" t="inlineStr">
        <is>
          <t>Folha e formato</t>
        </is>
      </c>
      <c r="C16" s="25" t="inlineStr">
        <is>
          <t>01 de 01 — A1 (841 × 594 mm) — escala INDICADA</t>
        </is>
      </c>
    </row>
    <row r="17">
      <c r="A17" s="14" t="inlineStr">
        <is>
          <t>Nota geral 1</t>
        </is>
      </c>
      <c r="B17" s="14" t="inlineStr">
        <is>
          <t>Unidades</t>
        </is>
      </c>
      <c r="C17" s="25" t="inlineStr">
        <is>
          <t>Dimensões em centímetro, elevações e coordenadas em metro, exceto onde indicado.</t>
        </is>
      </c>
    </row>
    <row r="18">
      <c r="A18" s="14" t="inlineStr">
        <is>
          <t>Nota geral 2</t>
        </is>
      </c>
      <c r="B18" s="14" t="inlineStr">
        <is>
          <t>Materiais</t>
        </is>
      </c>
      <c r="C18" s="25" t="inlineStr">
        <is>
          <t>Concreto estrutural fck ≥ 30 MPa; fator água/cimento ≤ 0,55; concreto magro fck ≥ 10 MPa. O cobrimento é de 5 cm. A dimensão máxima do agregado graúdo deve ser menor que 6 cm (1,2 × 5 cm).</t>
        </is>
      </c>
    </row>
    <row r="19">
      <c r="A19" s="14" t="inlineStr">
        <is>
          <t>Nota geral 3</t>
        </is>
      </c>
      <c r="B19" s="14" t="inlineStr">
        <is>
          <t>Tensão no teste de estanqueidade</t>
        </is>
      </c>
      <c r="C19" s="25" t="inlineStr">
        <is>
          <t>Tensão do tanque no teste de estanqueidade sobre o solo: 150 kN/m², de acordo com o RL-5400.00-6310-115-TX3-001 - Relatório geotécnico.</t>
        </is>
      </c>
    </row>
    <row r="20">
      <c r="A20" s="14" t="inlineStr">
        <is>
          <t>Nota geral 4</t>
        </is>
      </c>
      <c r="B20" s="14" t="inlineStr">
        <is>
          <t>Elevação do centro dos tanques</t>
        </is>
      </c>
      <c r="C20" s="25" t="inlineStr">
        <is>
          <t>Conforme orientações das respectivas folhas de dados (i &gt; 1:120), acrescido da contra-flecha de 53 mm; ver item 3 do documento de referência.</t>
        </is>
      </c>
    </row>
    <row r="21">
      <c r="A21" s="14" t="inlineStr">
        <is>
          <t>Nota geral 5</t>
        </is>
      </c>
      <c r="B21" s="14" t="inlineStr">
        <is>
          <t>Quantidades</t>
        </is>
      </c>
      <c r="C21" s="25" t="inlineStr">
        <is>
          <t>Volume de concreto estrutural: ver tabela.</t>
        </is>
      </c>
    </row>
    <row r="22">
      <c r="A22" s="14" t="inlineStr">
        <is>
          <t>Nota geral 6</t>
        </is>
      </c>
      <c r="B22" s="14" t="inlineStr">
        <is>
          <t>Junta de encontro (JE)</t>
        </is>
      </c>
      <c r="C22" s="14" t="inlineStr">
        <is>
          <t>Conforme o documento de pavimentação.</t>
        </is>
      </c>
    </row>
    <row r="23">
      <c r="A23" s="14" t="inlineStr">
        <is>
          <t>Nota geral 7</t>
        </is>
      </c>
      <c r="B23" s="14" t="inlineStr">
        <is>
          <t>Rebaixo da porta de limpeza</t>
        </is>
      </c>
      <c r="C23" s="25" t="inlineStr">
        <is>
          <t>O rebaixo no anel para fixação da porta de limpeza foi detalhado conforme as normas N-270 (pág. 31 / item 15 / pág. 48, tabela A.6), STD 650 (pág. 107, figura 5.13) e folha de dados.</t>
        </is>
      </c>
    </row>
    <row r="24">
      <c r="A24" s="14" t="inlineStr">
        <is>
          <t>Nota geral 8</t>
        </is>
      </c>
      <c r="B24" s="14" t="inlineStr">
        <is>
          <t>Reaterro compactado</t>
        </is>
      </c>
      <c r="C24" s="25" t="inlineStr">
        <is>
          <t>Reaterro compactado com materiais da própria escavação, descontando o material escavado da superficial (h ≈ 0,5 m), com compactação ≥ 98% PN, em camadas de no máximo 20 cm.</t>
        </is>
      </c>
    </row>
    <row r="25">
      <c r="A25" s="14" t="inlineStr">
        <is>
          <t>Nota geral 9</t>
        </is>
      </c>
      <c r="B25" s="14" t="inlineStr">
        <is>
          <t>Rachão</t>
        </is>
      </c>
      <c r="C25" s="25" t="inlineStr">
        <is>
          <t>Pedra britada de origem sã, limpa, isenta de materiais orgânicos, argila ou partículas friáveis; espalhado de maneira uniforme, evitando segregação; compactado por sucessivas passadas de rolo vibratório até camada estável, sem deslocamentos, afundamentos, bombeamento de finos ou deformações permanentes sob ação do equipamento.</t>
        </is>
      </c>
    </row>
    <row r="26">
      <c r="A26" s="14" t="inlineStr">
        <is>
          <t>Nota geral 10</t>
        </is>
      </c>
      <c r="B26" s="14" t="inlineStr">
        <is>
          <t>Bica corrida</t>
        </is>
      </c>
      <c r="C26" s="25" t="inlineStr">
        <is>
          <t>Proveniente de britagem de rocha, isenta de materiais orgânicos, torrões de argila ou contaminantes, com fração grossa de 19 mm a 38 mm e fração miúda de pó de pedra e pedrisco. Compactação com rolo vibratório até camada estável, com superfície firme.</t>
        </is>
      </c>
    </row>
    <row r="27">
      <c r="A27" s="14" t="inlineStr">
        <is>
          <t>Documento de referência</t>
        </is>
      </c>
      <c r="B27" s="14" t="inlineStr">
        <is>
          <t>Memória de cálculo</t>
        </is>
      </c>
      <c r="C27" s="25" t="inlineStr">
        <is>
          <t>MC-5400.00-6310-120-TX3-001 - Memória de cálculo de fundação - tanques de lubrificação (U-6310), conforme listado nesta prancha. Observe que a prancha de armaduras deste mesmo tanque cita a MC-5400.00-6312-120-TX3-004 - Memória de cálculo de fundação - tanque de UCO.</t>
        </is>
      </c>
    </row>
    <row r="28">
      <c r="A28" s="14" t="inlineStr">
        <is>
          <t>Documento de referência</t>
        </is>
      </c>
      <c r="B28" s="14" t="inlineStr">
        <is>
          <t>Arranjo</t>
        </is>
      </c>
      <c r="C28" s="25" t="inlineStr">
        <is>
          <t>DE-5400.00-6310-942-TX3-001 - Planta de arranjo - U-6310 parque de tanques de produtos acabados.</t>
        </is>
      </c>
    </row>
    <row r="29">
      <c r="A29" s="14" t="inlineStr">
        <is>
          <t>Documento de referência</t>
        </is>
      </c>
      <c r="B29" s="14" t="inlineStr">
        <is>
          <t>Geotecnia</t>
        </is>
      </c>
      <c r="C29" s="25" t="inlineStr">
        <is>
          <t>RL-5400.00-6310-115-TX3-001 - Relatório geotécnico.</t>
        </is>
      </c>
    </row>
    <row r="30">
      <c r="A30" s="14" t="inlineStr">
        <is>
          <t>Documento de referência</t>
        </is>
      </c>
      <c r="B30" s="14" t="inlineStr">
        <is>
          <t>Especificações</t>
        </is>
      </c>
      <c r="C30" s="25" t="inlineStr">
        <is>
          <t>ET-5400.00-6312-131-TX3-001 - Estruturas de concreto; ET-5400.00-6312-120-TX3-001 - Fundações.</t>
        </is>
      </c>
    </row>
    <row r="31">
      <c r="A31" s="14" t="inlineStr">
        <is>
          <t>Documento de referência</t>
        </is>
      </c>
      <c r="B31" s="14" t="inlineStr">
        <is>
          <t>Folha de dados</t>
        </is>
      </c>
      <c r="C31" s="25" t="inlineStr">
        <is>
          <t>FD-5400.00-6312-511-TX3-001 - Tanque de UCO - TQ-6312824.</t>
        </is>
      </c>
    </row>
    <row r="32">
      <c r="A32" s="14" t="inlineStr">
        <is>
          <t>Documento complementar</t>
        </is>
      </c>
      <c r="B32" s="14" t="inlineStr">
        <is>
          <t>Armaduras</t>
        </is>
      </c>
      <c r="C32" s="25" t="inlineStr">
        <is>
          <t>DE-5400.00-6312-120-TX3-002 - Desenho de fundação - tanque de UCO - TQ-6312824 - ARMADURAS.</t>
        </is>
      </c>
    </row>
    <row r="33">
      <c r="A33" s="14" t="inlineStr">
        <is>
          <t>Documento complementar</t>
        </is>
      </c>
      <c r="B33" s="14" t="inlineStr">
        <is>
          <t>Terraplenagem</t>
        </is>
      </c>
      <c r="C33" s="25" t="inlineStr">
        <is>
          <t>DE-5400.00-6310-113-TX3-003 (planta) e DE-5400.00-6310-113-TX3-004 (cortes) - terraplenagem de implantação, área dos tanques.</t>
        </is>
      </c>
    </row>
    <row r="34">
      <c r="A34" s="14" t="inlineStr">
        <is>
          <t>Pendência P1</t>
        </is>
      </c>
      <c r="B34" s="14" t="inlineStr">
        <is>
          <t>Cargas</t>
        </is>
      </c>
      <c r="C34" s="25" t="inlineStr">
        <is>
          <t>CI-6312-001 - Cargas de vento e chumbadores.</t>
        </is>
      </c>
    </row>
    <row r="35">
      <c r="A35" s="14" t="inlineStr">
        <is>
          <t>Pendência P2</t>
        </is>
      </c>
      <c r="B35" s="14" t="inlineStr">
        <is>
          <t>Arranjo geral</t>
        </is>
      </c>
      <c r="C35" s="25" t="inlineStr">
        <is>
          <t>CI-6312-003 - Emissão do arranjo geral de equipamentos.</t>
        </is>
      </c>
    </row>
  </sheetData>
  <mergeCells count="3">
    <mergeCell ref="A1:C1"/>
    <mergeCell ref="A3:C3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2" customWidth="1" min="4" max="4"/>
    <col width="11" customWidth="1" min="5" max="5"/>
    <col width="92" customWidth="1" min="6" max="6"/>
  </cols>
  <sheetData>
    <row r="1" ht="36" customHeight="1">
      <c r="A1" s="1" t="inlineStr">
        <is>
          <t>CONTROLES DE CONSISTÊNCIA</t>
        </is>
      </c>
    </row>
    <row r="2" ht="24" customHeight="1">
      <c r="A2" s="2" t="inlineStr">
        <is>
          <t>Fonte: prancha DE-5400.00-6312-120-TX3-001, Rev. 0 (07/08/2026) - Desenho de fundação, tanque de UCO TQ-6312824 - FORMAS</t>
        </is>
      </c>
    </row>
    <row r="3" ht="26" customHeight="1">
      <c r="A3" s="24" t="inlineStr">
        <is>
          <t>Conferência entre o quadro impresso e o produto quantidade unitária × número de tanques, além dos cruzamentos geométricos possíveis. Toda divergência está sinalizada.</t>
        </is>
      </c>
    </row>
    <row r="5" ht="30" customHeight="1">
      <c r="A5" s="13" t="inlineStr">
        <is>
          <t>Grupo</t>
        </is>
      </c>
      <c r="B5" s="13" t="inlineStr">
        <is>
          <t>Indicador</t>
        </is>
      </c>
      <c r="C5" s="13" t="inlineStr">
        <is>
          <t>Calculado</t>
        </is>
      </c>
      <c r="D5" s="13" t="inlineStr">
        <is>
          <t>Referência</t>
        </is>
      </c>
      <c r="E5" s="13" t="inlineStr">
        <is>
          <t>Desvio</t>
        </is>
      </c>
      <c r="F5" s="13" t="inlineStr">
        <is>
          <t>Critério / observação</t>
        </is>
      </c>
    </row>
    <row r="6">
      <c r="A6" s="14" t="inlineStr">
        <is>
          <t>Escopo do quadro</t>
        </is>
      </c>
      <c r="B6" s="14" t="inlineStr">
        <is>
          <t>Coluna de total (un)</t>
        </is>
      </c>
      <c r="C6" s="16" t="n">
        <v>1</v>
      </c>
      <c r="D6" s="16" t="n">
        <v>1</v>
      </c>
      <c r="E6" s="16" t="n">
        <v>0</v>
      </c>
      <c r="F6" s="25" t="inlineStr">
        <is>
          <t>A prancha atende uma única fundação e o quadro traz apenas a coluna '1 UN'. Não há, portanto, a conferência de multiplicação que existe nas pranchas de 4 tanques — os valores são adotados como estão.</t>
        </is>
      </c>
    </row>
    <row r="7">
      <c r="A7" s="14" t="inlineStr">
        <is>
          <t>Coerência interna</t>
        </is>
      </c>
      <c r="B7" s="14" t="inlineStr">
        <is>
          <t>Manta geotêxtil vs. geomembrana (m²)</t>
        </is>
      </c>
      <c r="C7" s="16" t="n">
        <v>1226</v>
      </c>
      <c r="D7" s="16" t="n">
        <v>1226</v>
      </c>
      <c r="E7" s="16" t="n">
        <v>0</v>
      </c>
      <c r="F7" s="25" t="inlineStr">
        <is>
          <t>A manta tem exatamente o dobro da área da geomembrana, coerente com a aplicação de uma camada acima e outra abaixo dela. Mesmo padrão da prancha TX3-059.</t>
        </is>
      </c>
    </row>
    <row r="8">
      <c r="A8" s="14" t="inlineStr">
        <is>
          <t>Coerência entre pranchas</t>
        </is>
      </c>
      <c r="B8" s="25" t="inlineStr">
        <is>
          <t>Desenvolvimento do eixo vs. prancha de armaduras (m)</t>
        </is>
      </c>
      <c r="C8" s="16" t="n">
        <v>89.84999999999999</v>
      </c>
      <c r="D8" s="16" t="n">
        <v>89.84999999999999</v>
      </c>
      <c r="E8" s="16" t="n">
        <v>-0</v>
      </c>
      <c r="F8" s="25" t="inlineStr">
        <is>
          <t>2π × R1430 = 89,847 m contra os 8985 cm cotados na FACE SUPERIOR E INFERIOR do 6312 TX3-002. As três elevações daquela prancha conferem com os raios R1397,5 / R1430 / R1462,5, descontado o cobrimento.</t>
        </is>
      </c>
    </row>
    <row r="9">
      <c r="A9" s="14" t="inlineStr">
        <is>
          <t>Coerência geométrica</t>
        </is>
      </c>
      <c r="B9" s="25" t="inlineStr">
        <is>
          <t>Anel corrente vs. concreto estrutural (m³)</t>
        </is>
      </c>
      <c r="C9" s="16" t="n">
        <v>87.59999999999999</v>
      </c>
      <c r="D9" s="16" t="n">
        <v>114</v>
      </c>
      <c r="E9" s="16" t="n">
        <v>-26.4</v>
      </c>
      <c r="F9" s="25" t="inlineStr">
        <is>
          <t>A seção corrente 0,65 × 1,50 m ao longo do eixo resulta em 87,60 m³, contra os 114,00 m³ declarados. A diferença de 26,40 m³ corresponde aos dois rebaixos e demais elementos fora da seção corrente. Verificação informativa, não uma divergência. Na prancha TX3-059, onde o anel é menor e há um único rebaixo, o mesmo cálculo fecha em 0,17%.</t>
        </is>
      </c>
    </row>
    <row r="10">
      <c r="A10" s="14" t="inlineStr">
        <is>
          <t>Coerência entre pranchas</t>
        </is>
      </c>
      <c r="B10" s="14" t="inlineStr">
        <is>
          <t>Taxa de armadura (kg/m³)</t>
        </is>
      </c>
      <c r="C10" s="16" t="n">
        <v>67.3</v>
      </c>
      <c r="D10" s="16" t="n">
        <v>67</v>
      </c>
      <c r="E10" s="16" t="n">
        <v>0.3</v>
      </c>
      <c r="F10" s="25" t="inlineStr">
        <is>
          <t>7.676,39 kg de aço (prancha 6312 TX3-002) sobre 114,00 m³ de concreto resultam em 67,3 kg/m³, praticamente igual aos 67,1 kg/m³ das fundações dos TQ-6310818. Consistência entre as duas famílias de fundação.</t>
        </is>
      </c>
    </row>
    <row r="11">
      <c r="A11" s="14" t="inlineStr">
        <is>
          <t>Observação</t>
        </is>
      </c>
      <c r="B11" s="14" t="inlineStr">
        <is>
          <t>Memória de cálculo citada</t>
        </is>
      </c>
      <c r="C11" s="16" t="n">
        <v>0</v>
      </c>
      <c r="D11" s="16" t="n">
        <v>0</v>
      </c>
      <c r="E11" s="16" t="n">
        <v>0</v>
      </c>
      <c r="F11" s="25" t="inlineStr">
        <is>
          <t>Esta prancha lista como documento de referência a MC-5400.00-6310-120-TX3-001 (tanques de lubrificação, U-6310), enquanto a prancha de armaduras do mesmo tanque cita a MC-5400.00-6312-120-TX3-004 (tanque de UCO). Vale confirmar qual memória rege esta fundação.</t>
        </is>
      </c>
    </row>
    <row r="12">
      <c r="A12" s="14" t="inlineStr">
        <is>
          <t>Escopo</t>
        </is>
      </c>
      <c r="B12" s="14" t="inlineStr">
        <is>
          <t>Armaduras</t>
        </is>
      </c>
      <c r="C12" s="16" t="n">
        <v>0</v>
      </c>
      <c r="D12" s="16" t="n">
        <v>0</v>
      </c>
      <c r="E12" s="16" t="n">
        <v>0</v>
      </c>
      <c r="F12" s="25" t="inlineStr">
        <is>
          <t>Esta prancha é de FORMAS. A armadura passiva está na prancha DE-5400.00-6312-120-TX3-002, com 7.676,39 kg de aço CA-50.</t>
        </is>
      </c>
    </row>
    <row r="13">
      <c r="A13" s="14" t="inlineStr">
        <is>
          <t>Escopo</t>
        </is>
      </c>
      <c r="B13" s="14" t="inlineStr">
        <is>
          <t>Perdas e empolamento</t>
        </is>
      </c>
      <c r="C13" s="16" t="n">
        <v>0</v>
      </c>
      <c r="D13" s="16" t="n">
        <v>0</v>
      </c>
      <c r="E13" s="16" t="n">
        <v>0</v>
      </c>
      <c r="F13" s="25" t="inlineStr">
        <is>
          <t>Os quantitativos são os do quadro do desenho. Não há acréscimo de perdas, empolamento de escavação ou fator de compactação.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 ht="36" customHeight="1">
      <c r="A1" s="1" t="inlineStr">
        <is>
          <t>LEIA-ME - QUANTITATIVO DE FORMAS</t>
        </is>
      </c>
    </row>
    <row r="2" ht="24" customHeight="1">
      <c r="A2" s="2" t="inlineStr">
        <is>
          <t>Fonte: prancha DE-5400.00-6312-120-TX3-001, Rev. 0 (07/08/2026) - Desenho de fundação, tanque de UCO TQ-6312824 - FORMAS</t>
        </is>
      </c>
    </row>
    <row r="5" ht="30" customHeight="1">
      <c r="A5" s="13" t="inlineStr">
        <is>
          <t>Tópico</t>
        </is>
      </c>
      <c r="B5" s="13" t="inlineStr">
        <is>
          <t>Conteúdo</t>
        </is>
      </c>
    </row>
    <row r="6" ht="58" customHeight="1">
      <c r="A6" s="25" t="inlineStr">
        <is>
          <t>Objetivo</t>
        </is>
      </c>
      <c r="B6" s="25" t="inlineStr">
        <is>
          <t>Consolidar o quantitativo de materiais da prancha DE-5400.00-6312-120-TX3-001 (formas, concreto, grout, terraplenagem, impermeabilização e drenagem da fundação do tanque de UCO TQ-6312824), com painel gerencial e abas de auditoria.</t>
        </is>
      </c>
    </row>
    <row r="7" ht="58" customHeight="1">
      <c r="A7" s="25" t="inlineStr">
        <is>
          <t>Fonte primária</t>
        </is>
      </c>
      <c r="B7" s="25" t="inlineStr">
        <is>
          <t>Quadro QUANTITATIVO TOTAL da própria prancha, complementado pelas cotas da planta de formas, do corte A-A, dos detalhes 1 e 2 e das notas gerais.</t>
        </is>
      </c>
    </row>
    <row r="8" ht="58" customHeight="1">
      <c r="A8" s="25" t="inlineStr">
        <is>
          <t>Fundação única</t>
        </is>
      </c>
      <c r="B8" s="25" t="inlineStr">
        <is>
          <t>A prancha atende uma única fundação e o quadro traz apenas a coluna '1 UN', sem coluna de total. Não há, portanto, a conferência de multiplicação que a prancha TX3-059 permite.</t>
        </is>
      </c>
    </row>
    <row r="9" ht="58" customHeight="1">
      <c r="A9" s="25" t="inlineStr">
        <is>
          <t>Verificações possíveis</t>
        </is>
      </c>
      <c r="B9" s="25" t="inlineStr">
        <is>
          <t>Na ausência daquela conferência, a auditoria se apoia em três cruzamentos: a manta geotêxtil vale exatamente o dobro da geomembrana; o desenvolvimento do eixo (2π × R1430 = 89,85 m) confere com a cota da prancha de armaduras; e a taxa de armadura resultante (67,3 kg/m³) praticamente coincide com a das fundações dos TQ-6310818 (67,1 kg/m³).</t>
        </is>
      </c>
    </row>
    <row r="10" ht="58" customHeight="1">
      <c r="A10" s="25" t="inlineStr">
        <is>
          <t>Ponto de atenção</t>
        </is>
      </c>
      <c r="B10" s="25" t="inlineStr">
        <is>
          <t>Esta prancha lista como memória de cálculo a MC-5400.00-6310-120-TX3-001 (tanques de lubrificação, U-6310), enquanto a prancha de armaduras do mesmo tanque cita a MC-5400.00-6312-120-TX3-004 (tanque de UCO). Vale confirmar qual documento rege esta fundação.</t>
        </is>
      </c>
    </row>
    <row r="11" ht="58" customHeight="1">
      <c r="A11" s="25" t="inlineStr">
        <is>
          <t>Como usar</t>
        </is>
      </c>
      <c r="B11" s="25" t="inlineStr">
        <is>
          <t>Comece pelo Dashboard Executivo. Para auditoria, use Quantitativo Total (transcrição integral) e Resumo por Grupo. Camadas e Materiais descreve a composição do berço na ordem de execução; Geometria e Seções e Parâmetros Técnicos guardam cotas, elevações, locação e carimbo.</t>
        </is>
      </c>
    </row>
    <row r="12" ht="58" customHeight="1">
      <c r="A12" s="25" t="inlineStr">
        <is>
          <t>Unidades</t>
        </is>
      </c>
      <c r="B12" s="25" t="inlineStr">
        <is>
          <t>m = metro; m² = metro quadrado; m³ = metro cúbico; un = unidade; cm = centímetro; EL. = elevação em metro.</t>
        </is>
      </c>
    </row>
    <row r="13" ht="58" customHeight="1">
      <c r="A13" s="25" t="inlineStr">
        <is>
          <t>Agregação</t>
        </is>
      </c>
      <c r="B13" s="25" t="inlineStr">
        <is>
          <t>Volumes (m³), áreas (m²) e unidades (un) são somados separadamente nas abas de resumo, pois não se agregam entre si. O cartão 'ÁREA TOTAL DE SERVIÇOS' soma apenas as linhas em m².</t>
        </is>
      </c>
    </row>
    <row r="14" ht="58" customHeight="1">
      <c r="A14" s="25" t="inlineStr">
        <is>
          <t>Perdas</t>
        </is>
      </c>
      <c r="B14" s="25" t="inlineStr">
        <is>
          <t>Os números são os do quadro do desenho. Nenhuma taxa de perda, empolamento ou fator de compactação foi acrescida.</t>
        </is>
      </c>
    </row>
    <row r="15" ht="58" customHeight="1">
      <c r="A15" s="25" t="inlineStr">
        <is>
          <t>Limite de uso</t>
        </is>
      </c>
      <c r="B15" s="25" t="inlineStr">
        <is>
          <t>Levantamento para planejamento, orçamento e controle. Qualquer uso para execução ou compra deve ser submetido à validação do responsável técnico do projeto.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2026-09-01T10:45:58Z</dcterms:created>
  <dcterms:modified xsi:type="dcterms:W3CDTF">2026-09-01T10:45:58Z</dcterms:modified>
</cp:coreProperties>
</file>