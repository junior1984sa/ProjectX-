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" sheetId="1" state="visible" r:id="rId1"/>
    <sheet name="IMPORTAÇÃO" sheetId="2" state="visible" r:id="rId2"/>
    <sheet name="CONTROLE DE REVIS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4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" fontId="6" fillId="0" borderId="1" pivotButton="0" quotePrefix="0" xfId="0"/>
    <xf numFmtId="0" fontId="6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4" fontId="4" fillId="0" borderId="1" pivotButton="0" quotePrefix="0" xfId="0"/>
    <xf numFmtId="4" fontId="4" fillId="4" borderId="0" pivotButton="0" quotePrefix="0" xfId="0"/>
    <xf numFmtId="0" fontId="4" fillId="0" borderId="1" pivotButton="0" quotePrefix="0" xfId="0"/>
    <xf numFmtId="4" fontId="5" fillId="0" borderId="1" pivotButton="0" quotePrefix="0" xfId="0"/>
    <xf numFmtId="166" fontId="5" fillId="0" borderId="1" pivotButton="0" quotePrefix="0" xfId="0"/>
    <xf numFmtId="4" fontId="4" fillId="4" borderId="1" pivotButton="0" quotePrefix="0" xfId="0"/>
    <xf numFmtId="166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0" customWidth="1" min="4" max="4"/>
    <col width="66" customWidth="1" min="5" max="5"/>
    <col width="15" customWidth="1" min="6" max="6"/>
  </cols>
  <sheetData>
    <row r="1">
      <c r="A1" s="1" t="inlineStr">
        <is>
          <t>PARÂMETROS DE CÁLCULO DA QUANTIDADE DAS FICHAS DE TAREFA</t>
        </is>
      </c>
    </row>
    <row r="2">
      <c r="A2" s="2" t="inlineStr">
        <is>
          <t>Origem: MC-TERRAPLANAGEM_U-6310_U-6312_Rev0.xlsx — abas QUANT-LINHA e DISTRIB-FT</t>
        </is>
      </c>
    </row>
    <row r="4">
      <c r="A4" s="3" t="inlineStr">
        <is>
          <t>Item</t>
        </is>
      </c>
      <c r="B4" s="3" t="inlineStr">
        <is>
          <t>Parâmetro</t>
        </is>
      </c>
      <c r="C4" s="3" t="inlineStr">
        <is>
          <t>Valor</t>
        </is>
      </c>
      <c r="D4" s="3" t="inlineStr">
        <is>
          <t>Unid.</t>
        </is>
      </c>
      <c r="E4" s="3" t="inlineStr">
        <is>
          <t>Observação</t>
        </is>
      </c>
    </row>
    <row r="5" ht="26" customHeight="1">
      <c r="A5" s="4" t="inlineStr">
        <is>
          <t>1</t>
        </is>
      </c>
      <c r="B5" s="5" t="inlineStr">
        <is>
          <t>Fator de empolamento (corte → solto)</t>
        </is>
      </c>
      <c r="C5" s="6" t="n">
        <v>1.4</v>
      </c>
      <c r="D5" s="7" t="inlineStr">
        <is>
          <t>—</t>
        </is>
      </c>
      <c r="E5" s="8" t="inlineStr">
        <is>
          <t>Fator vigente na planilha original. Confirmar por ensaio / ET-5400.00-6310-113-TX3-001 antes da medição.</t>
        </is>
      </c>
    </row>
    <row r="6" ht="26" customHeight="1">
      <c r="A6" s="4" t="inlineStr">
        <is>
          <t>2</t>
        </is>
      </c>
      <c r="B6" s="5" t="inlineStr">
        <is>
          <t>Cota de limpeza do terreno</t>
        </is>
      </c>
      <c r="C6" s="6" t="n">
        <v>19</v>
      </c>
      <c r="D6" s="7" t="inlineStr">
        <is>
          <t>m</t>
        </is>
      </c>
      <c r="E6" s="8" t="inlineStr">
        <is>
          <t>Nota da tabela de quantitativos e Nota 7 dos cortes.</t>
        </is>
      </c>
    </row>
    <row r="7" ht="26" customHeight="1">
      <c r="A7" s="4" t="inlineStr">
        <is>
          <t>3</t>
        </is>
      </c>
      <c r="B7" s="5" t="inlineStr">
        <is>
          <t>Cota do greide de projeto sob o tanque</t>
        </is>
      </c>
      <c r="C7" s="6" t="n">
        <v>17.5</v>
      </c>
      <c r="D7" s="7" t="inlineStr">
        <is>
          <t>m</t>
        </is>
      </c>
      <c r="E7" s="8" t="inlineStr">
        <is>
          <t>'GREIDE DE PROJETO EL.17,50' — cortes A-A a E-E.</t>
        </is>
      </c>
    </row>
    <row r="8" ht="26" customHeight="1">
      <c r="A8" s="4" t="inlineStr">
        <is>
          <t>4</t>
        </is>
      </c>
      <c r="B8" s="5" t="inlineStr">
        <is>
          <t>Profundidade de escavação</t>
        </is>
      </c>
      <c r="C8" s="6" t="n">
        <v>1.5</v>
      </c>
      <c r="D8" s="7" t="inlineStr">
        <is>
          <t>m</t>
        </is>
      </c>
      <c r="E8" s="8" t="inlineStr">
        <is>
          <t>Calculado: Item 2 − Item 3. Coerente com a Nota 4 do desenho.</t>
        </is>
      </c>
    </row>
    <row r="10">
      <c r="B10" s="9" t="inlineStr">
        <is>
          <t>CORTE GEOMÉTRICO POR LINHA DE TANQUES — TABELA DO DESENHO DE-5400.00-6310-113-TX3-003 rev.0</t>
        </is>
      </c>
    </row>
    <row r="11">
      <c r="A11" s="10" t="inlineStr">
        <is>
          <t>Linha</t>
        </is>
      </c>
      <c r="B11" s="10" t="inlineStr">
        <is>
          <t>Local</t>
        </is>
      </c>
      <c r="C11" s="10" t="inlineStr">
        <is>
          <t>CORTE (m³)</t>
        </is>
      </c>
      <c r="D11" s="10" t="inlineStr">
        <is>
          <t>REATERRO (m³)</t>
        </is>
      </c>
      <c r="E11" s="10" t="inlineStr">
        <is>
          <t>Nº de tanques</t>
        </is>
      </c>
      <c r="F11" s="10" t="inlineStr">
        <is>
          <t>Tanques por FT</t>
        </is>
      </c>
    </row>
    <row r="12">
      <c r="A12" s="4" t="inlineStr">
        <is>
          <t>816</t>
        </is>
      </c>
      <c r="B12" s="5" t="inlineStr">
        <is>
          <t>TQ-6310816A ATÉ TQ-6310816D E BACIAS</t>
        </is>
      </c>
      <c r="C12" s="11" t="n">
        <v>4100.16</v>
      </c>
      <c r="D12" s="11" t="n">
        <v>3945.84</v>
      </c>
      <c r="E12" s="12" t="n">
        <v>4</v>
      </c>
      <c r="F12" s="12" t="n">
        <v>2</v>
      </c>
    </row>
    <row r="13">
      <c r="A13" s="4" t="inlineStr">
        <is>
          <t>817</t>
        </is>
      </c>
      <c r="B13" s="5" t="inlineStr">
        <is>
          <t>TQ-6310817A ATÉ TQ-6310817D E BACIAS</t>
        </is>
      </c>
      <c r="C13" s="11" t="n">
        <v>4130.06</v>
      </c>
      <c r="D13" s="11" t="n">
        <v>3947.5</v>
      </c>
      <c r="E13" s="12" t="n">
        <v>4</v>
      </c>
      <c r="F13" s="12" t="n">
        <v>2</v>
      </c>
    </row>
    <row r="14">
      <c r="A14" s="4" t="inlineStr">
        <is>
          <t>818</t>
        </is>
      </c>
      <c r="B14" s="5" t="inlineStr">
        <is>
          <t>TQ-6310818A ATÉ TQ-6310818D E BACIAS</t>
        </is>
      </c>
      <c r="C14" s="11" t="n">
        <v>3599.36</v>
      </c>
      <c r="D14" s="11" t="n">
        <v>3455.05</v>
      </c>
      <c r="E14" s="12" t="n">
        <v>4</v>
      </c>
      <c r="F14" s="12" t="n">
        <v>2</v>
      </c>
    </row>
    <row r="15">
      <c r="A15" s="4" t="inlineStr">
        <is>
          <t>815</t>
        </is>
      </c>
      <c r="B15" s="5" t="inlineStr">
        <is>
          <t>TQ-6310815A ATÉ TQ-6310815D E BACIAS</t>
        </is>
      </c>
      <c r="C15" s="11" t="n">
        <v>2649.19</v>
      </c>
      <c r="D15" s="11" t="n">
        <v>2492.22</v>
      </c>
      <c r="E15" s="12" t="n">
        <v>4</v>
      </c>
      <c r="F15" s="12" t="n">
        <v>2</v>
      </c>
    </row>
    <row r="16">
      <c r="A16" s="4" t="inlineStr">
        <is>
          <t>824</t>
        </is>
      </c>
      <c r="B16" s="5" t="inlineStr">
        <is>
          <t>TQ-6312824 E BACIA</t>
        </is>
      </c>
      <c r="C16" s="11" t="n">
        <v>2789.14</v>
      </c>
      <c r="D16" s="11" t="n">
        <v>1756.44</v>
      </c>
      <c r="E16" s="12" t="n">
        <v>2</v>
      </c>
      <c r="F16" s="12" t="n">
        <v>1</v>
      </c>
    </row>
    <row r="18">
      <c r="B18" s="2" t="inlineStr">
        <is>
          <t>Quantidade da FT = CORTE da linha × (tanques da FT ÷ nº de tanques da linha) × fator de empolamento.</t>
        </is>
      </c>
    </row>
    <row r="19">
      <c r="B19" s="2" t="inlineStr">
        <is>
          <t>Para o TQ-6312824 (tanque único dividido em 2 FTs), a fração é 1/2 do corte da linha.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9" customWidth="1" min="3" max="3"/>
    <col width="7" customWidth="1" min="4" max="4"/>
    <col width="13" customWidth="1" min="5" max="5"/>
    <col width="14" customWidth="1" min="6" max="6"/>
    <col width="9" customWidth="1" min="7" max="7"/>
    <col width="20" customWidth="1" min="8" max="8"/>
    <col width="13" customWidth="1" min="9" max="9"/>
    <col width="7" customWidth="1" min="10" max="10"/>
    <col width="60" customWidth="1" min="11" max="11"/>
    <col width="15" customWidth="1" min="12" max="12"/>
    <col width="48" customWidth="1" min="13" max="13"/>
    <col width="30" customWidth="1" min="14" max="14"/>
    <col width="11" customWidth="1" min="15" max="15"/>
    <col width="9" customWidth="1" min="16" max="16"/>
    <col width="10" customWidth="1" min="17" max="17"/>
    <col width="13" customWidth="1" min="18" max="18"/>
    <col width="46" customWidth="1" min="19" max="19"/>
    <col width="13" customWidth="1" min="20" max="20"/>
    <col width="13" customWidth="1" min="21" max="21"/>
    <col width="13" customWidth="1" min="22" max="22"/>
    <col width="16" customWidth="1" min="23" max="23"/>
    <col width="13" customWidth="1" min="24" max="24"/>
    <col width="11" customWidth="1" min="25" max="25"/>
  </cols>
  <sheetData>
    <row r="1" ht="34" customHeight="1">
      <c r="A1" s="10" t="inlineStr">
        <is>
          <t>Tag | Componente Rastreavel</t>
        </is>
      </c>
      <c r="B1" s="10" t="inlineStr">
        <is>
          <t>Descricao Tag</t>
        </is>
      </c>
      <c r="C1" s="10" t="inlineStr">
        <is>
          <t>Disciplina</t>
        </is>
      </c>
      <c r="D1" s="10" t="inlineStr">
        <is>
          <t>SSOP</t>
        </is>
      </c>
      <c r="E1" s="10" t="inlineStr">
        <is>
          <t>Chave Importacao</t>
        </is>
      </c>
      <c r="F1" s="10" t="inlineStr">
        <is>
          <t>Data Programada</t>
        </is>
      </c>
      <c r="G1" s="10" t="inlineStr">
        <is>
          <t>Area</t>
        </is>
      </c>
      <c r="H1" s="10" t="inlineStr">
        <is>
          <t>Codigo Primavera</t>
        </is>
      </c>
      <c r="I1" s="10" t="inlineStr">
        <is>
          <t>Quantidade</t>
        </is>
      </c>
      <c r="J1" s="10" t="inlineStr">
        <is>
          <t>Unidade</t>
        </is>
      </c>
      <c r="K1" s="10" t="inlineStr">
        <is>
          <t>Observacoes</t>
        </is>
      </c>
      <c r="L1" s="10" t="inlineStr">
        <is>
          <t>Responsavel Inspetor</t>
        </is>
      </c>
      <c r="M1" s="10" t="inlineStr">
        <is>
          <t>Descricao Do Escopo</t>
        </is>
      </c>
      <c r="N1" s="10" t="inlineStr">
        <is>
          <t>Documento De Referencia</t>
        </is>
      </c>
      <c r="O1" s="10" t="inlineStr">
        <is>
          <t>Tipo De Folha</t>
        </is>
      </c>
      <c r="P1" s="10" t="inlineStr">
        <is>
          <t>Total HH</t>
        </is>
      </c>
      <c r="Q1" s="10" t="inlineStr">
        <is>
          <t>Item PPU</t>
        </is>
      </c>
      <c r="R1" s="10" t="inlineStr">
        <is>
          <t>Responsavel Setor</t>
        </is>
      </c>
      <c r="S1" s="10" t="inlineStr">
        <is>
          <t>Atividades</t>
        </is>
      </c>
      <c r="T1" s="10" t="inlineStr">
        <is>
          <t>Data Conclusao</t>
        </is>
      </c>
      <c r="U1" s="10" t="inlineStr">
        <is>
          <t>Numero Pontos Componente</t>
        </is>
      </c>
      <c r="V1" s="10" t="inlineStr">
        <is>
          <t>Pastas De Teste</t>
        </is>
      </c>
      <c r="W1" s="10" t="inlineStr">
        <is>
          <t>Pla Fto Nm Fto Referencia</t>
        </is>
      </c>
      <c r="X1" s="10" t="inlineStr">
        <is>
          <t>Total pontod FTO</t>
        </is>
      </c>
      <c r="Y1" s="10" t="inlineStr">
        <is>
          <t>Tipo Atividade</t>
        </is>
      </c>
    </row>
    <row r="2">
      <c r="A2" s="5" t="inlineStr">
        <is>
          <t>TQ-6310816D/C</t>
        </is>
      </c>
      <c r="B2" s="5" t="inlineStr">
        <is>
          <t>TERRAPLANAGEM DE IMPLANTAÇÃO</t>
        </is>
      </c>
      <c r="C2" s="5" t="inlineStr">
        <is>
          <t>CIVIL</t>
        </is>
      </c>
      <c r="D2" s="5" t="inlineStr">
        <is>
          <t>N/A</t>
        </is>
      </c>
      <c r="E2" s="5" t="inlineStr">
        <is>
          <t>FT-CV-2619</t>
        </is>
      </c>
      <c r="F2" s="13" t="n">
        <v>46262</v>
      </c>
      <c r="G2" s="5" t="inlineStr">
        <is>
          <t>U6310</t>
        </is>
      </c>
      <c r="H2" s="5" t="inlineStr">
        <is>
          <t>U6310-C-610246000</t>
        </is>
      </c>
      <c r="I2" s="14">
        <f>PARÂMETROS!$C$12*(PARÂMETROS!$F$12/PARÂMETROS!$E$12)*PARÂMETROS!$C$5</f>
        <v/>
      </c>
      <c r="J2" s="5" t="inlineStr">
        <is>
          <t>M³</t>
        </is>
      </c>
      <c r="K2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2" s="5" t="inlineStr">
        <is>
          <t>brener.cabral</t>
        </is>
      </c>
      <c r="M2" s="5" t="inlineStr">
        <is>
          <t>EXECUÇÃO DA TERRAPLANAGEM NO PÁTIO DE TANCAGEM U-6310</t>
        </is>
      </c>
      <c r="N2" s="5" t="inlineStr">
        <is>
          <t>DE-5400.00-6310-113-TX3-003</t>
        </is>
      </c>
      <c r="O2" s="5" t="inlineStr">
        <is>
          <t>EXEC</t>
        </is>
      </c>
      <c r="P2" s="5" t="n"/>
      <c r="Q2" s="5" t="n"/>
      <c r="R2" s="5" t="inlineStr">
        <is>
          <t>PRODUCAO</t>
        </is>
      </c>
      <c r="S2" s="5" t="inlineStr">
        <is>
          <t>001-CORTE;002-TROCA DE SOLO;003-ATERRO;004-COMPACTAÇÃO</t>
        </is>
      </c>
      <c r="T2" s="5" t="n"/>
      <c r="U2" s="5" t="n"/>
      <c r="V2" s="5" t="n"/>
      <c r="W2" s="5" t="n"/>
      <c r="X2" s="5" t="n"/>
      <c r="Y2" s="5" t="inlineStr">
        <is>
          <t>N/A</t>
        </is>
      </c>
    </row>
    <row r="3">
      <c r="A3" s="5" t="inlineStr">
        <is>
          <t>TQ-6310816B/A</t>
        </is>
      </c>
      <c r="B3" s="5" t="inlineStr">
        <is>
          <t>TERRAPLANAGEM DE IMPLANTAÇÃO</t>
        </is>
      </c>
      <c r="C3" s="5" t="inlineStr">
        <is>
          <t>CIVIL</t>
        </is>
      </c>
      <c r="D3" s="5" t="inlineStr">
        <is>
          <t>N/A</t>
        </is>
      </c>
      <c r="E3" s="5" t="inlineStr">
        <is>
          <t>FT-CV-2620</t>
        </is>
      </c>
      <c r="F3" s="13" t="n">
        <v>46269</v>
      </c>
      <c r="G3" s="5" t="inlineStr">
        <is>
          <t>U6310</t>
        </is>
      </c>
      <c r="H3" s="5" t="inlineStr">
        <is>
          <t>U6310-C-610246000</t>
        </is>
      </c>
      <c r="I3" s="14">
        <f>PARÂMETROS!$C$12*(PARÂMETROS!$F$12/PARÂMETROS!$E$12)*PARÂMETROS!$C$5</f>
        <v/>
      </c>
      <c r="J3" s="5" t="inlineStr">
        <is>
          <t>M³</t>
        </is>
      </c>
      <c r="K3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3" s="5" t="inlineStr">
        <is>
          <t>brener.cabral</t>
        </is>
      </c>
      <c r="M3" s="5" t="inlineStr">
        <is>
          <t>EXECUÇÃO DA TERRAPLANAGEM NO PÁTIO DE TANCAGEM U-6310</t>
        </is>
      </c>
      <c r="N3" s="5" t="inlineStr">
        <is>
          <t>DE-5400.00-6310-113-TX3-003</t>
        </is>
      </c>
      <c r="O3" s="5" t="inlineStr">
        <is>
          <t>EXEC</t>
        </is>
      </c>
      <c r="P3" s="5" t="n"/>
      <c r="Q3" s="5" t="n"/>
      <c r="R3" s="5" t="inlineStr">
        <is>
          <t>PRODUCAO</t>
        </is>
      </c>
      <c r="S3" s="5" t="inlineStr">
        <is>
          <t>001-CORTE;002-TROCA DE SOLO;003-ATERRO;004-COMPACTAÇÃO</t>
        </is>
      </c>
      <c r="T3" s="5" t="n"/>
      <c r="U3" s="5" t="n"/>
      <c r="V3" s="5" t="n"/>
      <c r="W3" s="5" t="n"/>
      <c r="X3" s="5" t="n"/>
      <c r="Y3" s="5" t="inlineStr">
        <is>
          <t>N/A</t>
        </is>
      </c>
    </row>
    <row r="4">
      <c r="A4" s="5" t="inlineStr">
        <is>
          <t>TQ-6310817D/C</t>
        </is>
      </c>
      <c r="B4" s="5" t="inlineStr">
        <is>
          <t>TERRAPLANAGEM DE IMPLANTAÇÃO</t>
        </is>
      </c>
      <c r="C4" s="5" t="inlineStr">
        <is>
          <t>CIVIL</t>
        </is>
      </c>
      <c r="D4" s="5" t="inlineStr">
        <is>
          <t>N/A</t>
        </is>
      </c>
      <c r="E4" s="5" t="inlineStr">
        <is>
          <t>FT-CV-2621</t>
        </is>
      </c>
      <c r="F4" s="13" t="n">
        <v>46276</v>
      </c>
      <c r="G4" s="5" t="inlineStr">
        <is>
          <t>U6310</t>
        </is>
      </c>
      <c r="H4" s="5" t="inlineStr">
        <is>
          <t>U6310-C-610250000</t>
        </is>
      </c>
      <c r="I4" s="14">
        <f>PARÂMETROS!$C$13*(PARÂMETROS!$F$13/PARÂMETROS!$E$13)*PARÂMETROS!$C$5</f>
        <v/>
      </c>
      <c r="J4" s="5" t="inlineStr">
        <is>
          <t>M³</t>
        </is>
      </c>
      <c r="K4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4" s="5" t="inlineStr">
        <is>
          <t>brener.cabral</t>
        </is>
      </c>
      <c r="M4" s="5" t="inlineStr">
        <is>
          <t>EXECUÇÃO DA TERRAPLANAGEM NO PÁTIO DE TANCAGEM U-6310</t>
        </is>
      </c>
      <c r="N4" s="5" t="inlineStr">
        <is>
          <t>DE-5400.00-6310-113-TX3-003</t>
        </is>
      </c>
      <c r="O4" s="5" t="inlineStr">
        <is>
          <t>EXEC</t>
        </is>
      </c>
      <c r="P4" s="5" t="n"/>
      <c r="Q4" s="5" t="n"/>
      <c r="R4" s="5" t="inlineStr">
        <is>
          <t>PRODUCAO</t>
        </is>
      </c>
      <c r="S4" s="5" t="inlineStr">
        <is>
          <t>001-CORTE;002-TROCA DE SOLO;003-ATERRO;004-COMPACTAÇÃO</t>
        </is>
      </c>
      <c r="T4" s="5" t="n"/>
      <c r="U4" s="5" t="n"/>
      <c r="V4" s="5" t="n"/>
      <c r="W4" s="5" t="n"/>
      <c r="X4" s="5" t="n"/>
      <c r="Y4" s="5" t="inlineStr">
        <is>
          <t>N/A</t>
        </is>
      </c>
    </row>
    <row r="5">
      <c r="A5" s="5" t="inlineStr">
        <is>
          <t>TQ-6310817B/A</t>
        </is>
      </c>
      <c r="B5" s="5" t="inlineStr">
        <is>
          <t>TERRAPLANAGEM DE IMPLANTAÇÃO</t>
        </is>
      </c>
      <c r="C5" s="5" t="inlineStr">
        <is>
          <t>CIVIL</t>
        </is>
      </c>
      <c r="D5" s="5" t="inlineStr">
        <is>
          <t>N/A</t>
        </is>
      </c>
      <c r="E5" s="5" t="inlineStr">
        <is>
          <t>FT-CV-2622</t>
        </is>
      </c>
      <c r="F5" s="13" t="n">
        <v>46283</v>
      </c>
      <c r="G5" s="5" t="inlineStr">
        <is>
          <t>U6310</t>
        </is>
      </c>
      <c r="H5" s="5" t="inlineStr">
        <is>
          <t>U6310-C-610250000</t>
        </is>
      </c>
      <c r="I5" s="14">
        <f>PARÂMETROS!$C$13*(PARÂMETROS!$F$13/PARÂMETROS!$E$13)*PARÂMETROS!$C$5</f>
        <v/>
      </c>
      <c r="J5" s="5" t="inlineStr">
        <is>
          <t>M³</t>
        </is>
      </c>
      <c r="K5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5" s="5" t="inlineStr">
        <is>
          <t>brener.cabral</t>
        </is>
      </c>
      <c r="M5" s="5" t="inlineStr">
        <is>
          <t>EXECUÇÃO DA TERRAPLANAGEM NO PÁTIO DE TANCAGEM U-6310</t>
        </is>
      </c>
      <c r="N5" s="5" t="inlineStr">
        <is>
          <t>DE-5400.00-6310-113-TX3-003</t>
        </is>
      </c>
      <c r="O5" s="5" t="inlineStr">
        <is>
          <t>EXEC</t>
        </is>
      </c>
      <c r="P5" s="5" t="n"/>
      <c r="Q5" s="5" t="n"/>
      <c r="R5" s="5" t="inlineStr">
        <is>
          <t>PRODUCAO</t>
        </is>
      </c>
      <c r="S5" s="5" t="inlineStr">
        <is>
          <t>001-CORTE;002-TROCA DE SOLO;003-ATERRO;004-COMPACTAÇÃO</t>
        </is>
      </c>
      <c r="T5" s="5" t="n"/>
      <c r="U5" s="5" t="n"/>
      <c r="V5" s="5" t="n"/>
      <c r="W5" s="5" t="n"/>
      <c r="X5" s="5" t="n"/>
      <c r="Y5" s="5" t="inlineStr">
        <is>
          <t>N/A</t>
        </is>
      </c>
    </row>
    <row r="6">
      <c r="A6" s="5" t="inlineStr">
        <is>
          <t>TQ-6312824_1</t>
        </is>
      </c>
      <c r="B6" s="5" t="inlineStr">
        <is>
          <t>TERRAPLANAGEM DE IMPLANTAÇÃO</t>
        </is>
      </c>
      <c r="C6" s="5" t="inlineStr">
        <is>
          <t>CIVIL</t>
        </is>
      </c>
      <c r="D6" s="5" t="inlineStr">
        <is>
          <t>N/A</t>
        </is>
      </c>
      <c r="E6" s="5" t="inlineStr">
        <is>
          <t>FT-CV-2623</t>
        </is>
      </c>
      <c r="F6" s="13" t="n">
        <v>46290</v>
      </c>
      <c r="G6" s="5" t="inlineStr">
        <is>
          <t>U6312</t>
        </is>
      </c>
      <c r="H6" s="5" t="inlineStr">
        <is>
          <t>U6312-C-710073000</t>
        </is>
      </c>
      <c r="I6" s="14">
        <f>PARÂMETROS!$C$16*(PARÂMETROS!$F$16/PARÂMETROS!$E$16)*PARÂMETROS!$C$5</f>
        <v/>
      </c>
      <c r="J6" s="5" t="inlineStr">
        <is>
          <t>M³</t>
        </is>
      </c>
      <c r="K6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6" s="5" t="inlineStr">
        <is>
          <t>brener.cabral</t>
        </is>
      </c>
      <c r="M6" s="5" t="inlineStr">
        <is>
          <t>EXECUÇÃO DA TERRAPLANAGEM NO PÁTIO DE TANCAGEM U-6312</t>
        </is>
      </c>
      <c r="N6" s="5" t="inlineStr">
        <is>
          <t>DE-5400.00-6310-113-TX3-003</t>
        </is>
      </c>
      <c r="O6" s="5" t="inlineStr">
        <is>
          <t>EXEC</t>
        </is>
      </c>
      <c r="P6" s="5" t="n"/>
      <c r="Q6" s="5" t="n"/>
      <c r="R6" s="5" t="inlineStr">
        <is>
          <t>PRODUCAO</t>
        </is>
      </c>
      <c r="S6" s="5" t="inlineStr">
        <is>
          <t>001-CORTE;002-TROCA DE SOLO;003-ATERRO;004-COMPACTAÇÃO</t>
        </is>
      </c>
      <c r="T6" s="5" t="n"/>
      <c r="U6" s="5" t="n"/>
      <c r="V6" s="5" t="n"/>
      <c r="W6" s="5" t="n"/>
      <c r="X6" s="5" t="n"/>
      <c r="Y6" s="5" t="inlineStr">
        <is>
          <t>N/A</t>
        </is>
      </c>
    </row>
    <row r="7">
      <c r="A7" s="5" t="inlineStr">
        <is>
          <t>TQ-6312824_2</t>
        </is>
      </c>
      <c r="B7" s="5" t="inlineStr">
        <is>
          <t>TERRAPLANAGEM DE IMPLANTAÇÃO</t>
        </is>
      </c>
      <c r="C7" s="5" t="inlineStr">
        <is>
          <t>CIVIL</t>
        </is>
      </c>
      <c r="D7" s="5" t="inlineStr">
        <is>
          <t>N/A</t>
        </is>
      </c>
      <c r="E7" s="5" t="inlineStr">
        <is>
          <t>FT-CV-2624</t>
        </is>
      </c>
      <c r="F7" s="13" t="n">
        <v>46297</v>
      </c>
      <c r="G7" s="5" t="inlineStr">
        <is>
          <t>U6312</t>
        </is>
      </c>
      <c r="H7" s="5" t="inlineStr">
        <is>
          <t>U6312-C-710073000</t>
        </is>
      </c>
      <c r="I7" s="14">
        <f>PARÂMETROS!$C$16*(PARÂMETROS!$F$16/PARÂMETROS!$E$16)*PARÂMETROS!$C$5</f>
        <v/>
      </c>
      <c r="J7" s="5" t="inlineStr">
        <is>
          <t>M³</t>
        </is>
      </c>
      <c r="K7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7" s="5" t="inlineStr">
        <is>
          <t>brener.cabral</t>
        </is>
      </c>
      <c r="M7" s="5" t="inlineStr">
        <is>
          <t>EXECUÇÃO DA TERRAPLANAGEM NO PÁTIO DE TANCAGEM U-6312</t>
        </is>
      </c>
      <c r="N7" s="5" t="inlineStr">
        <is>
          <t>DE-5400.00-6310-113-TX3-003</t>
        </is>
      </c>
      <c r="O7" s="5" t="inlineStr">
        <is>
          <t>EXEC</t>
        </is>
      </c>
      <c r="P7" s="5" t="n"/>
      <c r="Q7" s="5" t="n"/>
      <c r="R7" s="5" t="inlineStr">
        <is>
          <t>PRODUCAO</t>
        </is>
      </c>
      <c r="S7" s="5" t="inlineStr">
        <is>
          <t>001-CORTE;002-TROCA DE SOLO;003-ATERRO;004-COMPACTAÇÃO</t>
        </is>
      </c>
      <c r="T7" s="5" t="n"/>
      <c r="U7" s="5" t="n"/>
      <c r="V7" s="5" t="n"/>
      <c r="W7" s="5" t="n"/>
      <c r="X7" s="5" t="n"/>
      <c r="Y7" s="5" t="inlineStr">
        <is>
          <t>N/A</t>
        </is>
      </c>
    </row>
    <row r="8">
      <c r="A8" s="5" t="inlineStr">
        <is>
          <t>TQ-6310818D/C</t>
        </is>
      </c>
      <c r="B8" s="5" t="inlineStr">
        <is>
          <t>TERRAPLANAGEM DE IMPLANTAÇÃO</t>
        </is>
      </c>
      <c r="C8" s="5" t="inlineStr">
        <is>
          <t>CIVIL</t>
        </is>
      </c>
      <c r="D8" s="5" t="inlineStr">
        <is>
          <t>N/A</t>
        </is>
      </c>
      <c r="E8" s="5" t="inlineStr">
        <is>
          <t>FT-CV-2625</t>
        </is>
      </c>
      <c r="F8" s="13" t="n">
        <v>46304</v>
      </c>
      <c r="G8" s="5" t="inlineStr">
        <is>
          <t>U6310</t>
        </is>
      </c>
      <c r="H8" s="5" t="inlineStr">
        <is>
          <t>U6310-C-620256000</t>
        </is>
      </c>
      <c r="I8" s="14">
        <f>PARÂMETROS!$C$14*(PARÂMETROS!$F$14/PARÂMETROS!$E$14)*PARÂMETROS!$C$5</f>
        <v/>
      </c>
      <c r="J8" s="5" t="inlineStr">
        <is>
          <t>M³</t>
        </is>
      </c>
      <c r="K8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8" s="5" t="inlineStr">
        <is>
          <t>brener.cabral</t>
        </is>
      </c>
      <c r="M8" s="5" t="inlineStr">
        <is>
          <t>EXECUÇÃO DA TERRAPLANAGEM NO PÁTIO DE TANCAGEM U-6310</t>
        </is>
      </c>
      <c r="N8" s="5" t="inlineStr">
        <is>
          <t>DE-5400.00-6310-113-TX3-003</t>
        </is>
      </c>
      <c r="O8" s="5" t="inlineStr">
        <is>
          <t>EXEC</t>
        </is>
      </c>
      <c r="P8" s="5" t="n"/>
      <c r="Q8" s="5" t="n"/>
      <c r="R8" s="5" t="inlineStr">
        <is>
          <t>PRODUCAO</t>
        </is>
      </c>
      <c r="S8" s="5" t="inlineStr">
        <is>
          <t>001-CORTE;002-TROCA DE SOLO;003-ATERRO;004-COMPACTAÇÃO</t>
        </is>
      </c>
      <c r="T8" s="5" t="n"/>
      <c r="U8" s="5" t="n"/>
      <c r="V8" s="5" t="n"/>
      <c r="W8" s="5" t="n"/>
      <c r="X8" s="5" t="n"/>
      <c r="Y8" s="5" t="inlineStr">
        <is>
          <t>N/A</t>
        </is>
      </c>
    </row>
    <row r="9">
      <c r="A9" s="5" t="inlineStr">
        <is>
          <t>TQ-6310818B/A</t>
        </is>
      </c>
      <c r="B9" s="5" t="inlineStr">
        <is>
          <t>TERRAPLANAGEM DE IMPLANTAÇÃO</t>
        </is>
      </c>
      <c r="C9" s="5" t="inlineStr">
        <is>
          <t>CIVIL</t>
        </is>
      </c>
      <c r="D9" s="5" t="inlineStr">
        <is>
          <t>N/A</t>
        </is>
      </c>
      <c r="E9" s="5" t="inlineStr">
        <is>
          <t>FT-CV-2626</t>
        </is>
      </c>
      <c r="F9" s="13" t="n">
        <v>46311</v>
      </c>
      <c r="G9" s="5" t="inlineStr">
        <is>
          <t>U6310</t>
        </is>
      </c>
      <c r="H9" s="5" t="inlineStr">
        <is>
          <t>U6310-C-620256000</t>
        </is>
      </c>
      <c r="I9" s="14">
        <f>PARÂMETROS!$C$14*(PARÂMETROS!$F$14/PARÂMETROS!$E$14)*PARÂMETROS!$C$5</f>
        <v/>
      </c>
      <c r="J9" s="5" t="inlineStr">
        <is>
          <t>M³</t>
        </is>
      </c>
      <c r="K9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9" s="5" t="inlineStr">
        <is>
          <t>brener.cabral</t>
        </is>
      </c>
      <c r="M9" s="5" t="inlineStr">
        <is>
          <t>EXECUÇÃO DA TERRAPLANAGEM NO PÁTIO DE TANCAGEM U-6310</t>
        </is>
      </c>
      <c r="N9" s="5" t="inlineStr">
        <is>
          <t>DE-5400.00-6310-113-TX3-003</t>
        </is>
      </c>
      <c r="O9" s="5" t="inlineStr">
        <is>
          <t>EXEC</t>
        </is>
      </c>
      <c r="P9" s="5" t="n"/>
      <c r="Q9" s="5" t="n"/>
      <c r="R9" s="5" t="inlineStr">
        <is>
          <t>PRODUCAO</t>
        </is>
      </c>
      <c r="S9" s="5" t="inlineStr">
        <is>
          <t>001-CORTE;002-TROCA DE SOLO;003-ATERRO;004-COMPACTAÇÃO</t>
        </is>
      </c>
      <c r="T9" s="5" t="n"/>
      <c r="U9" s="5" t="n"/>
      <c r="V9" s="5" t="n"/>
      <c r="W9" s="5" t="n"/>
      <c r="X9" s="5" t="n"/>
      <c r="Y9" s="5" t="inlineStr">
        <is>
          <t>N/A</t>
        </is>
      </c>
    </row>
    <row r="10">
      <c r="A10" s="5" t="inlineStr">
        <is>
          <t>TQ-6310815D/C</t>
        </is>
      </c>
      <c r="B10" s="5" t="inlineStr">
        <is>
          <t>TERRAPLANAGEM DE IMPLANTAÇÃO</t>
        </is>
      </c>
      <c r="C10" s="5" t="inlineStr">
        <is>
          <t>CIVIL</t>
        </is>
      </c>
      <c r="D10" s="5" t="inlineStr">
        <is>
          <t>N/A</t>
        </is>
      </c>
      <c r="E10" s="5" t="inlineStr">
        <is>
          <t>FT-CV-2627</t>
        </is>
      </c>
      <c r="F10" s="13" t="n">
        <v>46318</v>
      </c>
      <c r="G10" s="5" t="inlineStr">
        <is>
          <t>U6310</t>
        </is>
      </c>
      <c r="H10" s="5" t="inlineStr">
        <is>
          <t>U6310-C-620252000</t>
        </is>
      </c>
      <c r="I10" s="14">
        <f>PARÂMETROS!$C$15*(PARÂMETROS!$F$15/PARÂMETROS!$E$15)*PARÂMETROS!$C$5</f>
        <v/>
      </c>
      <c r="J10" s="5" t="inlineStr">
        <is>
          <t>M³</t>
        </is>
      </c>
      <c r="K10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10" s="5" t="inlineStr">
        <is>
          <t>brener.cabral</t>
        </is>
      </c>
      <c r="M10" s="5" t="inlineStr">
        <is>
          <t>EXECUÇÃO DA TERRAPLANAGEM NO PÁTIO DE TANCAGEM U-6310</t>
        </is>
      </c>
      <c r="N10" s="5" t="inlineStr">
        <is>
          <t>DE-5400.00-6310-113-TX3-003</t>
        </is>
      </c>
      <c r="O10" s="5" t="inlineStr">
        <is>
          <t>EXEC</t>
        </is>
      </c>
      <c r="P10" s="5" t="n"/>
      <c r="Q10" s="5" t="n"/>
      <c r="R10" s="5" t="inlineStr">
        <is>
          <t>PRODUCAO</t>
        </is>
      </c>
      <c r="S10" s="5" t="inlineStr">
        <is>
          <t>001-CORTE;002-TROCA DE SOLO;003-ATERRO;004-COMPACTAÇÃO</t>
        </is>
      </c>
      <c r="T10" s="5" t="n"/>
      <c r="U10" s="5" t="n"/>
      <c r="V10" s="5" t="n"/>
      <c r="W10" s="5" t="n"/>
      <c r="X10" s="5" t="n"/>
      <c r="Y10" s="5" t="inlineStr">
        <is>
          <t>N/A</t>
        </is>
      </c>
    </row>
    <row r="11">
      <c r="A11" s="5" t="inlineStr">
        <is>
          <t>TQ-6310815B/A</t>
        </is>
      </c>
      <c r="B11" s="5" t="inlineStr">
        <is>
          <t>TERRAPLANAGEM DE IMPLANTAÇÃO</t>
        </is>
      </c>
      <c r="C11" s="5" t="inlineStr">
        <is>
          <t>CIVIL</t>
        </is>
      </c>
      <c r="D11" s="5" t="inlineStr">
        <is>
          <t>N/A</t>
        </is>
      </c>
      <c r="E11" s="5" t="inlineStr">
        <is>
          <t>FT-CV-2628</t>
        </is>
      </c>
      <c r="F11" s="13" t="n">
        <v>46325</v>
      </c>
      <c r="G11" s="5" t="inlineStr">
        <is>
          <t>U6310</t>
        </is>
      </c>
      <c r="H11" s="5" t="inlineStr">
        <is>
          <t>U6310-C-620252000</t>
        </is>
      </c>
      <c r="I11" s="14">
        <f>PARÂMETROS!$C$15*(PARÂMETROS!$F$15/PARÂMETROS!$E$15)*PARÂMETROS!$C$5</f>
        <v/>
      </c>
      <c r="J11" s="5" t="inlineStr">
        <is>
          <t>M³</t>
        </is>
      </c>
      <c r="K11" s="5" t="inlineStr">
        <is>
          <t>Quantidade revisada conforme memória de cálculo MC-TERRAPLANAGEM_U-6310_U-6312_Rev0, com base no DE-5400.00-6310-113-TX3-003 rev.0. O ID usado sofrerá alterações com a aprovação do Book B.</t>
        </is>
      </c>
      <c r="L11" s="5" t="inlineStr">
        <is>
          <t>brener.cabral</t>
        </is>
      </c>
      <c r="M11" s="5" t="inlineStr">
        <is>
          <t>EXECUÇÃO DA TERRAPLANAGEM NO PÁTIO DE TANCAGEM U-6310</t>
        </is>
      </c>
      <c r="N11" s="5" t="inlineStr">
        <is>
          <t>DE-5400.00-6310-113-TX3-003</t>
        </is>
      </c>
      <c r="O11" s="5" t="inlineStr">
        <is>
          <t>EXEC</t>
        </is>
      </c>
      <c r="P11" s="5" t="n"/>
      <c r="Q11" s="5" t="n"/>
      <c r="R11" s="5" t="inlineStr">
        <is>
          <t>PRODUCAO</t>
        </is>
      </c>
      <c r="S11" s="5" t="inlineStr">
        <is>
          <t>001-CORTE;002-TROCA DE SOLO;003-ATERRO;004-COMPACTAÇÃO</t>
        </is>
      </c>
      <c r="T11" s="5" t="n"/>
      <c r="U11" s="5" t="n"/>
      <c r="V11" s="5" t="n"/>
      <c r="W11" s="5" t="n"/>
      <c r="X11" s="5" t="n"/>
      <c r="Y11" s="5" t="inlineStr">
        <is>
          <t>N/A</t>
        </is>
      </c>
    </row>
    <row r="12">
      <c r="H12" s="9" t="inlineStr">
        <is>
          <t>TOTAL</t>
        </is>
      </c>
      <c r="I12" s="15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CONTROLE DE REVISÃO — QUANTIDADES DAS FICHAS DE TAREFA</t>
        </is>
      </c>
    </row>
    <row r="3" ht="34" customHeight="1">
      <c r="A3" s="10" t="inlineStr">
        <is>
          <t>Chave de importação</t>
        </is>
      </c>
      <c r="B3" s="10" t="inlineStr">
        <is>
          <t>TAG</t>
        </is>
      </c>
      <c r="C3" s="10" t="inlineStr">
        <is>
          <t>Quantidade anterior (m³)</t>
        </is>
      </c>
      <c r="D3" s="10" t="inlineStr">
        <is>
          <t>Quantidade revisada (m³)</t>
        </is>
      </c>
      <c r="E3" s="10" t="inlineStr">
        <is>
          <t>Diferença (m³)</t>
        </is>
      </c>
      <c r="F3" s="10" t="inlineStr">
        <is>
          <t>Variação</t>
        </is>
      </c>
    </row>
    <row r="4">
      <c r="A4" s="16" t="inlineStr">
        <is>
          <t>FT-CV-2619</t>
        </is>
      </c>
      <c r="B4" s="5" t="inlineStr">
        <is>
          <t>TQ-6310816D/C</t>
        </is>
      </c>
      <c r="C4" s="11" t="n">
        <v>1192.7825</v>
      </c>
      <c r="D4" s="17">
        <f>IMPORTAÇÃO!I2</f>
        <v/>
      </c>
      <c r="E4" s="17">
        <f>D4-C4</f>
        <v/>
      </c>
      <c r="F4" s="18">
        <f>D4/C4-1</f>
        <v/>
      </c>
    </row>
    <row r="5">
      <c r="A5" s="16" t="inlineStr">
        <is>
          <t>FT-CV-2620</t>
        </is>
      </c>
      <c r="B5" s="5" t="inlineStr">
        <is>
          <t>TQ-6310816B/A</t>
        </is>
      </c>
      <c r="C5" s="11" t="n">
        <v>1192.7825</v>
      </c>
      <c r="D5" s="17">
        <f>IMPORTAÇÃO!I3</f>
        <v/>
      </c>
      <c r="E5" s="17">
        <f>D5-C5</f>
        <v/>
      </c>
      <c r="F5" s="18">
        <f>D5/C5-1</f>
        <v/>
      </c>
    </row>
    <row r="6">
      <c r="A6" s="16" t="inlineStr">
        <is>
          <t>FT-CV-2621</t>
        </is>
      </c>
      <c r="B6" s="5" t="inlineStr">
        <is>
          <t>TQ-6310817D/C</t>
        </is>
      </c>
      <c r="C6" s="11" t="n">
        <v>1207.3894</v>
      </c>
      <c r="D6" s="17">
        <f>IMPORTAÇÃO!I4</f>
        <v/>
      </c>
      <c r="E6" s="17">
        <f>D6-C6</f>
        <v/>
      </c>
      <c r="F6" s="18">
        <f>D6/C6-1</f>
        <v/>
      </c>
    </row>
    <row r="7">
      <c r="A7" s="16" t="inlineStr">
        <is>
          <t>FT-CV-2622</t>
        </is>
      </c>
      <c r="B7" s="5" t="inlineStr">
        <is>
          <t>TQ-6310817B/A</t>
        </is>
      </c>
      <c r="C7" s="11" t="n">
        <v>1207.3894</v>
      </c>
      <c r="D7" s="17">
        <f>IMPORTAÇÃO!I5</f>
        <v/>
      </c>
      <c r="E7" s="17">
        <f>D7-C7</f>
        <v/>
      </c>
      <c r="F7" s="18">
        <f>D7/C7-1</f>
        <v/>
      </c>
    </row>
    <row r="8">
      <c r="A8" s="16" t="inlineStr">
        <is>
          <t>FT-CV-2623</t>
        </is>
      </c>
      <c r="B8" s="5" t="inlineStr">
        <is>
          <t>TQ-6312824_1</t>
        </is>
      </c>
      <c r="C8" s="11" t="n">
        <v>1095.5812</v>
      </c>
      <c r="D8" s="17">
        <f>IMPORTAÇÃO!I6</f>
        <v/>
      </c>
      <c r="E8" s="17">
        <f>D8-C8</f>
        <v/>
      </c>
      <c r="F8" s="18">
        <f>D8/C8-1</f>
        <v/>
      </c>
    </row>
    <row r="9">
      <c r="A9" s="16" t="inlineStr">
        <is>
          <t>FT-CV-2624</t>
        </is>
      </c>
      <c r="B9" s="5" t="inlineStr">
        <is>
          <t>TQ-6312824_2</t>
        </is>
      </c>
      <c r="C9" s="11" t="n">
        <v>1095.5812</v>
      </c>
      <c r="D9" s="17">
        <f>IMPORTAÇÃO!I7</f>
        <v/>
      </c>
      <c r="E9" s="17">
        <f>D9-C9</f>
        <v/>
      </c>
      <c r="F9" s="18">
        <f>D9/C9-1</f>
        <v/>
      </c>
    </row>
    <row r="10">
      <c r="A10" s="16" t="inlineStr">
        <is>
          <t>FT-CV-2625</t>
        </is>
      </c>
      <c r="B10" s="5" t="inlineStr">
        <is>
          <t>TQ-6310818D/C</t>
        </is>
      </c>
      <c r="C10" s="11" t="n">
        <v>1014.9223</v>
      </c>
      <c r="D10" s="17">
        <f>IMPORTAÇÃO!I8</f>
        <v/>
      </c>
      <c r="E10" s="17">
        <f>D10-C10</f>
        <v/>
      </c>
      <c r="F10" s="18">
        <f>D10/C10-1</f>
        <v/>
      </c>
    </row>
    <row r="11">
      <c r="A11" s="16" t="inlineStr">
        <is>
          <t>FT-CV-2626</t>
        </is>
      </c>
      <c r="B11" s="5" t="inlineStr">
        <is>
          <t>TQ-6310818B/A</t>
        </is>
      </c>
      <c r="C11" s="11" t="n">
        <v>1014.9223</v>
      </c>
      <c r="D11" s="17">
        <f>IMPORTAÇÃO!I9</f>
        <v/>
      </c>
      <c r="E11" s="17">
        <f>D11-C11</f>
        <v/>
      </c>
      <c r="F11" s="18">
        <f>D11/C11-1</f>
        <v/>
      </c>
    </row>
    <row r="12">
      <c r="A12" s="16" t="inlineStr">
        <is>
          <t>FT-CV-2627</t>
        </is>
      </c>
      <c r="B12" s="5" t="inlineStr">
        <is>
          <t>TQ-6310815D/C</t>
        </is>
      </c>
      <c r="C12" s="11" t="n">
        <v>693.7713999999999</v>
      </c>
      <c r="D12" s="17">
        <f>IMPORTAÇÃO!I10</f>
        <v/>
      </c>
      <c r="E12" s="17">
        <f>D12-C12</f>
        <v/>
      </c>
      <c r="F12" s="18">
        <f>D12/C12-1</f>
        <v/>
      </c>
    </row>
    <row r="13">
      <c r="A13" s="16" t="inlineStr">
        <is>
          <t>FT-CV-2628</t>
        </is>
      </c>
      <c r="B13" s="5" t="inlineStr">
        <is>
          <t>TQ-6310815B/A</t>
        </is>
      </c>
      <c r="C13" s="11" t="n">
        <v>693.7713999999999</v>
      </c>
      <c r="D13" s="17">
        <f>IMPORTAÇÃO!I11</f>
        <v/>
      </c>
      <c r="E13" s="17">
        <f>D13-C13</f>
        <v/>
      </c>
      <c r="F13" s="18">
        <f>D13/C13-1</f>
        <v/>
      </c>
    </row>
    <row r="14">
      <c r="B14" s="9" t="inlineStr">
        <is>
          <t>TOTAL</t>
        </is>
      </c>
      <c r="C14" s="19">
        <f>SUM(C4:C13)</f>
        <v/>
      </c>
      <c r="D14" s="19">
        <f>SUM(D4:D13)</f>
        <v/>
      </c>
      <c r="E14" s="19">
        <f>D14-C14</f>
        <v/>
      </c>
      <c r="F14" s="20">
        <f>D14/C14-1</f>
        <v/>
      </c>
    </row>
    <row r="16">
      <c r="A16" s="2" t="inlineStr">
        <is>
          <t>Quantidade anterior: fórmula da planilha original =(BASE/2)×0,7×1,4, com bases 2.434,25 / 2.464,06 / 2.071,27 / 1.415,86 / 2.235,88 m³.</t>
        </is>
      </c>
    </row>
    <row r="17">
      <c r="A17" s="2" t="inlineStr">
        <is>
          <t>Essas bases não são rastreáveis aos desenhos emitidos em 07/08/2026 e o fator 0,7 não corresponde à geometria do projeto</t>
        </is>
      </c>
    </row>
    <row r="18">
      <c r="A18" s="2" t="inlineStr">
        <is>
          <t>(a escavação sob os tanques responde por 94% a 96% do corte nas linhas de U-6310). Ver aba CONFRONTO-FT da memória de cálculo.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2026-09-03T18:55:53Z</dcterms:created>
  <dcterms:modified xsi:type="dcterms:W3CDTF">2026-09-03T18:55:53Z</dcterms:modified>
</cp:coreProperties>
</file>