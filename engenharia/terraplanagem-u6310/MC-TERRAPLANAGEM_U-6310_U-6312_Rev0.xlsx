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PREMISSAS" sheetId="2" state="visible" r:id="rId2"/>
    <sheet name="GEOMETRIA" sheetId="3" state="visible" r:id="rId3"/>
    <sheet name="MC-TANQUE" sheetId="4" state="visible" r:id="rId4"/>
    <sheet name="AFERIÇÃO" sheetId="5" state="visible" r:id="rId5"/>
    <sheet name="QUANT-LINHA" sheetId="6" state="visible" r:id="rId6"/>
    <sheet name="DISTRIB-FT" sheetId="7" state="visible" r:id="rId7"/>
    <sheet name="CONFRONTO-FT" sheetId="8" state="visible" r:id="rId8"/>
    <sheet name="RESUM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C00000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2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4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4" fontId="4" fillId="0" borderId="1" applyAlignment="1" pivotButton="0" quotePrefix="0" xfId="0">
      <alignment horizontal="center" vertical="center"/>
    </xf>
    <xf numFmtId="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10" fillId="0" borderId="0" pivotButton="0" quotePrefix="0" xfId="0"/>
    <xf numFmtId="3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4" fontId="6" fillId="0" borderId="1" applyAlignment="1" pivotButton="0" quotePrefix="0" xfId="0">
      <alignment horizontal="center" vertical="center"/>
    </xf>
    <xf numFmtId="4" fontId="4" fillId="0" borderId="1" pivotButton="0" quotePrefix="0" xfId="0"/>
    <xf numFmtId="0" fontId="3" fillId="4" borderId="1" pivotButton="0" quotePrefix="0" xfId="0"/>
    <xf numFmtId="4" fontId="3" fillId="4" borderId="1" pivotButton="0" quotePrefix="0" xfId="0"/>
    <xf numFmtId="4" fontId="5" fillId="0" borderId="1" pivotButton="0" quotePrefix="0" xfId="0"/>
    <xf numFmtId="4" fontId="6" fillId="0" borderId="1" pivotButton="0" quotePrefix="0" xfId="0"/>
    <xf numFmtId="10" fontId="4" fillId="0" borderId="1" pivotButton="0" quotePrefix="0" xfId="0"/>
    <xf numFmtId="10" fontId="3" fillId="4" borderId="1" pivotButton="0" quotePrefix="0" xfId="0"/>
    <xf numFmtId="3" fontId="6" fillId="0" borderId="1" applyAlignment="1" pivotButton="0" quotePrefix="0" xfId="0">
      <alignment horizontal="center" vertical="center"/>
    </xf>
    <xf numFmtId="3" fontId="3" fillId="4" borderId="1" pivotButton="0" quotePrefix="0" xfId="0"/>
    <xf numFmtId="165" fontId="5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10" fontId="5" fillId="5" borderId="0" pivotButton="0" quotePrefix="0" xfId="0"/>
    <xf numFmtId="4" fontId="5" fillId="0" borderId="0" pivotButton="0" quotePrefix="0" xfId="0"/>
    <xf numFmtId="0" fontId="8" fillId="0" borderId="1" pivotButton="0" quotePrefix="0" xfId="0"/>
    <xf numFmtId="3" fontId="6" fillId="0" borderId="1" pivotButton="0" quotePrefix="0" xfId="0"/>
    <xf numFmtId="4" fontId="4" fillId="5" borderId="1" pivotButton="0" quotePrefix="0" xfId="0"/>
    <xf numFmtId="1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1" t="inlineStr">
        <is>
          <t>MEMÓRIA DE CÁLCULO — TERRAPLENAGEM DE IMPLANTAÇÃO</t>
        </is>
      </c>
    </row>
    <row r="2">
      <c r="A2" s="2" t="inlineStr">
        <is>
          <t>Área dos Tanques — U-6310 (Parque de Tanques de Produtos Acabados / Lubrificantes) e U-6312 (UCO)</t>
        </is>
      </c>
    </row>
    <row r="4">
      <c r="A4" s="2" t="inlineStr">
        <is>
          <t>IDENTIFICAÇÃO</t>
        </is>
      </c>
    </row>
    <row r="5">
      <c r="A5" s="3" t="inlineStr">
        <is>
          <t>Programa</t>
        </is>
      </c>
      <c r="B5" s="4" t="inlineStr">
        <is>
          <t>REFINO BOAVENTURA</t>
        </is>
      </c>
    </row>
    <row r="6">
      <c r="A6" s="3" t="inlineStr">
        <is>
          <t>Cliente</t>
        </is>
      </c>
      <c r="B6" s="4" t="inlineStr">
        <is>
          <t>TR / BOAVENTURA — PETROBRAS</t>
        </is>
      </c>
    </row>
    <row r="7">
      <c r="A7" s="3" t="inlineStr">
        <is>
          <t>Contrato</t>
        </is>
      </c>
      <c r="B7" s="4" t="inlineStr">
        <is>
          <t>5900.0131990.25.2 — SRGE/SI-III</t>
        </is>
      </c>
    </row>
    <row r="8">
      <c r="A8" s="3" t="inlineStr">
        <is>
          <t>Executante</t>
        </is>
      </c>
      <c r="B8" s="4" t="inlineStr">
        <is>
          <t>CONSÓRCIO TEM BOAVENTURA</t>
        </is>
      </c>
    </row>
    <row r="9">
      <c r="A9" s="3" t="inlineStr">
        <is>
          <t>Disciplina</t>
        </is>
      </c>
      <c r="B9" s="4" t="inlineStr">
        <is>
          <t>CIVIL — Terraplenagem</t>
        </is>
      </c>
    </row>
    <row r="10">
      <c r="A10" s="3" t="inlineStr">
        <is>
          <t>Objeto</t>
        </is>
      </c>
      <c r="B10" s="4" t="inlineStr">
        <is>
          <t>Escavação, troca de solo, reaterro e compactação das bases dos tanques</t>
        </is>
      </c>
    </row>
    <row r="12">
      <c r="A12" s="2" t="inlineStr">
        <is>
          <t>DOCUMENTOS BASE DESTA MEMÓRIA</t>
        </is>
      </c>
    </row>
    <row r="13">
      <c r="A13" s="3" t="inlineStr">
        <is>
          <t>Planta (quantitativos)</t>
        </is>
      </c>
      <c r="B13" s="4" t="inlineStr">
        <is>
          <t>DE-5400.00-6310-113-TX3-003 rev.0 — U-6310 Planta de Terraplenagem de Implantação — Área dos Tanques (07/08/2026)</t>
        </is>
      </c>
    </row>
    <row r="14">
      <c r="A14" s="3" t="inlineStr">
        <is>
          <t>Cortes / perfis</t>
        </is>
      </c>
      <c r="B14" s="4" t="inlineStr">
        <is>
          <t>DE-5400.00-6310-113-TX3-004 rev.0 — idem — Cortes A-A a E-E (07/08/2026)</t>
        </is>
      </c>
    </row>
    <row r="15">
      <c r="A15" s="3" t="inlineStr">
        <is>
          <t>Especificação técnica</t>
        </is>
      </c>
      <c r="B15" s="4" t="inlineStr">
        <is>
          <t>ET-5400.00-6310-113-TX3-001 — Terraplenagem</t>
        </is>
      </c>
    </row>
    <row r="16">
      <c r="A16" s="3" t="inlineStr">
        <is>
          <t>Relatório geotécnico</t>
        </is>
      </c>
      <c r="B16" s="4" t="inlineStr">
        <is>
          <t>RL-5400.00-6310-115-TX3-001 — Relatório Geotécnico Interpretativo (pendência P5)</t>
        </is>
      </c>
    </row>
    <row r="17">
      <c r="A17" s="3" t="inlineStr">
        <is>
          <t>Planilha de fichas de tarefa</t>
        </is>
      </c>
      <c r="B17" s="4" t="inlineStr">
        <is>
          <t>IMPORTAÇÃO_TERRAPLAN_TANQUE.xlsx — aba 'IMPORTAÇÃO' (10 FTs, FT-CV-2619 a FT-CV-2628)</t>
        </is>
      </c>
    </row>
    <row r="18">
      <c r="A18" s="3" t="inlineStr">
        <is>
          <t>Correio eletrônico</t>
        </is>
      </c>
      <c r="B18" s="4" t="inlineStr">
        <is>
          <t>Luciana Melo (Coord. Eng. Civil) — 11/08/2026 — 'EPC03-U-6310 / U-6312 — Terraplanagem de implantação dos tanques'</t>
        </is>
      </c>
    </row>
    <row r="20">
      <c r="A20" s="2" t="inlineStr">
        <is>
          <t>ESCOPO COBERTO</t>
        </is>
      </c>
    </row>
    <row r="21">
      <c r="A21" s="3" t="inlineStr">
        <is>
          <t>Tanques</t>
        </is>
      </c>
      <c r="B21" s="4" t="inlineStr">
        <is>
          <t>17 unidades: TQ-6310815A/B/C/D, 816A/B/C/D, 817A/B/C/D, 818A/B/C/D e TQ-6312824</t>
        </is>
      </c>
    </row>
    <row r="22">
      <c r="A22" s="3" t="inlineStr">
        <is>
          <t>Atividades (conforme FT)</t>
        </is>
      </c>
      <c r="B22" s="4" t="inlineStr">
        <is>
          <t>001-CORTE; 002-TROCA DE SOLO; 003-ATERRO; 004-COMPACTAÇÃO</t>
        </is>
      </c>
    </row>
    <row r="24">
      <c r="A24" s="2" t="inlineStr">
        <is>
          <t>ORGANIZAÇÃO DO ARQUIVO</t>
        </is>
      </c>
    </row>
    <row r="25">
      <c r="A25" s="3" t="inlineStr">
        <is>
          <t>PREMISSAS</t>
        </is>
      </c>
      <c r="B25" s="4" t="inlineStr">
        <is>
          <t>Parâmetros de projeto. Todas as demais abas referenciam esta — alterou aqui, recalcula tudo.</t>
        </is>
      </c>
    </row>
    <row r="26">
      <c r="A26" s="3" t="inlineStr">
        <is>
          <t>GEOMETRIA</t>
        </is>
      </c>
      <c r="B26" s="4" t="inlineStr">
        <is>
          <t>Raios e cotas por linha de tanques, extraídos/aferidos nas plantas.</t>
        </is>
      </c>
    </row>
    <row r="27">
      <c r="A27" s="3" t="inlineStr">
        <is>
          <t>MC-TANQUE</t>
        </is>
      </c>
      <c r="B27" s="4" t="inlineStr">
        <is>
          <t>Memória de cálculo do volume de escavação, tanque a tanque (17 linhas).</t>
        </is>
      </c>
    </row>
    <row r="28">
      <c r="A28" s="3" t="inlineStr">
        <is>
          <t>AFERIÇÃO</t>
        </is>
      </c>
      <c r="B28" s="4" t="inlineStr">
        <is>
          <t>Confronto do modelo geométrico contra a tabela de quantitativos do desenho.</t>
        </is>
      </c>
    </row>
    <row r="29">
      <c r="A29" s="3" t="inlineStr">
        <is>
          <t>QUANT-LINHA</t>
        </is>
      </c>
      <c r="B29" s="4" t="inlineStr">
        <is>
          <t>Consolidação por linha de tanques: corte, troca de solo e plataforma/bacia.</t>
        </is>
      </c>
    </row>
    <row r="30">
      <c r="A30" s="3" t="inlineStr">
        <is>
          <t>DISTRIB-FT</t>
        </is>
      </c>
      <c r="B30" s="4" t="inlineStr">
        <is>
          <t>Distribuição dos quantitativos pelas 10 fichas de tarefa (por tanque, não por área total).</t>
        </is>
      </c>
    </row>
    <row r="31">
      <c r="A31" s="3" t="inlineStr">
        <is>
          <t>CONFRONTO-FT</t>
        </is>
      </c>
      <c r="B31" s="4" t="inlineStr">
        <is>
          <t>Planilha de importação vigente × esta memória de cálculo. Divergências apuradas.</t>
        </is>
      </c>
    </row>
    <row r="32">
      <c r="A32" s="3" t="inlineStr">
        <is>
          <t>RESUMO</t>
        </is>
      </c>
      <c r="B32" s="4" t="inlineStr">
        <is>
          <t>Quantitativos finais para produção, suprimentos e planejamento.</t>
        </is>
      </c>
    </row>
    <row r="34">
      <c r="A34" s="2" t="inlineStr">
        <is>
          <t>CONVENÇÃO DE CORES</t>
        </is>
      </c>
    </row>
    <row r="35">
      <c r="A35" s="5" t="inlineStr">
        <is>
          <t>Azul — dado de entrada (cotado no desenho ou definido pelo usuário). Editável.</t>
        </is>
      </c>
    </row>
    <row r="36">
      <c r="A36" s="6" t="inlineStr">
        <is>
          <t>Preto — resultado calculado por fórmula. Não editar.</t>
        </is>
      </c>
    </row>
    <row r="37">
      <c r="A37" s="7" t="inlineStr">
        <is>
          <t>Verde — valor trazido de outra aba.</t>
        </is>
      </c>
    </row>
    <row r="38">
      <c r="A38" s="8" t="inlineStr">
        <is>
          <t>Fundo amarelo — premissa chave a confirmar com o projetista.</t>
        </is>
      </c>
    </row>
    <row r="40" ht="46" customHeight="1">
      <c r="A40" s="9" t="inlineStr">
        <is>
          <t>NOTA IMPORTANTE</t>
        </is>
      </c>
      <c r="B40" s="10" t="inlineStr">
        <is>
          <t>Os volumes da tabela do desenho são GEOMÉTRICOS (sem empolamento) e foram calculados para a elevação de limpeza do terreno EL. 19,00. Conforme correio de 11/08/2026, o reaterro das bases será feito com substituição por rachão — logo o volume de 'REATERRO' do desenho é, na prática, BOTA-FORA de material escavado.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3" customWidth="1" min="3" max="3"/>
    <col width="10" customWidth="1" min="4" max="4"/>
    <col width="62" customWidth="1" min="5" max="5"/>
  </cols>
  <sheetData>
    <row r="1">
      <c r="A1" s="1" t="inlineStr">
        <is>
          <t>PREMISSAS DE CÁLCULO</t>
        </is>
      </c>
    </row>
    <row r="2">
      <c r="A2" s="11" t="inlineStr">
        <is>
          <t>Fonte: DE-5400.00-6310-113-TX3-003/004 rev.0 (notas gerais e cortes) e ET-5400.00-6310-113-TX3-001</t>
        </is>
      </c>
    </row>
    <row r="4" ht="30" customHeight="1">
      <c r="A4" s="12" t="inlineStr">
        <is>
          <t>Item</t>
        </is>
      </c>
      <c r="B4" s="12" t="inlineStr">
        <is>
          <t>Parâmetro</t>
        </is>
      </c>
      <c r="C4" s="12" t="inlineStr">
        <is>
          <t>Valor</t>
        </is>
      </c>
      <c r="D4" s="12" t="inlineStr">
        <is>
          <t>Unid.</t>
        </is>
      </c>
      <c r="E4" s="12" t="inlineStr">
        <is>
          <t>Origem / justificativa</t>
        </is>
      </c>
    </row>
    <row r="5" ht="30" customHeight="1">
      <c r="A5" s="13" t="inlineStr">
        <is>
          <t>1</t>
        </is>
      </c>
      <c r="B5" s="14" t="inlineStr">
        <is>
          <t>Cota do terreno regularizado (limpeza)</t>
        </is>
      </c>
      <c r="C5" s="15" t="n">
        <v>19</v>
      </c>
      <c r="D5" s="16" t="inlineStr">
        <is>
          <t>m</t>
        </is>
      </c>
      <c r="E5" s="17" t="inlineStr">
        <is>
          <t>Nota 7 dos cortes A-A a E-E e nota da tabela de quantitativos: 'volumes calculados considerando a elevação de limpeza do terreno (EL. 19,00)'.</t>
        </is>
      </c>
    </row>
    <row r="6" ht="30" customHeight="1">
      <c r="A6" s="13" t="inlineStr">
        <is>
          <t>2</t>
        </is>
      </c>
      <c r="B6" s="14" t="inlineStr">
        <is>
          <t>Cota do greide de projeto — fundo sob tanque</t>
        </is>
      </c>
      <c r="C6" s="15" t="n">
        <v>17.5</v>
      </c>
      <c r="D6" s="16" t="inlineStr">
        <is>
          <t>m</t>
        </is>
      </c>
      <c r="E6" s="17" t="inlineStr">
        <is>
          <t>'GREIDE DE PROJETO EL.17,50' nos cortes A-A a E-E; 'EL.+17,50' no centro de cada tanque na planta.</t>
        </is>
      </c>
    </row>
    <row r="7" ht="30" customHeight="1">
      <c r="A7" s="13" t="inlineStr">
        <is>
          <t>3</t>
        </is>
      </c>
      <c r="B7" s="14" t="inlineStr">
        <is>
          <t>Profundidade de escavação sob o tanque</t>
        </is>
      </c>
      <c r="C7" s="18">
        <f>C5-C6</f>
        <v/>
      </c>
      <c r="D7" s="16" t="inlineStr">
        <is>
          <t>m</t>
        </is>
      </c>
      <c r="E7" s="17" t="inlineStr">
        <is>
          <t>Calculado: Item 1 − Item 2. Coerente com a Nota 4 (profundidade de 1,50 m da cota do terreno).</t>
        </is>
      </c>
    </row>
    <row r="8" ht="30" customHeight="1">
      <c r="A8" s="13" t="inlineStr">
        <is>
          <t>4</t>
        </is>
      </c>
      <c r="B8" s="14" t="inlineStr">
        <is>
          <t>Talude de corte (H:V)</t>
        </is>
      </c>
      <c r="C8" s="15" t="n">
        <v>1</v>
      </c>
      <c r="D8" s="16" t="inlineStr">
        <is>
          <t>H:1V</t>
        </is>
      </c>
      <c r="E8" s="17" t="inlineStr">
        <is>
          <t>Nota 6: 'TALUDES DE CORTE - 1:1 (H:V)'. Confirmado pela marcação 1/1 nos cortes.</t>
        </is>
      </c>
    </row>
    <row r="9" ht="30" customHeight="1">
      <c r="A9" s="13" t="inlineStr">
        <is>
          <t>5</t>
        </is>
      </c>
      <c r="B9" s="14" t="inlineStr">
        <is>
          <t>Projeção horizontal do talude de corte</t>
        </is>
      </c>
      <c r="C9" s="18">
        <f>C7*C8</f>
        <v/>
      </c>
      <c r="D9" s="16" t="inlineStr">
        <is>
          <t>m</t>
        </is>
      </c>
      <c r="E9" s="17" t="inlineStr">
        <is>
          <t>Calculado: Item 3 × Item 4.</t>
        </is>
      </c>
    </row>
    <row r="10" ht="30" customHeight="1">
      <c r="A10" s="13" t="inlineStr">
        <is>
          <t>6</t>
        </is>
      </c>
      <c r="B10" s="14" t="inlineStr">
        <is>
          <t>Sobrelargura de troca de solo além do costado</t>
        </is>
      </c>
      <c r="C10" s="19" t="n">
        <v>4</v>
      </c>
      <c r="D10" s="16" t="inlineStr">
        <is>
          <t>m</t>
        </is>
      </c>
      <c r="E10" s="17" t="inlineStr">
        <is>
          <t>Nota 4: 'remoção e substituição de solo em um raio de 4,00 m do costado do tanque'. Cota '4,00' repetida em todos os tanques na planta e nos cortes.</t>
        </is>
      </c>
    </row>
    <row r="11" ht="30" customHeight="1">
      <c r="A11" s="13" t="inlineStr">
        <is>
          <t>7</t>
        </is>
      </c>
      <c r="B11" s="14" t="inlineStr">
        <is>
          <t>Talude de aterro (H:V)</t>
        </is>
      </c>
      <c r="C11" s="15" t="n">
        <v>1.5</v>
      </c>
      <c r="D11" s="16" t="inlineStr">
        <is>
          <t>H:1V</t>
        </is>
      </c>
      <c r="E11" s="17" t="inlineStr">
        <is>
          <t>Nota 6: 'TALUDES DE ATERRO - 1.5:1 (H:V)'. Não incide nos volumes desta memória (não há aterro de plataforma).</t>
        </is>
      </c>
    </row>
    <row r="12" ht="30" customHeight="1">
      <c r="A12" s="13" t="inlineStr">
        <is>
          <t>8</t>
        </is>
      </c>
      <c r="B12" s="14" t="inlineStr">
        <is>
          <t>Cota ponto baixo da bacia — U-6310</t>
        </is>
      </c>
      <c r="C12" s="15" t="n">
        <v>18.9</v>
      </c>
      <c r="D12" s="16" t="inlineStr">
        <is>
          <t>m</t>
        </is>
      </c>
      <c r="E12" s="17" t="inlineStr">
        <is>
          <t>'EL.:18,90 PTO. BAIXO' em toda a área dos tanques 815/816/817/818.</t>
        </is>
      </c>
    </row>
    <row r="13" ht="30" customHeight="1">
      <c r="A13" s="13" t="inlineStr">
        <is>
          <t>9</t>
        </is>
      </c>
      <c r="B13" s="14" t="inlineStr">
        <is>
          <t>Cota ponto alto da bacia — U-6310 / U-6312</t>
        </is>
      </c>
      <c r="C13" s="15" t="n">
        <v>19</v>
      </c>
      <c r="D13" s="16" t="inlineStr">
        <is>
          <t>m</t>
        </is>
      </c>
      <c r="E13" s="17" t="inlineStr">
        <is>
          <t>'EL.:19,00 PTO. ALTO'.</t>
        </is>
      </c>
    </row>
    <row r="14" ht="30" customHeight="1">
      <c r="A14" s="13" t="inlineStr">
        <is>
          <t>10</t>
        </is>
      </c>
      <c r="B14" s="14" t="inlineStr">
        <is>
          <t>Cota ponto baixo da bacia — U-6312 (UCO)</t>
        </is>
      </c>
      <c r="C14" s="15" t="n">
        <v>18.7</v>
      </c>
      <c r="D14" s="16" t="inlineStr">
        <is>
          <t>m</t>
        </is>
      </c>
      <c r="E14" s="17" t="inlineStr">
        <is>
          <t>'EL.:18,70 PTO. BAIXO' na bacia do TQ-6312824.</t>
        </is>
      </c>
    </row>
    <row r="15" ht="30" customHeight="1">
      <c r="A15" s="13" t="inlineStr">
        <is>
          <t>11</t>
        </is>
      </c>
      <c r="B15" s="14" t="inlineStr">
        <is>
          <t>Declividade mínima da bacia — U-6310</t>
        </is>
      </c>
      <c r="C15" s="20" t="n">
        <v>0.015</v>
      </c>
      <c r="D15" s="16" t="inlineStr">
        <is>
          <t>m/m</t>
        </is>
      </c>
      <c r="E15" s="17" t="inlineStr">
        <is>
          <t>Símbolo '≥1,5% (INC.)' na planta, área U-6310.</t>
        </is>
      </c>
    </row>
    <row r="16" ht="30" customHeight="1">
      <c r="A16" s="13" t="inlineStr">
        <is>
          <t>12</t>
        </is>
      </c>
      <c r="B16" s="14" t="inlineStr">
        <is>
          <t>Declividade mínima da bacia — U-6312</t>
        </is>
      </c>
      <c r="C16" s="20" t="n">
        <v>0.01</v>
      </c>
      <c r="D16" s="16" t="inlineStr">
        <is>
          <t>m/m</t>
        </is>
      </c>
      <c r="E16" s="17" t="inlineStr">
        <is>
          <t>Símbolo '≥1,0% (INC.)' na planta, área do TQ-6312824.</t>
        </is>
      </c>
    </row>
    <row r="17" ht="30" customHeight="1">
      <c r="A17" s="13" t="inlineStr">
        <is>
          <t>13</t>
        </is>
      </c>
      <c r="B17" s="14" t="inlineStr">
        <is>
          <t>Fator de empolamento (corte → solto)</t>
        </is>
      </c>
      <c r="C17" s="19" t="n">
        <v>1.4</v>
      </c>
      <c r="D17" s="16" t="inlineStr">
        <is>
          <t>—</t>
        </is>
      </c>
      <c r="E17" s="17" t="inlineStr">
        <is>
          <t>Fator vigente na planilha de importação de FTs (multiplicador 1,4). A CONFIRMAR com ensaio/ET — o estudo anterior (aba 'Planilha1') usava 1,30.</t>
        </is>
      </c>
    </row>
    <row r="18" ht="30" customHeight="1">
      <c r="A18" s="13" t="inlineStr">
        <is>
          <t>14</t>
        </is>
      </c>
      <c r="B18" s="14" t="inlineStr">
        <is>
          <t>Fator de empolamento — cenário alternativo</t>
        </is>
      </c>
      <c r="C18" s="19" t="n">
        <v>1.3</v>
      </c>
      <c r="D18" s="16" t="inlineStr">
        <is>
          <t>—</t>
        </is>
      </c>
      <c r="E18" s="17" t="inlineStr">
        <is>
          <t>Valor usado no estudo preliminar da equipe — aba 'Planilha1', célula B9 do arquivo original IMPORTAÇÃO_TERRAPLAN_TANQUE.xlsx. Mantido para análise de sensibilidade.</t>
        </is>
      </c>
    </row>
    <row r="19" ht="30" customHeight="1">
      <c r="A19" s="13" t="inlineStr">
        <is>
          <t>15</t>
        </is>
      </c>
      <c r="B19" s="14" t="inlineStr">
        <is>
          <t>Nº de fichas de tarefa (FT) por linha de tanques</t>
        </is>
      </c>
      <c r="C19" s="21" t="n">
        <v>2</v>
      </c>
      <c r="D19" s="16" t="inlineStr">
        <is>
          <t>un</t>
        </is>
      </c>
      <c r="E19" s="17" t="inlineStr">
        <is>
          <t>Critério da equipe: cada linha de 4 tanques é executada em 2 FTs (D/C e B/A). TQ-6312824 é dividido em 2 FTs (_1 e _2).</t>
        </is>
      </c>
    </row>
    <row r="21">
      <c r="B21" s="2" t="inlineStr">
        <is>
          <t>FORMULAÇÃO ADOTADA</t>
        </is>
      </c>
    </row>
    <row r="22">
      <c r="B22" s="11" t="inlineStr">
        <is>
          <t>A escavação sob cada tanque é um TRONCO DE CONE: base menor no fundo (EL. 17,50), base maior na superfície (EL. 19,00),</t>
        </is>
      </c>
    </row>
    <row r="23">
      <c r="B23" s="11" t="inlineStr">
        <is>
          <t>gerado pelo talude de corte 1:1 ao longo dos 1,50 m de profundidade.</t>
        </is>
      </c>
    </row>
    <row r="24">
      <c r="B24" s="11" t="inlineStr"/>
    </row>
    <row r="25">
      <c r="B25" s="22" t="inlineStr">
        <is>
          <t xml:space="preserve">        R_fundo  = R_costado + sobrelargura (4,00 m)          → é o raio cotado nas plantas (R13,71 / R10,85 / R18,53)</t>
        </is>
      </c>
    </row>
    <row r="26">
      <c r="B26" s="22" t="inlineStr">
        <is>
          <t xml:space="preserve">        R_topo   = R_fundo + projeção do talude (1,50 m)      → é o raio cotado nas plantas (R15,21 / R12,35 / R20,03)</t>
        </is>
      </c>
    </row>
    <row r="27">
      <c r="B27" s="22" t="inlineStr">
        <is>
          <t xml:space="preserve">        V        = (π · h / 3) · (R_fundo² + R_fundo · R_topo + R_topo²)</t>
        </is>
      </c>
    </row>
    <row r="28">
      <c r="B28" s="11" t="inlineStr"/>
    </row>
    <row r="29">
      <c r="B29" s="11" t="inlineStr">
        <is>
          <t>Este modelo reproduz a coluna REATERRO da tabela de quantitativos do desenho com desvio de 0,25% no total</t>
        </is>
      </c>
    </row>
    <row r="30">
      <c r="B30" s="11" t="inlineStr">
        <is>
          <t>(ver aba AFERIÇÃO), o que confirma a formulação e permite desagregar o quantitativo do desenho por tanque.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46" customWidth="1" min="11" max="11"/>
  </cols>
  <sheetData>
    <row r="1">
      <c r="A1" s="1" t="inlineStr">
        <is>
          <t>GEOMETRIA POR LINHA DE TANQUES</t>
        </is>
      </c>
    </row>
    <row r="2">
      <c r="A2" s="11" t="inlineStr">
        <is>
          <t>Raios cotados em DE-5400.00-6310-113-TX3-003 rev.0. A linha 818 não tem cota de raio na planta — ver coluna 'Origem do raio'.</t>
        </is>
      </c>
    </row>
    <row r="4" ht="30" customHeight="1">
      <c r="A4" s="12" t="inlineStr">
        <is>
          <t>Linha</t>
        </is>
      </c>
      <c r="B4" s="12" t="inlineStr">
        <is>
          <t>Tanques</t>
        </is>
      </c>
      <c r="C4" s="12" t="inlineStr">
        <is>
          <t>Produto</t>
        </is>
      </c>
      <c r="D4" s="12" t="inlineStr">
        <is>
          <t>Qtd
tanques</t>
        </is>
      </c>
      <c r="E4" s="12" t="inlineStr">
        <is>
          <t>Espaç.
eixos (m)</t>
        </is>
      </c>
      <c r="F4" s="12" t="inlineStr">
        <is>
          <t>R fundo da
escavação (m)</t>
        </is>
      </c>
      <c r="G4" s="12" t="inlineStr">
        <is>
          <t>R topo da
escavação (m)</t>
        </is>
      </c>
      <c r="H4" s="12" t="inlineStr">
        <is>
          <t>R do costado
do tanque (m)</t>
        </is>
      </c>
      <c r="I4" s="12" t="inlineStr">
        <is>
          <t>Ø do tanque
(m)</t>
        </is>
      </c>
      <c r="J4" s="12" t="inlineStr">
        <is>
          <t>R topo cotado
no desenho (m)</t>
        </is>
      </c>
      <c r="K4" s="12" t="inlineStr">
        <is>
          <t>Origem do raio</t>
        </is>
      </c>
    </row>
    <row r="5" ht="28" customHeight="1">
      <c r="A5" s="13" t="inlineStr">
        <is>
          <t>816</t>
        </is>
      </c>
      <c r="B5" s="14" t="inlineStr">
        <is>
          <t>TQ-6310816A a D</t>
        </is>
      </c>
      <c r="C5" s="16" t="inlineStr">
        <is>
          <t>OB 100N</t>
        </is>
      </c>
      <c r="D5" s="21" t="n">
        <v>4</v>
      </c>
      <c r="E5" s="15" t="n">
        <v>29</v>
      </c>
      <c r="F5" s="15" t="n">
        <v>13.71</v>
      </c>
      <c r="G5" s="18">
        <f>F5+PREMISSAS!$C$9</f>
        <v/>
      </c>
      <c r="H5" s="18">
        <f>F5-PREMISSAS!$C$10</f>
        <v/>
      </c>
      <c r="I5" s="18">
        <f>2*H5</f>
        <v/>
      </c>
      <c r="J5" s="15" t="n">
        <v>15.21</v>
      </c>
      <c r="K5" s="17" t="inlineStr">
        <is>
          <t>Cotado na planta: R13,71 e R15,21</t>
        </is>
      </c>
    </row>
    <row r="6" ht="28" customHeight="1">
      <c r="A6" s="13" t="inlineStr">
        <is>
          <t>817</t>
        </is>
      </c>
      <c r="B6" s="14" t="inlineStr">
        <is>
          <t>TQ-6310817A a D</t>
        </is>
      </c>
      <c r="C6" s="16" t="inlineStr">
        <is>
          <t>OB 220N</t>
        </is>
      </c>
      <c r="D6" s="21" t="n">
        <v>4</v>
      </c>
      <c r="E6" s="15" t="n">
        <v>29</v>
      </c>
      <c r="F6" s="15" t="n">
        <v>13.71</v>
      </c>
      <c r="G6" s="18">
        <f>F6+PREMISSAS!$C$9</f>
        <v/>
      </c>
      <c r="H6" s="18">
        <f>F6-PREMISSAS!$C$10</f>
        <v/>
      </c>
      <c r="I6" s="18">
        <f>2*H6</f>
        <v/>
      </c>
      <c r="J6" s="15" t="n">
        <v>15.21</v>
      </c>
      <c r="K6" s="17" t="inlineStr">
        <is>
          <t>Cotado na planta: R13,71 e R15,21</t>
        </is>
      </c>
    </row>
    <row r="7" ht="28" customHeight="1">
      <c r="A7" s="13" t="inlineStr">
        <is>
          <t>818</t>
        </is>
      </c>
      <c r="B7" s="14" t="inlineStr">
        <is>
          <t>TQ-6310818A a D</t>
        </is>
      </c>
      <c r="C7" s="16" t="inlineStr">
        <is>
          <t>OB 500/600N</t>
        </is>
      </c>
      <c r="D7" s="21" t="n">
        <v>4</v>
      </c>
      <c r="E7" s="15" t="n">
        <v>27.5</v>
      </c>
      <c r="F7" s="15" t="n">
        <v>12.78</v>
      </c>
      <c r="G7" s="18">
        <f>F7+PREMISSAS!$C$9</f>
        <v/>
      </c>
      <c r="H7" s="18">
        <f>F7-PREMISSAS!$C$10</f>
        <v/>
      </c>
      <c r="I7" s="18">
        <f>2*H7</f>
        <v/>
      </c>
      <c r="J7" s="16" t="inlineStr">
        <is>
          <t>n/d</t>
        </is>
      </c>
      <c r="K7" s="17" t="inlineStr">
        <is>
          <t>Sem cota de raio na planta. Retro-calculado pelo volume do desenho (12,7818 m) e corroborado por medição independente no arquivo vetorial (12,77 m).</t>
        </is>
      </c>
    </row>
    <row r="8" ht="28" customHeight="1">
      <c r="A8" s="13" t="inlineStr">
        <is>
          <t>815</t>
        </is>
      </c>
      <c r="B8" s="14" t="inlineStr">
        <is>
          <t>TQ-6310815A a D</t>
        </is>
      </c>
      <c r="C8" s="16" t="inlineStr">
        <is>
          <t>OB 80N</t>
        </is>
      </c>
      <c r="D8" s="21" t="n">
        <v>4</v>
      </c>
      <c r="E8" s="15" t="n">
        <v>24</v>
      </c>
      <c r="F8" s="15" t="n">
        <v>10.85</v>
      </c>
      <c r="G8" s="18">
        <f>F8+PREMISSAS!$C$9</f>
        <v/>
      </c>
      <c r="H8" s="18">
        <f>F8-PREMISSAS!$C$10</f>
        <v/>
      </c>
      <c r="I8" s="18">
        <f>2*H8</f>
        <v/>
      </c>
      <c r="J8" s="15" t="n">
        <v>12.35</v>
      </c>
      <c r="K8" s="17" t="inlineStr">
        <is>
          <t>Cotado na planta: R10,85 e R12,35</t>
        </is>
      </c>
    </row>
    <row r="9" ht="28" customHeight="1">
      <c r="A9" s="13" t="inlineStr">
        <is>
          <t>824</t>
        </is>
      </c>
      <c r="B9" s="14" t="inlineStr">
        <is>
          <t>TQ-6312824</t>
        </is>
      </c>
      <c r="C9" s="16" t="inlineStr">
        <is>
          <t>UCO</t>
        </is>
      </c>
      <c r="D9" s="21" t="n">
        <v>1</v>
      </c>
      <c r="E9" s="16" t="inlineStr">
        <is>
          <t>—</t>
        </is>
      </c>
      <c r="F9" s="15" t="n">
        <v>18.53</v>
      </c>
      <c r="G9" s="18">
        <f>F9+PREMISSAS!$C$9</f>
        <v/>
      </c>
      <c r="H9" s="18">
        <f>F9-PREMISSAS!$C$10</f>
        <v/>
      </c>
      <c r="I9" s="18">
        <f>2*H9</f>
        <v/>
      </c>
      <c r="J9" s="15" t="n">
        <v>20.03</v>
      </c>
      <c r="K9" s="17" t="inlineStr">
        <is>
          <t>Cotado na planta: R18,53 e R20,03</t>
        </is>
      </c>
    </row>
    <row r="11">
      <c r="A11" s="3" t="inlineStr">
        <is>
          <t>Verificação da Nota 4 (sobrelargura de 4,00 m):</t>
        </is>
      </c>
    </row>
    <row r="12">
      <c r="A12" s="11" t="inlineStr">
        <is>
          <t>O círculo tracejado 'COSTADO DO TANQUE' do TQ-6312824 foi medido no arquivo vetorial em R = 14,53 m.</t>
        </is>
      </c>
    </row>
    <row r="13">
      <c r="A13" s="11" t="inlineStr">
        <is>
          <t>R fundo cotado (18,53 m) − 14,53 m = 4,00 m, exatamente a sobrelargura da Nota 4. A relação R_fundo = R_costado + 4,00 fica comprovada.</t>
        </is>
      </c>
    </row>
    <row r="14">
      <c r="A14" s="11" t="inlineStr">
        <is>
          <t>A largura da faixa hachurada em azul (talude) mede 1,50 m nas plantas, igual à projeção horizontal do talude 1:1 sobre 1,50 m de altura.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13" customWidth="1" min="5" max="5"/>
    <col width="9" customWidth="1" min="6" max="6"/>
    <col width="9" customWidth="1" min="7" max="7"/>
    <col width="7" customWidth="1" min="8" max="8"/>
    <col width="12" customWidth="1" min="9" max="9"/>
    <col width="12" customWidth="1" min="10" max="10"/>
    <col width="19" customWidth="1" min="11" max="11"/>
    <col width="16" customWidth="1" min="12" max="12"/>
  </cols>
  <sheetData>
    <row r="1">
      <c r="A1" s="1" t="inlineStr">
        <is>
          <t>MEMÓRIA DE CÁLCULO — ESCAVAÇÃO / TROCA DE SOLO POR TANQUE</t>
        </is>
      </c>
    </row>
    <row r="2">
      <c r="A2" s="11" t="inlineStr">
        <is>
          <t>V = (π · h / 3) · (R_fundo² + R_fundo · R_topo + R_topo²)   —   tronco de cone entre EL. 17,50 e EL. 19,00, talude de corte 1:1</t>
        </is>
      </c>
    </row>
    <row r="4" ht="30" customHeight="1">
      <c r="A4" s="12" t="inlineStr">
        <is>
          <t>#</t>
        </is>
      </c>
      <c r="B4" s="12" t="inlineStr">
        <is>
          <t>TAG do tanque</t>
        </is>
      </c>
      <c r="C4" s="12" t="inlineStr">
        <is>
          <t>Linha</t>
        </is>
      </c>
      <c r="D4" s="12" t="inlineStr">
        <is>
          <t>Unid.</t>
        </is>
      </c>
      <c r="E4" s="12" t="inlineStr">
        <is>
          <t>Produto</t>
        </is>
      </c>
      <c r="F4" s="12" t="inlineStr">
        <is>
          <t>R fundo
(m)</t>
        </is>
      </c>
      <c r="G4" s="12" t="inlineStr">
        <is>
          <t>R topo
(m)</t>
        </is>
      </c>
      <c r="H4" s="12" t="inlineStr">
        <is>
          <t>h
(m)</t>
        </is>
      </c>
      <c r="I4" s="12" t="inlineStr">
        <is>
          <t>Área do fundo
(m²)</t>
        </is>
      </c>
      <c r="J4" s="12" t="inlineStr">
        <is>
          <t>Área do topo
(m²)</t>
        </is>
      </c>
      <c r="K4" s="12" t="inlineStr">
        <is>
          <t>Volume de escavação
/ troca de solo (m³)</t>
        </is>
      </c>
      <c r="L4" s="12" t="inlineStr">
        <is>
          <t>Volume solto
(× empolamento) (m³)</t>
        </is>
      </c>
    </row>
    <row r="5">
      <c r="A5" s="23" t="n">
        <v>1</v>
      </c>
      <c r="B5" s="24" t="inlineStr">
        <is>
          <t>TQ-6310816A</t>
        </is>
      </c>
      <c r="C5" s="16" t="inlineStr">
        <is>
          <t>816</t>
        </is>
      </c>
      <c r="D5" s="16" t="inlineStr">
        <is>
          <t>U-6310</t>
        </is>
      </c>
      <c r="E5" s="16" t="inlineStr">
        <is>
          <t>OB 100N</t>
        </is>
      </c>
      <c r="F5" s="25">
        <f>GEOMETRIA!$F$5</f>
        <v/>
      </c>
      <c r="G5" s="25">
        <f>GEOMETRIA!$G$5</f>
        <v/>
      </c>
      <c r="H5" s="25">
        <f>PREMISSAS!$C$7</f>
        <v/>
      </c>
      <c r="I5" s="26">
        <f>PI()*F5^2</f>
        <v/>
      </c>
      <c r="J5" s="26">
        <f>PI()*G5^2</f>
        <v/>
      </c>
      <c r="K5" s="26">
        <f>PI()*H5/3*(F5^2+F5*G5+G5^2)</f>
        <v/>
      </c>
      <c r="L5" s="26">
        <f>K5*PREMISSAS!$C$17</f>
        <v/>
      </c>
    </row>
    <row r="6">
      <c r="A6" s="23" t="n">
        <v>2</v>
      </c>
      <c r="B6" s="24" t="inlineStr">
        <is>
          <t>TQ-6310816B</t>
        </is>
      </c>
      <c r="C6" s="16" t="inlineStr">
        <is>
          <t>816</t>
        </is>
      </c>
      <c r="D6" s="16" t="inlineStr">
        <is>
          <t>U-6310</t>
        </is>
      </c>
      <c r="E6" s="16" t="inlineStr">
        <is>
          <t>OB 100N</t>
        </is>
      </c>
      <c r="F6" s="25">
        <f>GEOMETRIA!$F$5</f>
        <v/>
      </c>
      <c r="G6" s="25">
        <f>GEOMETRIA!$G$5</f>
        <v/>
      </c>
      <c r="H6" s="25">
        <f>PREMISSAS!$C$7</f>
        <v/>
      </c>
      <c r="I6" s="26">
        <f>PI()*F6^2</f>
        <v/>
      </c>
      <c r="J6" s="26">
        <f>PI()*G6^2</f>
        <v/>
      </c>
      <c r="K6" s="26">
        <f>PI()*H6/3*(F6^2+F6*G6+G6^2)</f>
        <v/>
      </c>
      <c r="L6" s="26">
        <f>K6*PREMISSAS!$C$17</f>
        <v/>
      </c>
    </row>
    <row r="7">
      <c r="A7" s="23" t="n">
        <v>3</v>
      </c>
      <c r="B7" s="24" t="inlineStr">
        <is>
          <t>TQ-6310816C</t>
        </is>
      </c>
      <c r="C7" s="16" t="inlineStr">
        <is>
          <t>816</t>
        </is>
      </c>
      <c r="D7" s="16" t="inlineStr">
        <is>
          <t>U-6310</t>
        </is>
      </c>
      <c r="E7" s="16" t="inlineStr">
        <is>
          <t>OB 100N</t>
        </is>
      </c>
      <c r="F7" s="25">
        <f>GEOMETRIA!$F$5</f>
        <v/>
      </c>
      <c r="G7" s="25">
        <f>GEOMETRIA!$G$5</f>
        <v/>
      </c>
      <c r="H7" s="25">
        <f>PREMISSAS!$C$7</f>
        <v/>
      </c>
      <c r="I7" s="26">
        <f>PI()*F7^2</f>
        <v/>
      </c>
      <c r="J7" s="26">
        <f>PI()*G7^2</f>
        <v/>
      </c>
      <c r="K7" s="26">
        <f>PI()*H7/3*(F7^2+F7*G7+G7^2)</f>
        <v/>
      </c>
      <c r="L7" s="26">
        <f>K7*PREMISSAS!$C$17</f>
        <v/>
      </c>
    </row>
    <row r="8">
      <c r="A8" s="23" t="n">
        <v>4</v>
      </c>
      <c r="B8" s="24" t="inlineStr">
        <is>
          <t>TQ-6310816D</t>
        </is>
      </c>
      <c r="C8" s="16" t="inlineStr">
        <is>
          <t>816</t>
        </is>
      </c>
      <c r="D8" s="16" t="inlineStr">
        <is>
          <t>U-6310</t>
        </is>
      </c>
      <c r="E8" s="16" t="inlineStr">
        <is>
          <t>OB 100N</t>
        </is>
      </c>
      <c r="F8" s="25">
        <f>GEOMETRIA!$F$5</f>
        <v/>
      </c>
      <c r="G8" s="25">
        <f>GEOMETRIA!$G$5</f>
        <v/>
      </c>
      <c r="H8" s="25">
        <f>PREMISSAS!$C$7</f>
        <v/>
      </c>
      <c r="I8" s="26">
        <f>PI()*F8^2</f>
        <v/>
      </c>
      <c r="J8" s="26">
        <f>PI()*G8^2</f>
        <v/>
      </c>
      <c r="K8" s="26">
        <f>PI()*H8/3*(F8^2+F8*G8+G8^2)</f>
        <v/>
      </c>
      <c r="L8" s="26">
        <f>K8*PREMISSAS!$C$17</f>
        <v/>
      </c>
    </row>
    <row r="9">
      <c r="A9" s="23" t="n">
        <v>5</v>
      </c>
      <c r="B9" s="24" t="inlineStr">
        <is>
          <t>TQ-6310817A</t>
        </is>
      </c>
      <c r="C9" s="16" t="inlineStr">
        <is>
          <t>817</t>
        </is>
      </c>
      <c r="D9" s="16" t="inlineStr">
        <is>
          <t>U-6310</t>
        </is>
      </c>
      <c r="E9" s="16" t="inlineStr">
        <is>
          <t>OB 220N</t>
        </is>
      </c>
      <c r="F9" s="25">
        <f>GEOMETRIA!$F$6</f>
        <v/>
      </c>
      <c r="G9" s="25">
        <f>GEOMETRIA!$G$6</f>
        <v/>
      </c>
      <c r="H9" s="25">
        <f>PREMISSAS!$C$7</f>
        <v/>
      </c>
      <c r="I9" s="26">
        <f>PI()*F9^2</f>
        <v/>
      </c>
      <c r="J9" s="26">
        <f>PI()*G9^2</f>
        <v/>
      </c>
      <c r="K9" s="26">
        <f>PI()*H9/3*(F9^2+F9*G9+G9^2)</f>
        <v/>
      </c>
      <c r="L9" s="26">
        <f>K9*PREMISSAS!$C$17</f>
        <v/>
      </c>
    </row>
    <row r="10">
      <c r="A10" s="23" t="n">
        <v>6</v>
      </c>
      <c r="B10" s="24" t="inlineStr">
        <is>
          <t>TQ-6310817B</t>
        </is>
      </c>
      <c r="C10" s="16" t="inlineStr">
        <is>
          <t>817</t>
        </is>
      </c>
      <c r="D10" s="16" t="inlineStr">
        <is>
          <t>U-6310</t>
        </is>
      </c>
      <c r="E10" s="16" t="inlineStr">
        <is>
          <t>OB 220N</t>
        </is>
      </c>
      <c r="F10" s="25">
        <f>GEOMETRIA!$F$6</f>
        <v/>
      </c>
      <c r="G10" s="25">
        <f>GEOMETRIA!$G$6</f>
        <v/>
      </c>
      <c r="H10" s="25">
        <f>PREMISSAS!$C$7</f>
        <v/>
      </c>
      <c r="I10" s="26">
        <f>PI()*F10^2</f>
        <v/>
      </c>
      <c r="J10" s="26">
        <f>PI()*G10^2</f>
        <v/>
      </c>
      <c r="K10" s="26">
        <f>PI()*H10/3*(F10^2+F10*G10+G10^2)</f>
        <v/>
      </c>
      <c r="L10" s="26">
        <f>K10*PREMISSAS!$C$17</f>
        <v/>
      </c>
    </row>
    <row r="11">
      <c r="A11" s="23" t="n">
        <v>7</v>
      </c>
      <c r="B11" s="24" t="inlineStr">
        <is>
          <t>TQ-6310817C</t>
        </is>
      </c>
      <c r="C11" s="16" t="inlineStr">
        <is>
          <t>817</t>
        </is>
      </c>
      <c r="D11" s="16" t="inlineStr">
        <is>
          <t>U-6310</t>
        </is>
      </c>
      <c r="E11" s="16" t="inlineStr">
        <is>
          <t>OB 220N</t>
        </is>
      </c>
      <c r="F11" s="25">
        <f>GEOMETRIA!$F$6</f>
        <v/>
      </c>
      <c r="G11" s="25">
        <f>GEOMETRIA!$G$6</f>
        <v/>
      </c>
      <c r="H11" s="25">
        <f>PREMISSAS!$C$7</f>
        <v/>
      </c>
      <c r="I11" s="26">
        <f>PI()*F11^2</f>
        <v/>
      </c>
      <c r="J11" s="26">
        <f>PI()*G11^2</f>
        <v/>
      </c>
      <c r="K11" s="26">
        <f>PI()*H11/3*(F11^2+F11*G11+G11^2)</f>
        <v/>
      </c>
      <c r="L11" s="26">
        <f>K11*PREMISSAS!$C$17</f>
        <v/>
      </c>
    </row>
    <row r="12">
      <c r="A12" s="23" t="n">
        <v>8</v>
      </c>
      <c r="B12" s="24" t="inlineStr">
        <is>
          <t>TQ-6310817D</t>
        </is>
      </c>
      <c r="C12" s="16" t="inlineStr">
        <is>
          <t>817</t>
        </is>
      </c>
      <c r="D12" s="16" t="inlineStr">
        <is>
          <t>U-6310</t>
        </is>
      </c>
      <c r="E12" s="16" t="inlineStr">
        <is>
          <t>OB 220N</t>
        </is>
      </c>
      <c r="F12" s="25">
        <f>GEOMETRIA!$F$6</f>
        <v/>
      </c>
      <c r="G12" s="25">
        <f>GEOMETRIA!$G$6</f>
        <v/>
      </c>
      <c r="H12" s="25">
        <f>PREMISSAS!$C$7</f>
        <v/>
      </c>
      <c r="I12" s="26">
        <f>PI()*F12^2</f>
        <v/>
      </c>
      <c r="J12" s="26">
        <f>PI()*G12^2</f>
        <v/>
      </c>
      <c r="K12" s="26">
        <f>PI()*H12/3*(F12^2+F12*G12+G12^2)</f>
        <v/>
      </c>
      <c r="L12" s="26">
        <f>K12*PREMISSAS!$C$17</f>
        <v/>
      </c>
    </row>
    <row r="13">
      <c r="A13" s="23" t="n">
        <v>9</v>
      </c>
      <c r="B13" s="24" t="inlineStr">
        <is>
          <t>TQ-6310818A</t>
        </is>
      </c>
      <c r="C13" s="16" t="inlineStr">
        <is>
          <t>818</t>
        </is>
      </c>
      <c r="D13" s="16" t="inlineStr">
        <is>
          <t>U-6310</t>
        </is>
      </c>
      <c r="E13" s="16" t="inlineStr">
        <is>
          <t>OB 500/600N</t>
        </is>
      </c>
      <c r="F13" s="25">
        <f>GEOMETRIA!$F$7</f>
        <v/>
      </c>
      <c r="G13" s="25">
        <f>GEOMETRIA!$G$7</f>
        <v/>
      </c>
      <c r="H13" s="25">
        <f>PREMISSAS!$C$7</f>
        <v/>
      </c>
      <c r="I13" s="26">
        <f>PI()*F13^2</f>
        <v/>
      </c>
      <c r="J13" s="26">
        <f>PI()*G13^2</f>
        <v/>
      </c>
      <c r="K13" s="26">
        <f>PI()*H13/3*(F13^2+F13*G13+G13^2)</f>
        <v/>
      </c>
      <c r="L13" s="26">
        <f>K13*PREMISSAS!$C$17</f>
        <v/>
      </c>
    </row>
    <row r="14">
      <c r="A14" s="23" t="n">
        <v>10</v>
      </c>
      <c r="B14" s="24" t="inlineStr">
        <is>
          <t>TQ-6310818B</t>
        </is>
      </c>
      <c r="C14" s="16" t="inlineStr">
        <is>
          <t>818</t>
        </is>
      </c>
      <c r="D14" s="16" t="inlineStr">
        <is>
          <t>U-6310</t>
        </is>
      </c>
      <c r="E14" s="16" t="inlineStr">
        <is>
          <t>OB 500/600N</t>
        </is>
      </c>
      <c r="F14" s="25">
        <f>GEOMETRIA!$F$7</f>
        <v/>
      </c>
      <c r="G14" s="25">
        <f>GEOMETRIA!$G$7</f>
        <v/>
      </c>
      <c r="H14" s="25">
        <f>PREMISSAS!$C$7</f>
        <v/>
      </c>
      <c r="I14" s="26">
        <f>PI()*F14^2</f>
        <v/>
      </c>
      <c r="J14" s="26">
        <f>PI()*G14^2</f>
        <v/>
      </c>
      <c r="K14" s="26">
        <f>PI()*H14/3*(F14^2+F14*G14+G14^2)</f>
        <v/>
      </c>
      <c r="L14" s="26">
        <f>K14*PREMISSAS!$C$17</f>
        <v/>
      </c>
    </row>
    <row r="15">
      <c r="A15" s="23" t="n">
        <v>11</v>
      </c>
      <c r="B15" s="24" t="inlineStr">
        <is>
          <t>TQ-6310818C</t>
        </is>
      </c>
      <c r="C15" s="16" t="inlineStr">
        <is>
          <t>818</t>
        </is>
      </c>
      <c r="D15" s="16" t="inlineStr">
        <is>
          <t>U-6310</t>
        </is>
      </c>
      <c r="E15" s="16" t="inlineStr">
        <is>
          <t>OB 500/600N</t>
        </is>
      </c>
      <c r="F15" s="25">
        <f>GEOMETRIA!$F$7</f>
        <v/>
      </c>
      <c r="G15" s="25">
        <f>GEOMETRIA!$G$7</f>
        <v/>
      </c>
      <c r="H15" s="25">
        <f>PREMISSAS!$C$7</f>
        <v/>
      </c>
      <c r="I15" s="26">
        <f>PI()*F15^2</f>
        <v/>
      </c>
      <c r="J15" s="26">
        <f>PI()*G15^2</f>
        <v/>
      </c>
      <c r="K15" s="26">
        <f>PI()*H15/3*(F15^2+F15*G15+G15^2)</f>
        <v/>
      </c>
      <c r="L15" s="26">
        <f>K15*PREMISSAS!$C$17</f>
        <v/>
      </c>
    </row>
    <row r="16">
      <c r="A16" s="23" t="n">
        <v>12</v>
      </c>
      <c r="B16" s="24" t="inlineStr">
        <is>
          <t>TQ-6310818D</t>
        </is>
      </c>
      <c r="C16" s="16" t="inlineStr">
        <is>
          <t>818</t>
        </is>
      </c>
      <c r="D16" s="16" t="inlineStr">
        <is>
          <t>U-6310</t>
        </is>
      </c>
      <c r="E16" s="16" t="inlineStr">
        <is>
          <t>OB 500/600N</t>
        </is>
      </c>
      <c r="F16" s="25">
        <f>GEOMETRIA!$F$7</f>
        <v/>
      </c>
      <c r="G16" s="25">
        <f>GEOMETRIA!$G$7</f>
        <v/>
      </c>
      <c r="H16" s="25">
        <f>PREMISSAS!$C$7</f>
        <v/>
      </c>
      <c r="I16" s="26">
        <f>PI()*F16^2</f>
        <v/>
      </c>
      <c r="J16" s="26">
        <f>PI()*G16^2</f>
        <v/>
      </c>
      <c r="K16" s="26">
        <f>PI()*H16/3*(F16^2+F16*G16+G16^2)</f>
        <v/>
      </c>
      <c r="L16" s="26">
        <f>K16*PREMISSAS!$C$17</f>
        <v/>
      </c>
    </row>
    <row r="17">
      <c r="A17" s="23" t="n">
        <v>13</v>
      </c>
      <c r="B17" s="24" t="inlineStr">
        <is>
          <t>TQ-6310815A</t>
        </is>
      </c>
      <c r="C17" s="16" t="inlineStr">
        <is>
          <t>815</t>
        </is>
      </c>
      <c r="D17" s="16" t="inlineStr">
        <is>
          <t>U-6310</t>
        </is>
      </c>
      <c r="E17" s="16" t="inlineStr">
        <is>
          <t>OB 80N</t>
        </is>
      </c>
      <c r="F17" s="25">
        <f>GEOMETRIA!$F$8</f>
        <v/>
      </c>
      <c r="G17" s="25">
        <f>GEOMETRIA!$G$8</f>
        <v/>
      </c>
      <c r="H17" s="25">
        <f>PREMISSAS!$C$7</f>
        <v/>
      </c>
      <c r="I17" s="26">
        <f>PI()*F17^2</f>
        <v/>
      </c>
      <c r="J17" s="26">
        <f>PI()*G17^2</f>
        <v/>
      </c>
      <c r="K17" s="26">
        <f>PI()*H17/3*(F17^2+F17*G17+G17^2)</f>
        <v/>
      </c>
      <c r="L17" s="26">
        <f>K17*PREMISSAS!$C$17</f>
        <v/>
      </c>
    </row>
    <row r="18">
      <c r="A18" s="23" t="n">
        <v>14</v>
      </c>
      <c r="B18" s="24" t="inlineStr">
        <is>
          <t>TQ-6310815B</t>
        </is>
      </c>
      <c r="C18" s="16" t="inlineStr">
        <is>
          <t>815</t>
        </is>
      </c>
      <c r="D18" s="16" t="inlineStr">
        <is>
          <t>U-6310</t>
        </is>
      </c>
      <c r="E18" s="16" t="inlineStr">
        <is>
          <t>OB 80N</t>
        </is>
      </c>
      <c r="F18" s="25">
        <f>GEOMETRIA!$F$8</f>
        <v/>
      </c>
      <c r="G18" s="25">
        <f>GEOMETRIA!$G$8</f>
        <v/>
      </c>
      <c r="H18" s="25">
        <f>PREMISSAS!$C$7</f>
        <v/>
      </c>
      <c r="I18" s="26">
        <f>PI()*F18^2</f>
        <v/>
      </c>
      <c r="J18" s="26">
        <f>PI()*G18^2</f>
        <v/>
      </c>
      <c r="K18" s="26">
        <f>PI()*H18/3*(F18^2+F18*G18+G18^2)</f>
        <v/>
      </c>
      <c r="L18" s="26">
        <f>K18*PREMISSAS!$C$17</f>
        <v/>
      </c>
    </row>
    <row r="19">
      <c r="A19" s="23" t="n">
        <v>15</v>
      </c>
      <c r="B19" s="24" t="inlineStr">
        <is>
          <t>TQ-6310815C</t>
        </is>
      </c>
      <c r="C19" s="16" t="inlineStr">
        <is>
          <t>815</t>
        </is>
      </c>
      <c r="D19" s="16" t="inlineStr">
        <is>
          <t>U-6310</t>
        </is>
      </c>
      <c r="E19" s="16" t="inlineStr">
        <is>
          <t>OB 80N</t>
        </is>
      </c>
      <c r="F19" s="25">
        <f>GEOMETRIA!$F$8</f>
        <v/>
      </c>
      <c r="G19" s="25">
        <f>GEOMETRIA!$G$8</f>
        <v/>
      </c>
      <c r="H19" s="25">
        <f>PREMISSAS!$C$7</f>
        <v/>
      </c>
      <c r="I19" s="26">
        <f>PI()*F19^2</f>
        <v/>
      </c>
      <c r="J19" s="26">
        <f>PI()*G19^2</f>
        <v/>
      </c>
      <c r="K19" s="26">
        <f>PI()*H19/3*(F19^2+F19*G19+G19^2)</f>
        <v/>
      </c>
      <c r="L19" s="26">
        <f>K19*PREMISSAS!$C$17</f>
        <v/>
      </c>
    </row>
    <row r="20">
      <c r="A20" s="23" t="n">
        <v>16</v>
      </c>
      <c r="B20" s="24" t="inlineStr">
        <is>
          <t>TQ-6310815D</t>
        </is>
      </c>
      <c r="C20" s="16" t="inlineStr">
        <is>
          <t>815</t>
        </is>
      </c>
      <c r="D20" s="16" t="inlineStr">
        <is>
          <t>U-6310</t>
        </is>
      </c>
      <c r="E20" s="16" t="inlineStr">
        <is>
          <t>OB 80N</t>
        </is>
      </c>
      <c r="F20" s="25">
        <f>GEOMETRIA!$F$8</f>
        <v/>
      </c>
      <c r="G20" s="25">
        <f>GEOMETRIA!$G$8</f>
        <v/>
      </c>
      <c r="H20" s="25">
        <f>PREMISSAS!$C$7</f>
        <v/>
      </c>
      <c r="I20" s="26">
        <f>PI()*F20^2</f>
        <v/>
      </c>
      <c r="J20" s="26">
        <f>PI()*G20^2</f>
        <v/>
      </c>
      <c r="K20" s="26">
        <f>PI()*H20/3*(F20^2+F20*G20+G20^2)</f>
        <v/>
      </c>
      <c r="L20" s="26">
        <f>K20*PREMISSAS!$C$17</f>
        <v/>
      </c>
    </row>
    <row r="21">
      <c r="A21" s="23" t="n">
        <v>17</v>
      </c>
      <c r="B21" s="24" t="inlineStr">
        <is>
          <t>TQ-6312824</t>
        </is>
      </c>
      <c r="C21" s="16" t="inlineStr">
        <is>
          <t>824</t>
        </is>
      </c>
      <c r="D21" s="16" t="inlineStr">
        <is>
          <t>U-6312</t>
        </is>
      </c>
      <c r="E21" s="16" t="inlineStr">
        <is>
          <t>UCO</t>
        </is>
      </c>
      <c r="F21" s="25">
        <f>GEOMETRIA!$F$9</f>
        <v/>
      </c>
      <c r="G21" s="25">
        <f>GEOMETRIA!$G$9</f>
        <v/>
      </c>
      <c r="H21" s="25">
        <f>PREMISSAS!$C$7</f>
        <v/>
      </c>
      <c r="I21" s="26">
        <f>PI()*F21^2</f>
        <v/>
      </c>
      <c r="J21" s="26">
        <f>PI()*G21^2</f>
        <v/>
      </c>
      <c r="K21" s="26">
        <f>PI()*H21/3*(F21^2+F21*G21+G21^2)</f>
        <v/>
      </c>
      <c r="L21" s="26">
        <f>K21*PREMISSAS!$C$17</f>
        <v/>
      </c>
    </row>
    <row r="22">
      <c r="A22" s="27" t="n"/>
      <c r="B22" s="27" t="inlineStr">
        <is>
          <t>TOTAL — 17 tanques</t>
        </is>
      </c>
      <c r="C22" s="27" t="n"/>
      <c r="D22" s="27" t="n"/>
      <c r="E22" s="27" t="n"/>
      <c r="F22" s="27" t="n"/>
      <c r="G22" s="27" t="n"/>
      <c r="H22" s="27" t="n"/>
      <c r="I22" s="28">
        <f>SUM(I5:I21)</f>
        <v/>
      </c>
      <c r="J22" s="28">
        <f>SUM(J5:J21)</f>
        <v/>
      </c>
      <c r="K22" s="28">
        <f>SUM(K5:K21)</f>
        <v/>
      </c>
      <c r="L22" s="28">
        <f>SUM(L5:L21)</f>
        <v/>
      </c>
    </row>
    <row r="24">
      <c r="B24" s="11" t="inlineStr">
        <is>
          <t>Este volume é integralmente TROCA DE SOLO (Nota 4): o material escavado sai e é substituído por rachão, com posterior reaterro e controle de compactação. A escavação deve ser acompanhada por engenheiro geotécnico para ajuste da profundidade às condições reais do terreno.</t>
        </is>
      </c>
    </row>
    <row r="25">
      <c r="B25" s="11" t="inlineStr">
        <is>
          <t>Não inclui o corte de regularização da plataforma/bacia — ver aba QUANT-LINHA.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14" customWidth="1" min="3" max="3"/>
    <col width="14" customWidth="1" min="4" max="4"/>
    <col width="20" customWidth="1" min="5" max="5"/>
    <col width="12" customWidth="1" min="6" max="6"/>
    <col width="11" customWidth="1" min="7" max="7"/>
    <col width="14" customWidth="1" min="8" max="8"/>
  </cols>
  <sheetData>
    <row r="1">
      <c r="A1" s="1" t="inlineStr">
        <is>
          <t>AFERIÇÃO DO MODELO CONTRA A TABELA DE QUANTITATIVOS DO DESENHO</t>
        </is>
      </c>
    </row>
    <row r="2">
      <c r="A2" s="11" t="inlineStr">
        <is>
          <t>Tabela de quantitativos de escavação das áreas dos tanques — DE-5400.00-6310-113-TX3-003 rev.0</t>
        </is>
      </c>
    </row>
    <row r="4" ht="30" customHeight="1">
      <c r="A4" s="12" t="inlineStr">
        <is>
          <t>Linha</t>
        </is>
      </c>
      <c r="B4" s="12" t="inlineStr">
        <is>
          <t>Local (conforme desenho)</t>
        </is>
      </c>
      <c r="C4" s="12" t="inlineStr">
        <is>
          <t>CORTE do
desenho (m³)</t>
        </is>
      </c>
      <c r="D4" s="12" t="inlineStr">
        <is>
          <t>REATERRO do
desenho (m³)</t>
        </is>
      </c>
      <c r="E4" s="12" t="inlineStr">
        <is>
          <t>Escavação dos tanques
calculada (m³)</t>
        </is>
      </c>
      <c r="F4" s="12" t="inlineStr">
        <is>
          <t>Desvio
(m³)</t>
        </is>
      </c>
      <c r="G4" s="12" t="inlineStr">
        <is>
          <t>Desvio
(%)</t>
        </is>
      </c>
      <c r="H4" s="12" t="inlineStr">
        <is>
          <t>Aderência</t>
        </is>
      </c>
    </row>
    <row r="5">
      <c r="A5" s="13" t="inlineStr">
        <is>
          <t>816</t>
        </is>
      </c>
      <c r="B5" s="14" t="inlineStr">
        <is>
          <t>TQ-6310816A ATÉ TQ-6310816D E BACIAS</t>
        </is>
      </c>
      <c r="C5" s="29" t="n">
        <v>4100.16</v>
      </c>
      <c r="D5" s="29" t="n">
        <v>3945.84</v>
      </c>
      <c r="E5" s="30">
        <f>SUM('MC-TANQUE'!K5:K8)</f>
        <v/>
      </c>
      <c r="F5" s="26">
        <f>E5-D5</f>
        <v/>
      </c>
      <c r="G5" s="31">
        <f>IF(D5=0,"",F5/D5)</f>
        <v/>
      </c>
      <c r="H5" s="16">
        <f>IF(ABS(G5)&lt;=0.01,"Excelente",IF(ABS(G5)&lt;=0.03,"Boa","Verificar"))</f>
        <v/>
      </c>
    </row>
    <row r="6">
      <c r="A6" s="13" t="inlineStr">
        <is>
          <t>817</t>
        </is>
      </c>
      <c r="B6" s="14" t="inlineStr">
        <is>
          <t>TQ-6310817A ATÉ TQ-6310817D E BACIAS</t>
        </is>
      </c>
      <c r="C6" s="29" t="n">
        <v>4130.06</v>
      </c>
      <c r="D6" s="29" t="n">
        <v>3947.5</v>
      </c>
      <c r="E6" s="30">
        <f>SUM('MC-TANQUE'!K9:K12)</f>
        <v/>
      </c>
      <c r="F6" s="26">
        <f>E6-D6</f>
        <v/>
      </c>
      <c r="G6" s="31">
        <f>IF(D6=0,"",F6/D6)</f>
        <v/>
      </c>
      <c r="H6" s="16">
        <f>IF(ABS(G6)&lt;=0.01,"Excelente",IF(ABS(G6)&lt;=0.03,"Boa","Verificar"))</f>
        <v/>
      </c>
    </row>
    <row r="7">
      <c r="A7" s="13" t="inlineStr">
        <is>
          <t>818</t>
        </is>
      </c>
      <c r="B7" s="14" t="inlineStr">
        <is>
          <t>TQ-6310818A ATÉ TQ-6310818D E BACIAS</t>
        </is>
      </c>
      <c r="C7" s="29" t="n">
        <v>3599.36</v>
      </c>
      <c r="D7" s="29" t="n">
        <v>3455.05</v>
      </c>
      <c r="E7" s="30">
        <f>SUM('MC-TANQUE'!K13:K16)</f>
        <v/>
      </c>
      <c r="F7" s="26">
        <f>E7-D7</f>
        <v/>
      </c>
      <c r="G7" s="31">
        <f>IF(D7=0,"",F7/D7)</f>
        <v/>
      </c>
      <c r="H7" s="16">
        <f>IF(ABS(G7)&lt;=0.01,"Excelente",IF(ABS(G7)&lt;=0.03,"Boa","Verificar"))</f>
        <v/>
      </c>
    </row>
    <row r="8">
      <c r="A8" s="13" t="inlineStr">
        <is>
          <t>815</t>
        </is>
      </c>
      <c r="B8" s="14" t="inlineStr">
        <is>
          <t>TQ-6310815A ATÉ TQ-6310815D E BACIAS</t>
        </is>
      </c>
      <c r="C8" s="29" t="n">
        <v>2649.19</v>
      </c>
      <c r="D8" s="29" t="n">
        <v>2492.22</v>
      </c>
      <c r="E8" s="30">
        <f>SUM('MC-TANQUE'!K17:K20)</f>
        <v/>
      </c>
      <c r="F8" s="26">
        <f>E8-D8</f>
        <v/>
      </c>
      <c r="G8" s="31">
        <f>IF(D8=0,"",F8/D8)</f>
        <v/>
      </c>
      <c r="H8" s="16">
        <f>IF(ABS(G8)&lt;=0.01,"Excelente",IF(ABS(G8)&lt;=0.03,"Boa","Verificar"))</f>
        <v/>
      </c>
    </row>
    <row r="9">
      <c r="A9" s="13" t="inlineStr">
        <is>
          <t>824</t>
        </is>
      </c>
      <c r="B9" s="14" t="inlineStr">
        <is>
          <t>TQ-6312824 E BACIA</t>
        </is>
      </c>
      <c r="C9" s="29" t="n">
        <v>2789.14</v>
      </c>
      <c r="D9" s="29" t="n">
        <v>1756.44</v>
      </c>
      <c r="E9" s="30">
        <f>SUM('MC-TANQUE'!K21:K21)</f>
        <v/>
      </c>
      <c r="F9" s="26">
        <f>E9-D9</f>
        <v/>
      </c>
      <c r="G9" s="31">
        <f>IF(D9=0,"",F9/D9)</f>
        <v/>
      </c>
      <c r="H9" s="16">
        <f>IF(ABS(G9)&lt;=0.01,"Excelente",IF(ABS(G9)&lt;=0.03,"Boa","Verificar"))</f>
        <v/>
      </c>
    </row>
    <row r="10">
      <c r="A10" s="27" t="n"/>
      <c r="B10" s="27" t="inlineStr">
        <is>
          <t>TOTAL</t>
        </is>
      </c>
      <c r="C10" s="28">
        <f>SUM(C5:C9)</f>
        <v/>
      </c>
      <c r="D10" s="28">
        <f>SUM(D5:D9)</f>
        <v/>
      </c>
      <c r="E10" s="28">
        <f>SUM(E5:E9)</f>
        <v/>
      </c>
      <c r="F10" s="28">
        <f>E10-D10</f>
        <v/>
      </c>
      <c r="G10" s="32">
        <f>F10/D10</f>
        <v/>
      </c>
      <c r="H10" s="27" t="n"/>
    </row>
    <row r="12">
      <c r="B12" s="2" t="inlineStr">
        <is>
          <t>LEITURA DO RESULTADO</t>
        </is>
      </c>
    </row>
    <row r="13">
      <c r="B13" s="11" t="inlineStr">
        <is>
          <t>1. O modelo geométrico reproduz a coluna REATERRO do desenho com desvio total de +0,25%, e abaixo de 0,1% em três das cinco linhas (816, 817 e 818).</t>
        </is>
      </c>
    </row>
    <row r="14">
      <c r="B14" s="11" t="inlineStr">
        <is>
          <t xml:space="preserve">   Isso comprova que o REATERRO do desenho corresponde ao volume escavado sob os tanques (tronco de cone, EL. 17,50 a 19,00, talude de corte 1:1).</t>
        </is>
      </c>
    </row>
    <row r="15">
      <c r="B15" s="11" t="inlineStr">
        <is>
          <t xml:space="preserve">   Ressalva de independência: o raio da linha 818 foi retro-calculado a partir do próprio volume do desenho, de modo que o desvio de 0,03% dessa linha</t>
        </is>
      </c>
    </row>
    <row r="16">
      <c r="B16" s="11" t="inlineStr">
        <is>
          <t xml:space="preserve">   não constitui verificação independente. A aferição é independente nas linhas 816, 817 e 824, cujos raios estão cotados na planta.</t>
        </is>
      </c>
    </row>
    <row r="17">
      <c r="B17" s="11" t="inlineStr"/>
    </row>
    <row r="18">
      <c r="B18" s="11" t="inlineStr">
        <is>
          <t>2. A linha 815 é o único desvio relevante (+47,71 m³, +1,91%). Mecanismos identificados e quantificados por integração:</t>
        </is>
      </c>
    </row>
    <row r="19">
      <c r="B19" s="11" t="inlineStr">
        <is>
          <t xml:space="preserve">        truncamento dos quatro cones pelo limite sul da plataforma (cota 10,97 m do eixo, menor que o raio de topo 12,35 m) .... 23,05 m³</t>
        </is>
      </c>
    </row>
    <row r="20">
      <c r="B20" s="11" t="inlineStr">
        <is>
          <t xml:space="preserve">        truncamento do cone da extremidade oeste (cota 11,85 m) ........................................................  0,46 m³</t>
        </is>
      </c>
    </row>
    <row r="21">
      <c r="B21" s="11" t="inlineStr">
        <is>
          <t xml:space="preserve">        truncamento do cone da extremidade leste (cota 11,15 m) ........................................................  4,08 m³</t>
        </is>
      </c>
    </row>
    <row r="22">
      <c r="B22" s="11" t="inlineStr">
        <is>
          <t xml:space="preserve">        sobreposição entre cones adjacentes (espaçamento 24,00 m, raio de topo 12,35 m) ................................  1,14 m³</t>
        </is>
      </c>
    </row>
    <row r="23">
      <c r="B23" s="11" t="inlineStr">
        <is>
          <t xml:space="preserve">        soma .......................................................................................................... 28,73 m³  (60% do desvio)</t>
        </is>
      </c>
    </row>
    <row r="24">
      <c r="B24" s="11" t="inlineStr">
        <is>
          <t xml:space="preserve">   O saldo de aproximadamente 19 m³ (0,76% da linha) permanece em aberto e deve ser confirmado com o projetista.</t>
        </is>
      </c>
    </row>
    <row r="25">
      <c r="B25" s="11" t="inlineStr">
        <is>
          <t xml:space="preserve">   Adota-se o valor do desenho por prevalência contratual do documento emitido — e não por margem de segurança: 2.492,22 m³ é o MENOR dos dois valores.</t>
        </is>
      </c>
    </row>
    <row r="26">
      <c r="B26" s="11" t="inlineStr"/>
    </row>
    <row r="27">
      <c r="B27" s="11" t="inlineStr">
        <is>
          <t>3. Inconsistência interna do projeto a esclarecer: o corte D-D cota os espaçamentos de eixo da linha 815 como 24,11 / 23,89 / 24,00 m, enquanto a planta</t>
        </is>
      </c>
    </row>
    <row r="28">
      <c r="B28" s="11" t="inlineStr">
        <is>
          <t xml:space="preserve">   e as coordenadas PDMS do próprio corte (E=4208,387 / 4232,387 / 4256,387 / 4280,387) dão 24,000 m exatos. Não afeta o volume, porque a soma de</t>
        </is>
      </c>
    </row>
    <row r="29">
      <c r="B29" s="11" t="inlineStr">
        <is>
          <t xml:space="preserve">   troncos de cone independentes não depende do espaçamento entre eles.</t>
        </is>
      </c>
    </row>
    <row r="30">
      <c r="B30" s="11" t="inlineStr"/>
    </row>
    <row r="31">
      <c r="B31" s="11" t="inlineStr">
        <is>
          <t>4. A diferença CORTE − REATERRO é o corte de regularização da plataforma e da bacia de contenção — quantificado na aba QUANT-LINHA.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8" customWidth="1" min="3" max="3"/>
    <col width="13" customWidth="1" min="4" max="4"/>
    <col width="15" customWidth="1" min="5" max="5"/>
    <col width="17" customWidth="1" min="6" max="6"/>
    <col width="10" customWidth="1" min="7" max="7"/>
    <col width="10" customWidth="1" min="8" max="8"/>
    <col width="13" customWidth="1" min="9" max="9"/>
    <col width="14" customWidth="1" min="10" max="10"/>
    <col width="12" customWidth="1" min="11" max="11"/>
  </cols>
  <sheetData>
    <row r="1">
      <c r="A1" s="1" t="inlineStr">
        <is>
          <t>CONSOLIDAÇÃO POR LINHA DE TANQUES</t>
        </is>
      </c>
    </row>
    <row r="2">
      <c r="A2" s="11" t="inlineStr">
        <is>
          <t>Decomposição do CORTE do desenho em: escavação/troca de solo sob os tanques + corte de regularização da plataforma e bacia</t>
        </is>
      </c>
    </row>
    <row r="4" ht="30" customHeight="1">
      <c r="A4" s="12" t="inlineStr">
        <is>
          <t>Linha</t>
        </is>
      </c>
      <c r="B4" s="12" t="inlineStr">
        <is>
          <t>Local</t>
        </is>
      </c>
      <c r="C4" s="12" t="inlineStr">
        <is>
          <t>Qtd
tanques</t>
        </is>
      </c>
      <c r="D4" s="12" t="inlineStr">
        <is>
          <t>CORTE total
(m³)</t>
        </is>
      </c>
      <c r="E4" s="12" t="inlineStr">
        <is>
          <t>Troca de solo
— tanques (m³)</t>
        </is>
      </c>
      <c r="F4" s="12" t="inlineStr">
        <is>
          <t>Plataforma e bacia
— corte compl. (m³)</t>
        </is>
      </c>
      <c r="G4" s="12" t="inlineStr">
        <is>
          <t>% tanques</t>
        </is>
      </c>
      <c r="H4" s="12" t="inlineStr">
        <is>
          <t>% bacia</t>
        </is>
      </c>
      <c r="I4" s="12" t="inlineStr">
        <is>
          <t>CORTE por
tanque (m³)</t>
        </is>
      </c>
      <c r="J4" s="12" t="inlineStr">
        <is>
          <t>Troca de solo
por tanque (m³)</t>
        </is>
      </c>
      <c r="K4" s="12" t="inlineStr">
        <is>
          <t>Bacia por
tanque (m³)</t>
        </is>
      </c>
    </row>
    <row r="5">
      <c r="A5" s="13" t="inlineStr">
        <is>
          <t>816</t>
        </is>
      </c>
      <c r="B5" s="14" t="inlineStr">
        <is>
          <t>TQ-6310816A ATÉ TQ-6310816D E BACIAS</t>
        </is>
      </c>
      <c r="C5" s="33">
        <f>GEOMETRIA!$D$5</f>
        <v/>
      </c>
      <c r="D5" s="30">
        <f>AFERIÇÃO!C5</f>
        <v/>
      </c>
      <c r="E5" s="30">
        <f>AFERIÇÃO!D5</f>
        <v/>
      </c>
      <c r="F5" s="26">
        <f>D5-E5</f>
        <v/>
      </c>
      <c r="G5" s="31">
        <f>E5/D5</f>
        <v/>
      </c>
      <c r="H5" s="31">
        <f>F5/D5</f>
        <v/>
      </c>
      <c r="I5" s="26">
        <f>D5/C5</f>
        <v/>
      </c>
      <c r="J5" s="26">
        <f>E5/C5</f>
        <v/>
      </c>
      <c r="K5" s="26">
        <f>F5/C5</f>
        <v/>
      </c>
    </row>
    <row r="6">
      <c r="A6" s="13" t="inlineStr">
        <is>
          <t>817</t>
        </is>
      </c>
      <c r="B6" s="14" t="inlineStr">
        <is>
          <t>TQ-6310817A ATÉ TQ-6310817D E BACIAS</t>
        </is>
      </c>
      <c r="C6" s="33">
        <f>GEOMETRIA!$D$6</f>
        <v/>
      </c>
      <c r="D6" s="30">
        <f>AFERIÇÃO!C6</f>
        <v/>
      </c>
      <c r="E6" s="30">
        <f>AFERIÇÃO!D6</f>
        <v/>
      </c>
      <c r="F6" s="26">
        <f>D6-E6</f>
        <v/>
      </c>
      <c r="G6" s="31">
        <f>E6/D6</f>
        <v/>
      </c>
      <c r="H6" s="31">
        <f>F6/D6</f>
        <v/>
      </c>
      <c r="I6" s="26">
        <f>D6/C6</f>
        <v/>
      </c>
      <c r="J6" s="26">
        <f>E6/C6</f>
        <v/>
      </c>
      <c r="K6" s="26">
        <f>F6/C6</f>
        <v/>
      </c>
    </row>
    <row r="7">
      <c r="A7" s="13" t="inlineStr">
        <is>
          <t>818</t>
        </is>
      </c>
      <c r="B7" s="14" t="inlineStr">
        <is>
          <t>TQ-6310818A ATÉ TQ-6310818D E BACIAS</t>
        </is>
      </c>
      <c r="C7" s="33">
        <f>GEOMETRIA!$D$7</f>
        <v/>
      </c>
      <c r="D7" s="30">
        <f>AFERIÇÃO!C7</f>
        <v/>
      </c>
      <c r="E7" s="30">
        <f>AFERIÇÃO!D7</f>
        <v/>
      </c>
      <c r="F7" s="26">
        <f>D7-E7</f>
        <v/>
      </c>
      <c r="G7" s="31">
        <f>E7/D7</f>
        <v/>
      </c>
      <c r="H7" s="31">
        <f>F7/D7</f>
        <v/>
      </c>
      <c r="I7" s="26">
        <f>D7/C7</f>
        <v/>
      </c>
      <c r="J7" s="26">
        <f>E7/C7</f>
        <v/>
      </c>
      <c r="K7" s="26">
        <f>F7/C7</f>
        <v/>
      </c>
    </row>
    <row r="8">
      <c r="A8" s="13" t="inlineStr">
        <is>
          <t>815</t>
        </is>
      </c>
      <c r="B8" s="14" t="inlineStr">
        <is>
          <t>TQ-6310815A ATÉ TQ-6310815D E BACIAS</t>
        </is>
      </c>
      <c r="C8" s="33">
        <f>GEOMETRIA!$D$8</f>
        <v/>
      </c>
      <c r="D8" s="30">
        <f>AFERIÇÃO!C8</f>
        <v/>
      </c>
      <c r="E8" s="30">
        <f>AFERIÇÃO!D8</f>
        <v/>
      </c>
      <c r="F8" s="26">
        <f>D8-E8</f>
        <v/>
      </c>
      <c r="G8" s="31">
        <f>E8/D8</f>
        <v/>
      </c>
      <c r="H8" s="31">
        <f>F8/D8</f>
        <v/>
      </c>
      <c r="I8" s="26">
        <f>D8/C8</f>
        <v/>
      </c>
      <c r="J8" s="26">
        <f>E8/C8</f>
        <v/>
      </c>
      <c r="K8" s="26">
        <f>F8/C8</f>
        <v/>
      </c>
    </row>
    <row r="9">
      <c r="A9" s="13" t="inlineStr">
        <is>
          <t>824</t>
        </is>
      </c>
      <c r="B9" s="14" t="inlineStr">
        <is>
          <t>TQ-6312824 E BACIA</t>
        </is>
      </c>
      <c r="C9" s="33">
        <f>GEOMETRIA!$D$9</f>
        <v/>
      </c>
      <c r="D9" s="30">
        <f>AFERIÇÃO!C9</f>
        <v/>
      </c>
      <c r="E9" s="30">
        <f>AFERIÇÃO!D9</f>
        <v/>
      </c>
      <c r="F9" s="26">
        <f>D9-E9</f>
        <v/>
      </c>
      <c r="G9" s="31">
        <f>E9/D9</f>
        <v/>
      </c>
      <c r="H9" s="31">
        <f>F9/D9</f>
        <v/>
      </c>
      <c r="I9" s="26">
        <f>D9/C9</f>
        <v/>
      </c>
      <c r="J9" s="26">
        <f>E9/C9</f>
        <v/>
      </c>
      <c r="K9" s="26">
        <f>F9/C9</f>
        <v/>
      </c>
    </row>
    <row r="10">
      <c r="A10" s="27" t="n"/>
      <c r="B10" s="27" t="inlineStr">
        <is>
          <t>TOTAL</t>
        </is>
      </c>
      <c r="C10" s="34">
        <f>SUM(C5:C9)</f>
        <v/>
      </c>
      <c r="D10" s="28">
        <f>SUM(D5:D9)</f>
        <v/>
      </c>
      <c r="E10" s="28">
        <f>SUM(E5:E9)</f>
        <v/>
      </c>
      <c r="F10" s="28">
        <f>SUM(F5:F9)</f>
        <v/>
      </c>
      <c r="G10" s="32">
        <f>E10/D10</f>
        <v/>
      </c>
      <c r="H10" s="32">
        <f>F10/D10</f>
        <v/>
      </c>
      <c r="I10" s="27" t="n"/>
      <c r="J10" s="27" t="n"/>
      <c r="K10" s="27" t="n"/>
    </row>
    <row r="12">
      <c r="B12" s="2" t="inlineStr">
        <is>
          <t>OBSERVAÇÃO SOBRE O RATEIO TANQUE / BACIA</t>
        </is>
      </c>
    </row>
    <row r="13">
      <c r="B13" s="11" t="inlineStr">
        <is>
          <t>A planilha de importação de FTs vigente rateia o volume em 70% para a 'área tanque' e 30% para a 'área bacia'.</t>
        </is>
      </c>
    </row>
    <row r="14">
      <c r="B14" s="11" t="inlineStr">
        <is>
          <t>Pela geometria do projeto esse rateio não se sustenta nas linhas de U-6310: a escavação sob os tanques responde por 94% a 96% do corte,</t>
        </is>
      </c>
    </row>
    <row r="15">
      <c r="B15" s="11" t="inlineStr">
        <is>
          <t>porque a bacia é apenas regularizada (EL. 19,00 → 18,90, i ≥ 1,5%) enquanto o tanque é escavado 1,50 m.</t>
        </is>
      </c>
    </row>
    <row r="16">
      <c r="B16" s="11" t="inlineStr">
        <is>
          <t>Somente o TQ-6312824 se aproxima do rateio adotado (63% / 37%), por ter bacia bem maior e ponto baixo em EL. 18,70.</t>
        </is>
      </c>
    </row>
    <row r="17">
      <c r="B17" s="11" t="inlineStr">
        <is>
          <t>Consequência: aplicar o fator 0,7 sobre o volume da linha subestima o escopo de escavação em cerca de 26 pontos percentuais.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8" customWidth="1" min="4" max="4"/>
    <col width="20" customWidth="1" min="5" max="5"/>
    <col width="8" customWidth="1" min="6" max="6"/>
    <col width="21" customWidth="1" min="7" max="7"/>
    <col width="8" customWidth="1" min="8" max="8"/>
    <col width="8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</cols>
  <sheetData>
    <row r="1">
      <c r="A1" s="1" t="inlineStr">
        <is>
          <t>DISTRIBUIÇÃO DOS QUANTITATIVOS PELAS FICHAS DE TAREFA</t>
        </is>
      </c>
    </row>
    <row r="2">
      <c r="A2" s="11" t="inlineStr">
        <is>
          <t>Rateio por tanque (e não pela área total), preservando o particionamento adotado pela equipe: 2 FTs por linha de tanques</t>
        </is>
      </c>
    </row>
    <row r="4" ht="30" customHeight="1">
      <c r="A4" s="12" t="inlineStr">
        <is>
          <t>Chave de
importação</t>
        </is>
      </c>
      <c r="B4" s="12" t="inlineStr">
        <is>
          <t>TAG do componente</t>
        </is>
      </c>
      <c r="C4" s="12" t="inlineStr">
        <is>
          <t>Data
programada</t>
        </is>
      </c>
      <c r="D4" s="12" t="inlineStr">
        <is>
          <t>Unid.</t>
        </is>
      </c>
      <c r="E4" s="12" t="inlineStr">
        <is>
          <t>Código Primavera</t>
        </is>
      </c>
      <c r="F4" s="12" t="inlineStr">
        <is>
          <t>Linha</t>
        </is>
      </c>
      <c r="G4" s="12" t="inlineStr">
        <is>
          <t>Tanques abrangidos</t>
        </is>
      </c>
      <c r="H4" s="12" t="inlineStr">
        <is>
          <t>Nº de
tanques</t>
        </is>
      </c>
      <c r="I4" s="12" t="inlineStr">
        <is>
          <t>Fração da linha
(1 ÷ nº de FTs)</t>
        </is>
      </c>
      <c r="J4" s="12" t="inlineStr">
        <is>
          <t>CORTE geométrico
(m³)</t>
        </is>
      </c>
      <c r="K4" s="12" t="inlineStr">
        <is>
          <t>Troca de solo
geométrico (m³)</t>
        </is>
      </c>
      <c r="L4" s="12" t="inlineStr">
        <is>
          <t>Plataforma/bacia
geométrico (m³)</t>
        </is>
      </c>
      <c r="M4" s="12" t="inlineStr">
        <is>
          <t>CORTE solto —
transporte (m³)</t>
        </is>
      </c>
      <c r="N4" s="12" t="inlineStr">
        <is>
          <t>Rachão a fornecer
(m³ in situ)</t>
        </is>
      </c>
    </row>
    <row r="5">
      <c r="A5" s="13" t="inlineStr">
        <is>
          <t>FT-CV-2619</t>
        </is>
      </c>
      <c r="B5" s="14" t="inlineStr">
        <is>
          <t>TQ-6310816D/C</t>
        </is>
      </c>
      <c r="C5" s="35" t="n">
        <v>46262</v>
      </c>
      <c r="D5" s="16" t="inlineStr">
        <is>
          <t>U6310</t>
        </is>
      </c>
      <c r="E5" s="16" t="inlineStr">
        <is>
          <t>U6310-C-610246000</t>
        </is>
      </c>
      <c r="F5" s="16" t="inlineStr">
        <is>
          <t>816</t>
        </is>
      </c>
      <c r="G5" s="14" t="inlineStr">
        <is>
          <t>TQ-6310816D e TQ-6310816C</t>
        </is>
      </c>
      <c r="H5" s="21" t="n">
        <v>2</v>
      </c>
      <c r="I5" s="36">
        <f>1/PREMISSAS!$C$19</f>
        <v/>
      </c>
      <c r="J5" s="26">
        <f>INDEX('QUANT-LINHA'!$D$5:$D$9,MATCH($F5,'QUANT-LINHA'!$A$5:$A$9,0))*$I5</f>
        <v/>
      </c>
      <c r="K5" s="26">
        <f>INDEX('QUANT-LINHA'!$E$5:$E$9,MATCH($F5,'QUANT-LINHA'!$A$5:$A$9,0))*$I5</f>
        <v/>
      </c>
      <c r="L5" s="26">
        <f>INDEX('QUANT-LINHA'!$F$5:$F$9,MATCH($F5,'QUANT-LINHA'!$A$5:$A$9,0))*$I5</f>
        <v/>
      </c>
      <c r="M5" s="26">
        <f>J5*PREMISSAS!$C$17</f>
        <v/>
      </c>
      <c r="N5" s="26">
        <f>K5</f>
        <v/>
      </c>
    </row>
    <row r="6">
      <c r="A6" s="13" t="inlineStr">
        <is>
          <t>FT-CV-2620</t>
        </is>
      </c>
      <c r="B6" s="14" t="inlineStr">
        <is>
          <t>TQ-6310816B/A</t>
        </is>
      </c>
      <c r="C6" s="35" t="n">
        <v>46269</v>
      </c>
      <c r="D6" s="16" t="inlineStr">
        <is>
          <t>U6310</t>
        </is>
      </c>
      <c r="E6" s="16" t="inlineStr">
        <is>
          <t>U6310-C-610246000</t>
        </is>
      </c>
      <c r="F6" s="16" t="inlineStr">
        <is>
          <t>816</t>
        </is>
      </c>
      <c r="G6" s="14" t="inlineStr">
        <is>
          <t>TQ-6310816B e TQ-6310816A</t>
        </is>
      </c>
      <c r="H6" s="21" t="n">
        <v>2</v>
      </c>
      <c r="I6" s="36">
        <f>1/PREMISSAS!$C$19</f>
        <v/>
      </c>
      <c r="J6" s="26">
        <f>INDEX('QUANT-LINHA'!$D$5:$D$9,MATCH($F6,'QUANT-LINHA'!$A$5:$A$9,0))*$I6</f>
        <v/>
      </c>
      <c r="K6" s="26">
        <f>INDEX('QUANT-LINHA'!$E$5:$E$9,MATCH($F6,'QUANT-LINHA'!$A$5:$A$9,0))*$I6</f>
        <v/>
      </c>
      <c r="L6" s="26">
        <f>INDEX('QUANT-LINHA'!$F$5:$F$9,MATCH($F6,'QUANT-LINHA'!$A$5:$A$9,0))*$I6</f>
        <v/>
      </c>
      <c r="M6" s="26">
        <f>J6*PREMISSAS!$C$17</f>
        <v/>
      </c>
      <c r="N6" s="26">
        <f>K6</f>
        <v/>
      </c>
    </row>
    <row r="7">
      <c r="A7" s="13" t="inlineStr">
        <is>
          <t>FT-CV-2621</t>
        </is>
      </c>
      <c r="B7" s="14" t="inlineStr">
        <is>
          <t>TQ-6310817D/C</t>
        </is>
      </c>
      <c r="C7" s="35" t="n">
        <v>46276</v>
      </c>
      <c r="D7" s="16" t="inlineStr">
        <is>
          <t>U6310</t>
        </is>
      </c>
      <c r="E7" s="16" t="inlineStr">
        <is>
          <t>U6310-C-610250000</t>
        </is>
      </c>
      <c r="F7" s="16" t="inlineStr">
        <is>
          <t>817</t>
        </is>
      </c>
      <c r="G7" s="14" t="inlineStr">
        <is>
          <t>TQ-6310817D e TQ-6310817C</t>
        </is>
      </c>
      <c r="H7" s="21" t="n">
        <v>2</v>
      </c>
      <c r="I7" s="36">
        <f>1/PREMISSAS!$C$19</f>
        <v/>
      </c>
      <c r="J7" s="26">
        <f>INDEX('QUANT-LINHA'!$D$5:$D$9,MATCH($F7,'QUANT-LINHA'!$A$5:$A$9,0))*$I7</f>
        <v/>
      </c>
      <c r="K7" s="26">
        <f>INDEX('QUANT-LINHA'!$E$5:$E$9,MATCH($F7,'QUANT-LINHA'!$A$5:$A$9,0))*$I7</f>
        <v/>
      </c>
      <c r="L7" s="26">
        <f>INDEX('QUANT-LINHA'!$F$5:$F$9,MATCH($F7,'QUANT-LINHA'!$A$5:$A$9,0))*$I7</f>
        <v/>
      </c>
      <c r="M7" s="26">
        <f>J7*PREMISSAS!$C$17</f>
        <v/>
      </c>
      <c r="N7" s="26">
        <f>K7</f>
        <v/>
      </c>
    </row>
    <row r="8">
      <c r="A8" s="13" t="inlineStr">
        <is>
          <t>FT-CV-2622</t>
        </is>
      </c>
      <c r="B8" s="14" t="inlineStr">
        <is>
          <t>TQ-6310817B/A</t>
        </is>
      </c>
      <c r="C8" s="35" t="n">
        <v>46283</v>
      </c>
      <c r="D8" s="16" t="inlineStr">
        <is>
          <t>U6310</t>
        </is>
      </c>
      <c r="E8" s="16" t="inlineStr">
        <is>
          <t>U6310-C-610250000</t>
        </is>
      </c>
      <c r="F8" s="16" t="inlineStr">
        <is>
          <t>817</t>
        </is>
      </c>
      <c r="G8" s="14" t="inlineStr">
        <is>
          <t>TQ-6310817B e TQ-6310817A</t>
        </is>
      </c>
      <c r="H8" s="21" t="n">
        <v>2</v>
      </c>
      <c r="I8" s="36">
        <f>1/PREMISSAS!$C$19</f>
        <v/>
      </c>
      <c r="J8" s="26">
        <f>INDEX('QUANT-LINHA'!$D$5:$D$9,MATCH($F8,'QUANT-LINHA'!$A$5:$A$9,0))*$I8</f>
        <v/>
      </c>
      <c r="K8" s="26">
        <f>INDEX('QUANT-LINHA'!$E$5:$E$9,MATCH($F8,'QUANT-LINHA'!$A$5:$A$9,0))*$I8</f>
        <v/>
      </c>
      <c r="L8" s="26">
        <f>INDEX('QUANT-LINHA'!$F$5:$F$9,MATCH($F8,'QUANT-LINHA'!$A$5:$A$9,0))*$I8</f>
        <v/>
      </c>
      <c r="M8" s="26">
        <f>J8*PREMISSAS!$C$17</f>
        <v/>
      </c>
      <c r="N8" s="26">
        <f>K8</f>
        <v/>
      </c>
    </row>
    <row r="9">
      <c r="A9" s="13" t="inlineStr">
        <is>
          <t>FT-CV-2623</t>
        </is>
      </c>
      <c r="B9" s="14" t="inlineStr">
        <is>
          <t>TQ-6312824_1</t>
        </is>
      </c>
      <c r="C9" s="35" t="n">
        <v>46290</v>
      </c>
      <c r="D9" s="16" t="inlineStr">
        <is>
          <t>U6312</t>
        </is>
      </c>
      <c r="E9" s="16" t="inlineStr">
        <is>
          <t>U6312-C-710073000</t>
        </is>
      </c>
      <c r="F9" s="16" t="inlineStr">
        <is>
          <t>824</t>
        </is>
      </c>
      <c r="G9" s="14" t="inlineStr">
        <is>
          <t>TQ-6312824 — 1ª metade</t>
        </is>
      </c>
      <c r="H9" s="21" t="n">
        <v>1</v>
      </c>
      <c r="I9" s="36">
        <f>1/PREMISSAS!$C$19</f>
        <v/>
      </c>
      <c r="J9" s="26">
        <f>INDEX('QUANT-LINHA'!$D$5:$D$9,MATCH($F9,'QUANT-LINHA'!$A$5:$A$9,0))*$I9</f>
        <v/>
      </c>
      <c r="K9" s="26">
        <f>INDEX('QUANT-LINHA'!$E$5:$E$9,MATCH($F9,'QUANT-LINHA'!$A$5:$A$9,0))*$I9</f>
        <v/>
      </c>
      <c r="L9" s="26">
        <f>INDEX('QUANT-LINHA'!$F$5:$F$9,MATCH($F9,'QUANT-LINHA'!$A$5:$A$9,0))*$I9</f>
        <v/>
      </c>
      <c r="M9" s="26">
        <f>J9*PREMISSAS!$C$17</f>
        <v/>
      </c>
      <c r="N9" s="26">
        <f>K9</f>
        <v/>
      </c>
    </row>
    <row r="10">
      <c r="A10" s="13" t="inlineStr">
        <is>
          <t>FT-CV-2624</t>
        </is>
      </c>
      <c r="B10" s="14" t="inlineStr">
        <is>
          <t>TQ-6312824_2</t>
        </is>
      </c>
      <c r="C10" s="35" t="n">
        <v>46297</v>
      </c>
      <c r="D10" s="16" t="inlineStr">
        <is>
          <t>U6312</t>
        </is>
      </c>
      <c r="E10" s="16" t="inlineStr">
        <is>
          <t>U6312-C-710073000</t>
        </is>
      </c>
      <c r="F10" s="16" t="inlineStr">
        <is>
          <t>824</t>
        </is>
      </c>
      <c r="G10" s="14" t="inlineStr">
        <is>
          <t>TQ-6312824 — 2ª metade</t>
        </is>
      </c>
      <c r="H10" s="21" t="n">
        <v>1</v>
      </c>
      <c r="I10" s="36">
        <f>1/PREMISSAS!$C$19</f>
        <v/>
      </c>
      <c r="J10" s="26">
        <f>INDEX('QUANT-LINHA'!$D$5:$D$9,MATCH($F10,'QUANT-LINHA'!$A$5:$A$9,0))*$I10</f>
        <v/>
      </c>
      <c r="K10" s="26">
        <f>INDEX('QUANT-LINHA'!$E$5:$E$9,MATCH($F10,'QUANT-LINHA'!$A$5:$A$9,0))*$I10</f>
        <v/>
      </c>
      <c r="L10" s="26">
        <f>INDEX('QUANT-LINHA'!$F$5:$F$9,MATCH($F10,'QUANT-LINHA'!$A$5:$A$9,0))*$I10</f>
        <v/>
      </c>
      <c r="M10" s="26">
        <f>J10*PREMISSAS!$C$17</f>
        <v/>
      </c>
      <c r="N10" s="26">
        <f>K10</f>
        <v/>
      </c>
    </row>
    <row r="11">
      <c r="A11" s="13" t="inlineStr">
        <is>
          <t>FT-CV-2625</t>
        </is>
      </c>
      <c r="B11" s="14" t="inlineStr">
        <is>
          <t>TQ-6310818D/C</t>
        </is>
      </c>
      <c r="C11" s="35" t="n">
        <v>46304</v>
      </c>
      <c r="D11" s="16" t="inlineStr">
        <is>
          <t>U6310</t>
        </is>
      </c>
      <c r="E11" s="16" t="inlineStr">
        <is>
          <t>U6310-C-620256000</t>
        </is>
      </c>
      <c r="F11" s="16" t="inlineStr">
        <is>
          <t>818</t>
        </is>
      </c>
      <c r="G11" s="14" t="inlineStr">
        <is>
          <t>TQ-6310818D e TQ-6310818C</t>
        </is>
      </c>
      <c r="H11" s="21" t="n">
        <v>2</v>
      </c>
      <c r="I11" s="36">
        <f>1/PREMISSAS!$C$19</f>
        <v/>
      </c>
      <c r="J11" s="26">
        <f>INDEX('QUANT-LINHA'!$D$5:$D$9,MATCH($F11,'QUANT-LINHA'!$A$5:$A$9,0))*$I11</f>
        <v/>
      </c>
      <c r="K11" s="26">
        <f>INDEX('QUANT-LINHA'!$E$5:$E$9,MATCH($F11,'QUANT-LINHA'!$A$5:$A$9,0))*$I11</f>
        <v/>
      </c>
      <c r="L11" s="26">
        <f>INDEX('QUANT-LINHA'!$F$5:$F$9,MATCH($F11,'QUANT-LINHA'!$A$5:$A$9,0))*$I11</f>
        <v/>
      </c>
      <c r="M11" s="26">
        <f>J11*PREMISSAS!$C$17</f>
        <v/>
      </c>
      <c r="N11" s="26">
        <f>K11</f>
        <v/>
      </c>
    </row>
    <row r="12">
      <c r="A12" s="13" t="inlineStr">
        <is>
          <t>FT-CV-2626</t>
        </is>
      </c>
      <c r="B12" s="14" t="inlineStr">
        <is>
          <t>TQ-6310818B/A</t>
        </is>
      </c>
      <c r="C12" s="35" t="n">
        <v>46311</v>
      </c>
      <c r="D12" s="16" t="inlineStr">
        <is>
          <t>U6310</t>
        </is>
      </c>
      <c r="E12" s="16" t="inlineStr">
        <is>
          <t>U6310-C-620256000</t>
        </is>
      </c>
      <c r="F12" s="16" t="inlineStr">
        <is>
          <t>818</t>
        </is>
      </c>
      <c r="G12" s="14" t="inlineStr">
        <is>
          <t>TQ-6310818B e TQ-6310818A</t>
        </is>
      </c>
      <c r="H12" s="21" t="n">
        <v>2</v>
      </c>
      <c r="I12" s="36">
        <f>1/PREMISSAS!$C$19</f>
        <v/>
      </c>
      <c r="J12" s="26">
        <f>INDEX('QUANT-LINHA'!$D$5:$D$9,MATCH($F12,'QUANT-LINHA'!$A$5:$A$9,0))*$I12</f>
        <v/>
      </c>
      <c r="K12" s="26">
        <f>INDEX('QUANT-LINHA'!$E$5:$E$9,MATCH($F12,'QUANT-LINHA'!$A$5:$A$9,0))*$I12</f>
        <v/>
      </c>
      <c r="L12" s="26">
        <f>INDEX('QUANT-LINHA'!$F$5:$F$9,MATCH($F12,'QUANT-LINHA'!$A$5:$A$9,0))*$I12</f>
        <v/>
      </c>
      <c r="M12" s="26">
        <f>J12*PREMISSAS!$C$17</f>
        <v/>
      </c>
      <c r="N12" s="26">
        <f>K12</f>
        <v/>
      </c>
    </row>
    <row r="13">
      <c r="A13" s="13" t="inlineStr">
        <is>
          <t>FT-CV-2627</t>
        </is>
      </c>
      <c r="B13" s="14" t="inlineStr">
        <is>
          <t>TQ-6310815D/C</t>
        </is>
      </c>
      <c r="C13" s="35" t="n">
        <v>46318</v>
      </c>
      <c r="D13" s="16" t="inlineStr">
        <is>
          <t>U6310</t>
        </is>
      </c>
      <c r="E13" s="16" t="inlineStr">
        <is>
          <t>U6310-C-620252000</t>
        </is>
      </c>
      <c r="F13" s="16" t="inlineStr">
        <is>
          <t>815</t>
        </is>
      </c>
      <c r="G13" s="14" t="inlineStr">
        <is>
          <t>TQ-6310815D e TQ-6310815C</t>
        </is>
      </c>
      <c r="H13" s="21" t="n">
        <v>2</v>
      </c>
      <c r="I13" s="36">
        <f>1/PREMISSAS!$C$19</f>
        <v/>
      </c>
      <c r="J13" s="26">
        <f>INDEX('QUANT-LINHA'!$D$5:$D$9,MATCH($F13,'QUANT-LINHA'!$A$5:$A$9,0))*$I13</f>
        <v/>
      </c>
      <c r="K13" s="26">
        <f>INDEX('QUANT-LINHA'!$E$5:$E$9,MATCH($F13,'QUANT-LINHA'!$A$5:$A$9,0))*$I13</f>
        <v/>
      </c>
      <c r="L13" s="26">
        <f>INDEX('QUANT-LINHA'!$F$5:$F$9,MATCH($F13,'QUANT-LINHA'!$A$5:$A$9,0))*$I13</f>
        <v/>
      </c>
      <c r="M13" s="26">
        <f>J13*PREMISSAS!$C$17</f>
        <v/>
      </c>
      <c r="N13" s="26">
        <f>K13</f>
        <v/>
      </c>
    </row>
    <row r="14">
      <c r="A14" s="13" t="inlineStr">
        <is>
          <t>FT-CV-2628</t>
        </is>
      </c>
      <c r="B14" s="14" t="inlineStr">
        <is>
          <t>TQ-6310815B/A</t>
        </is>
      </c>
      <c r="C14" s="35" t="n">
        <v>46325</v>
      </c>
      <c r="D14" s="16" t="inlineStr">
        <is>
          <t>U6310</t>
        </is>
      </c>
      <c r="E14" s="16" t="inlineStr">
        <is>
          <t>U6310-C-620252000</t>
        </is>
      </c>
      <c r="F14" s="16" t="inlineStr">
        <is>
          <t>815</t>
        </is>
      </c>
      <c r="G14" s="14" t="inlineStr">
        <is>
          <t>TQ-6310815B e TQ-6310815A</t>
        </is>
      </c>
      <c r="H14" s="21" t="n">
        <v>2</v>
      </c>
      <c r="I14" s="36">
        <f>1/PREMISSAS!$C$19</f>
        <v/>
      </c>
      <c r="J14" s="26">
        <f>INDEX('QUANT-LINHA'!$D$5:$D$9,MATCH($F14,'QUANT-LINHA'!$A$5:$A$9,0))*$I14</f>
        <v/>
      </c>
      <c r="K14" s="26">
        <f>INDEX('QUANT-LINHA'!$E$5:$E$9,MATCH($F14,'QUANT-LINHA'!$A$5:$A$9,0))*$I14</f>
        <v/>
      </c>
      <c r="L14" s="26">
        <f>INDEX('QUANT-LINHA'!$F$5:$F$9,MATCH($F14,'QUANT-LINHA'!$A$5:$A$9,0))*$I14</f>
        <v/>
      </c>
      <c r="M14" s="26">
        <f>J14*PREMISSAS!$C$17</f>
        <v/>
      </c>
      <c r="N14" s="26">
        <f>K14</f>
        <v/>
      </c>
    </row>
    <row r="15">
      <c r="A15" s="27" t="inlineStr">
        <is>
          <t>TOTAL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28">
        <f>SUM(J5:J14)</f>
        <v/>
      </c>
      <c r="K15" s="28">
        <f>SUM(K5:K14)</f>
        <v/>
      </c>
      <c r="L15" s="28">
        <f>SUM(L5:L14)</f>
        <v/>
      </c>
      <c r="M15" s="28">
        <f>SUM(M5:M14)</f>
        <v/>
      </c>
      <c r="N15" s="28">
        <f>SUM(N5:N14)</f>
        <v/>
      </c>
    </row>
    <row r="17">
      <c r="A17" s="11" t="inlineStr">
        <is>
          <t>Coluna 'CORTE geométrico' = corte total da linha (tabela do desenho) × fração de tanques da FT. É o volume no corte, sem empolamento.</t>
        </is>
      </c>
    </row>
    <row r="18">
      <c r="A18" s="11" t="inlineStr">
        <is>
          <t>Coluna 'CORTE solto' = volume geométrico × fator de empolamento da aba PREMISSAS (item 13). É o volume a transportar / medir em caçamba.</t>
        </is>
      </c>
    </row>
    <row r="19">
      <c r="A19" s="11" t="inlineStr">
        <is>
          <t>Coluna 'Rachão a fornecer' = volume da troca de solo, in situ compactado. O fator de conversão para volume solto de fornecimento deve ser</t>
        </is>
      </c>
    </row>
    <row r="20">
      <c r="A20" s="11" t="inlineStr">
        <is>
          <t>definido com o fornecedor / ET antes da compra; não está aplicado aqui.</t>
        </is>
      </c>
    </row>
    <row r="21">
      <c r="A21" s="11" t="inlineStr">
        <is>
          <t>As datas programadas reproduzem a planilha de importação vigente e não foram alteradas por esta memória de cálculo.</t>
        </is>
      </c>
    </row>
    <row r="22">
      <c r="A22" s="11" t="inlineStr">
        <is>
          <t>Cada linha de tanques é executada em 2 FTs, logo a fração é sempre 1/2 (PREMISSAS, item 15). Para a linha 816, por exemplo, cada FT abrange 2 dos 4 tanques;</t>
        </is>
      </c>
    </row>
    <row r="23">
      <c r="A23" s="11" t="inlineStr">
        <is>
          <t>para o TQ-6312824, tanque único, cada FT abrange metade do serviço do mesmo tanque.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8" customWidth="1" min="3" max="3"/>
    <col width="26" customWidth="1" min="4" max="4"/>
    <col width="13" customWidth="1" min="5" max="5"/>
    <col width="15" customWidth="1" min="6" max="6"/>
    <col width="16" customWidth="1" min="7" max="7"/>
    <col width="13" customWidth="1" min="8" max="8"/>
    <col width="11" customWidth="1" min="9" max="9"/>
    <col width="40" customWidth="1" min="10" max="10"/>
  </cols>
  <sheetData>
    <row r="1">
      <c r="A1" s="1" t="inlineStr">
        <is>
          <t>CONFRONTO — PLANILHA DE IMPORTAÇÃO VIGENTE × MEMÓRIA DE CÁLCULO</t>
        </is>
      </c>
    </row>
    <row r="2">
      <c r="A2" s="11" t="inlineStr">
        <is>
          <t>Planilha IMPORTAÇÃO_TERRAPLAN_TANQUE.xlsx, aba 'IMPORTAÇÃO', coluna I (Quantidade)</t>
        </is>
      </c>
    </row>
    <row r="4">
      <c r="A4" s="2" t="inlineStr">
        <is>
          <t>Fatores empregados na planilha vigente</t>
        </is>
      </c>
    </row>
    <row r="5">
      <c r="A5" s="6" t="inlineStr">
        <is>
          <t>Divisor de partição (metade da linha)</t>
        </is>
      </c>
      <c r="C5" s="37" t="n">
        <v>2</v>
      </c>
      <c r="D5" s="11" t="inlineStr">
        <is>
          <t>Fórmula original da planilha:  =(BASE/2)*0,7*1,4</t>
        </is>
      </c>
    </row>
    <row r="6">
      <c r="A6" s="6" t="inlineStr">
        <is>
          <t>Fator 'por área tanque'</t>
        </is>
      </c>
      <c r="C6" s="38" t="n">
        <v>0.7</v>
      </c>
      <c r="D6" s="11" t="inlineStr">
        <is>
          <t>O fator 0,7 não corresponde à geometria do projeto — ver aba QUANT-LINHA.</t>
        </is>
      </c>
    </row>
    <row r="7">
      <c r="A7" s="6" t="inlineStr">
        <is>
          <t>Fator de empolamento</t>
        </is>
      </c>
      <c r="C7" s="39" t="n">
        <v>1.4</v>
      </c>
    </row>
    <row r="9" ht="30" customHeight="1">
      <c r="A9" s="12" t="inlineStr">
        <is>
          <t>Chave de
importação</t>
        </is>
      </c>
      <c r="B9" s="12" t="inlineStr">
        <is>
          <t>TAG do componente</t>
        </is>
      </c>
      <c r="C9" s="12" t="inlineStr">
        <is>
          <t>Linha</t>
        </is>
      </c>
      <c r="D9" s="12" t="inlineStr">
        <is>
          <t>Fórmula vigente
(planilha)</t>
        </is>
      </c>
      <c r="E9" s="12" t="inlineStr">
        <is>
          <t>Base adotada
na planilha</t>
        </is>
      </c>
      <c r="F9" s="12" t="inlineStr">
        <is>
          <t>Quantidade
vigente (m³)</t>
        </is>
      </c>
      <c r="G9" s="12" t="inlineStr">
        <is>
          <t>Quantidade desta
MC — solto (m³)</t>
        </is>
      </c>
      <c r="H9" s="12" t="inlineStr">
        <is>
          <t>Diferença
(vigente − MC)</t>
        </is>
      </c>
      <c r="I9" s="12" t="inlineStr">
        <is>
          <t>Desvio
(%)</t>
        </is>
      </c>
      <c r="J9" s="12" t="inlineStr">
        <is>
          <t>Origem da base adotada na planilha</t>
        </is>
      </c>
    </row>
    <row r="10">
      <c r="A10" s="13" t="inlineStr">
        <is>
          <t>FT-CV-2619</t>
        </is>
      </c>
      <c r="B10" s="14" t="inlineStr">
        <is>
          <t>TQ-6310816D/C</t>
        </is>
      </c>
      <c r="C10" s="16" t="inlineStr">
        <is>
          <t>816</t>
        </is>
      </c>
      <c r="D10" s="16">
        <f>(TEXT(E10,"#,##0.00")&amp;" ÷ "&amp;TEXT($C$5,"0")&amp;" × "&amp;TEXT($C$6,"0%")&amp;" × "&amp;TEXT($C$7,"0.00"))</f>
        <v/>
      </c>
      <c r="E10" s="29" t="n">
        <v>2434.25</v>
      </c>
      <c r="F10" s="26">
        <f>E10/$C$5*$C$6*$C$7</f>
        <v/>
      </c>
      <c r="G10" s="30">
        <f>'DISTRIB-FT'!M5</f>
        <v/>
      </c>
      <c r="H10" s="26">
        <f>F10-G10</f>
        <v/>
      </c>
      <c r="I10" s="31">
        <f>F10/G10-1</f>
        <v/>
      </c>
      <c r="J10" s="40" t="inlineStr">
        <is>
          <t>Não rastreável aos desenhos rev.0 — ver nota abaixo</t>
        </is>
      </c>
    </row>
    <row r="11">
      <c r="A11" s="13" t="inlineStr">
        <is>
          <t>FT-CV-2620</t>
        </is>
      </c>
      <c r="B11" s="14" t="inlineStr">
        <is>
          <t>TQ-6310816B/A</t>
        </is>
      </c>
      <c r="C11" s="16" t="inlineStr">
        <is>
          <t>816</t>
        </is>
      </c>
      <c r="D11" s="16">
        <f>(TEXT(E11,"#,##0.00")&amp;" ÷ "&amp;TEXT($C$5,"0")&amp;" × "&amp;TEXT($C$6,"0%")&amp;" × "&amp;TEXT($C$7,"0.00"))</f>
        <v/>
      </c>
      <c r="E11" s="29" t="n">
        <v>2434.25</v>
      </c>
      <c r="F11" s="26">
        <f>E11/$C$5*$C$6*$C$7</f>
        <v/>
      </c>
      <c r="G11" s="30">
        <f>'DISTRIB-FT'!M6</f>
        <v/>
      </c>
      <c r="H11" s="26">
        <f>F11-G11</f>
        <v/>
      </c>
      <c r="I11" s="31">
        <f>F11/G11-1</f>
        <v/>
      </c>
      <c r="J11" s="40" t="inlineStr">
        <is>
          <t>Não rastreável aos desenhos rev.0 — ver nota abaixo</t>
        </is>
      </c>
    </row>
    <row r="12">
      <c r="A12" s="13" t="inlineStr">
        <is>
          <t>FT-CV-2621</t>
        </is>
      </c>
      <c r="B12" s="14" t="inlineStr">
        <is>
          <t>TQ-6310817D/C</t>
        </is>
      </c>
      <c r="C12" s="16" t="inlineStr">
        <is>
          <t>817</t>
        </is>
      </c>
      <c r="D12" s="16">
        <f>(TEXT(E12,"#,##0.00")&amp;" ÷ "&amp;TEXT($C$5,"0")&amp;" × "&amp;TEXT($C$6,"0%")&amp;" × "&amp;TEXT($C$7,"0.00"))</f>
        <v/>
      </c>
      <c r="E12" s="29" t="n">
        <v>2464.06</v>
      </c>
      <c r="F12" s="26">
        <f>E12/$C$5*$C$6*$C$7</f>
        <v/>
      </c>
      <c r="G12" s="30">
        <f>'DISTRIB-FT'!M7</f>
        <v/>
      </c>
      <c r="H12" s="26">
        <f>F12-G12</f>
        <v/>
      </c>
      <c r="I12" s="31">
        <f>F12/G12-1</f>
        <v/>
      </c>
      <c r="J12" s="40" t="inlineStr">
        <is>
          <t>Não rastreável aos desenhos rev.0 — ver nota abaixo</t>
        </is>
      </c>
    </row>
    <row r="13">
      <c r="A13" s="13" t="inlineStr">
        <is>
          <t>FT-CV-2622</t>
        </is>
      </c>
      <c r="B13" s="14" t="inlineStr">
        <is>
          <t>TQ-6310817B/A</t>
        </is>
      </c>
      <c r="C13" s="16" t="inlineStr">
        <is>
          <t>817</t>
        </is>
      </c>
      <c r="D13" s="16">
        <f>(TEXT(E13,"#,##0.00")&amp;" ÷ "&amp;TEXT($C$5,"0")&amp;" × "&amp;TEXT($C$6,"0%")&amp;" × "&amp;TEXT($C$7,"0.00"))</f>
        <v/>
      </c>
      <c r="E13" s="29" t="n">
        <v>2464.06</v>
      </c>
      <c r="F13" s="26">
        <f>E13/$C$5*$C$6*$C$7</f>
        <v/>
      </c>
      <c r="G13" s="30">
        <f>'DISTRIB-FT'!M8</f>
        <v/>
      </c>
      <c r="H13" s="26">
        <f>F13-G13</f>
        <v/>
      </c>
      <c r="I13" s="31">
        <f>F13/G13-1</f>
        <v/>
      </c>
      <c r="J13" s="40" t="inlineStr">
        <is>
          <t>Não rastreável aos desenhos rev.0 — ver nota abaixo</t>
        </is>
      </c>
    </row>
    <row r="14">
      <c r="A14" s="13" t="inlineStr">
        <is>
          <t>FT-CV-2623</t>
        </is>
      </c>
      <c r="B14" s="14" t="inlineStr">
        <is>
          <t>TQ-6312824_1</t>
        </is>
      </c>
      <c r="C14" s="16" t="inlineStr">
        <is>
          <t>824</t>
        </is>
      </c>
      <c r="D14" s="16">
        <f>(TEXT(E14,"#,##0.00")&amp;" ÷ "&amp;TEXT($C$5,"0")&amp;" × "&amp;TEXT($C$6,"0%")&amp;" × "&amp;TEXT($C$7,"0.00"))</f>
        <v/>
      </c>
      <c r="E14" s="29" t="n">
        <v>2235.88</v>
      </c>
      <c r="F14" s="26">
        <f>E14/$C$5*$C$6*$C$7</f>
        <v/>
      </c>
      <c r="G14" s="30">
        <f>'DISTRIB-FT'!M9</f>
        <v/>
      </c>
      <c r="H14" s="26">
        <f>F14-G14</f>
        <v/>
      </c>
      <c r="I14" s="31">
        <f>F14/G14-1</f>
        <v/>
      </c>
      <c r="J14" s="40" t="inlineStr">
        <is>
          <t>Não rastreável aos desenhos rev.0 — ver nota abaixo</t>
        </is>
      </c>
    </row>
    <row r="15">
      <c r="A15" s="13" t="inlineStr">
        <is>
          <t>FT-CV-2624</t>
        </is>
      </c>
      <c r="B15" s="14" t="inlineStr">
        <is>
          <t>TQ-6312824_2</t>
        </is>
      </c>
      <c r="C15" s="16" t="inlineStr">
        <is>
          <t>824</t>
        </is>
      </c>
      <c r="D15" s="16">
        <f>(TEXT(E15,"#,##0.00")&amp;" ÷ "&amp;TEXT($C$5,"0")&amp;" × "&amp;TEXT($C$6,"0%")&amp;" × "&amp;TEXT($C$7,"0.00"))</f>
        <v/>
      </c>
      <c r="E15" s="29" t="n">
        <v>2235.88</v>
      </c>
      <c r="F15" s="26">
        <f>E15/$C$5*$C$6*$C$7</f>
        <v/>
      </c>
      <c r="G15" s="30">
        <f>'DISTRIB-FT'!M10</f>
        <v/>
      </c>
      <c r="H15" s="26">
        <f>F15-G15</f>
        <v/>
      </c>
      <c r="I15" s="31">
        <f>F15/G15-1</f>
        <v/>
      </c>
      <c r="J15" s="40" t="inlineStr">
        <is>
          <t>Não rastreável aos desenhos rev.0 — ver nota abaixo</t>
        </is>
      </c>
    </row>
    <row r="16">
      <c r="A16" s="13" t="inlineStr">
        <is>
          <t>FT-CV-2625</t>
        </is>
      </c>
      <c r="B16" s="14" t="inlineStr">
        <is>
          <t>TQ-6310818D/C</t>
        </is>
      </c>
      <c r="C16" s="16" t="inlineStr">
        <is>
          <t>818</t>
        </is>
      </c>
      <c r="D16" s="16">
        <f>(TEXT(E16,"#,##0.00")&amp;" ÷ "&amp;TEXT($C$5,"0")&amp;" × "&amp;TEXT($C$6,"0%")&amp;" × "&amp;TEXT($C$7,"0.00"))</f>
        <v/>
      </c>
      <c r="E16" s="29" t="n">
        <v>2071.27</v>
      </c>
      <c r="F16" s="26">
        <f>E16/$C$5*$C$6*$C$7</f>
        <v/>
      </c>
      <c r="G16" s="30">
        <f>'DISTRIB-FT'!M11</f>
        <v/>
      </c>
      <c r="H16" s="26">
        <f>F16-G16</f>
        <v/>
      </c>
      <c r="I16" s="31">
        <f>F16/G16-1</f>
        <v/>
      </c>
      <c r="J16" s="40" t="inlineStr">
        <is>
          <t>Não rastreável aos desenhos rev.0 — ver nota abaixo</t>
        </is>
      </c>
    </row>
    <row r="17">
      <c r="A17" s="13" t="inlineStr">
        <is>
          <t>FT-CV-2626</t>
        </is>
      </c>
      <c r="B17" s="14" t="inlineStr">
        <is>
          <t>TQ-6310818B/A</t>
        </is>
      </c>
      <c r="C17" s="16" t="inlineStr">
        <is>
          <t>818</t>
        </is>
      </c>
      <c r="D17" s="16">
        <f>(TEXT(E17,"#,##0.00")&amp;" ÷ "&amp;TEXT($C$5,"0")&amp;" × "&amp;TEXT($C$6,"0%")&amp;" × "&amp;TEXT($C$7,"0.00"))</f>
        <v/>
      </c>
      <c r="E17" s="29" t="n">
        <v>2071.27</v>
      </c>
      <c r="F17" s="26">
        <f>E17/$C$5*$C$6*$C$7</f>
        <v/>
      </c>
      <c r="G17" s="30">
        <f>'DISTRIB-FT'!M12</f>
        <v/>
      </c>
      <c r="H17" s="26">
        <f>F17-G17</f>
        <v/>
      </c>
      <c r="I17" s="31">
        <f>F17/G17-1</f>
        <v/>
      </c>
      <c r="J17" s="40" t="inlineStr">
        <is>
          <t>Não rastreável aos desenhos rev.0 — ver nota abaixo</t>
        </is>
      </c>
    </row>
    <row r="18">
      <c r="A18" s="13" t="inlineStr">
        <is>
          <t>FT-CV-2627</t>
        </is>
      </c>
      <c r="B18" s="14" t="inlineStr">
        <is>
          <t>TQ-6310815D/C</t>
        </is>
      </c>
      <c r="C18" s="16" t="inlineStr">
        <is>
          <t>815</t>
        </is>
      </c>
      <c r="D18" s="16">
        <f>(TEXT(E18,"#,##0.00")&amp;" ÷ "&amp;TEXT($C$5,"0")&amp;" × "&amp;TEXT($C$6,"0%")&amp;" × "&amp;TEXT($C$7,"0.00"))</f>
        <v/>
      </c>
      <c r="E18" s="29" t="n">
        <v>1415.86</v>
      </c>
      <c r="F18" s="26">
        <f>E18/$C$5*$C$6*$C$7</f>
        <v/>
      </c>
      <c r="G18" s="30">
        <f>'DISTRIB-FT'!M13</f>
        <v/>
      </c>
      <c r="H18" s="26">
        <f>F18-G18</f>
        <v/>
      </c>
      <c r="I18" s="31">
        <f>F18/G18-1</f>
        <v/>
      </c>
      <c r="J18" s="40" t="inlineStr">
        <is>
          <t>Não rastreável aos desenhos rev.0 — ver nota abaixo</t>
        </is>
      </c>
    </row>
    <row r="19">
      <c r="A19" s="13" t="inlineStr">
        <is>
          <t>FT-CV-2628</t>
        </is>
      </c>
      <c r="B19" s="14" t="inlineStr">
        <is>
          <t>TQ-6310815B/A</t>
        </is>
      </c>
      <c r="C19" s="16" t="inlineStr">
        <is>
          <t>815</t>
        </is>
      </c>
      <c r="D19" s="16">
        <f>(TEXT(E19,"#,##0.00")&amp;" ÷ "&amp;TEXT($C$5,"0")&amp;" × "&amp;TEXT($C$6,"0%")&amp;" × "&amp;TEXT($C$7,"0.00"))</f>
        <v/>
      </c>
      <c r="E19" s="29" t="n">
        <v>1415.86</v>
      </c>
      <c r="F19" s="26">
        <f>E19/$C$5*$C$6*$C$7</f>
        <v/>
      </c>
      <c r="G19" s="30">
        <f>'DISTRIB-FT'!M14</f>
        <v/>
      </c>
      <c r="H19" s="26">
        <f>F19-G19</f>
        <v/>
      </c>
      <c r="I19" s="31">
        <f>F19/G19-1</f>
        <v/>
      </c>
      <c r="J19" s="40" t="inlineStr">
        <is>
          <t>Não rastreável aos desenhos rev.0 — ver nota abaixo</t>
        </is>
      </c>
    </row>
    <row r="20">
      <c r="A20" s="27" t="inlineStr">
        <is>
          <t>TOTAL</t>
        </is>
      </c>
      <c r="B20" s="27" t="n"/>
      <c r="C20" s="27" t="n"/>
      <c r="D20" s="27" t="n"/>
      <c r="E20" s="27" t="n"/>
      <c r="F20" s="28">
        <f>SUM(F10:F19)</f>
        <v/>
      </c>
      <c r="G20" s="28">
        <f>SUM(G10:G19)</f>
        <v/>
      </c>
      <c r="H20" s="28">
        <f>SUM(H10:H19)</f>
        <v/>
      </c>
      <c r="I20" s="32">
        <f>F20/G20-1</f>
        <v/>
      </c>
      <c r="J20" s="27" t="n"/>
    </row>
    <row r="22">
      <c r="A22" s="2" t="inlineStr">
        <is>
          <t>APURAÇÃO DAS DIVERGÊNCIAS</t>
        </is>
      </c>
    </row>
    <row r="23">
      <c r="A23" s="9" t="inlineStr">
        <is>
          <t>1) BASE NÃO RASTREÁVEL. As bases usadas na planilha (2.434,25 / 2.464,06 / 2.071,27 / 1.415,86 / 2.235,88 m³) não constam de nenhuma das</t>
        </is>
      </c>
    </row>
    <row r="24">
      <c r="A24" s="11" t="inlineStr">
        <is>
          <t xml:space="preserve">   duas plantas emitidas em 07/08/2026 e não se obtêm por operação sobre as colunas CORTE ou REATERRO da tabela de quantitativos.</t>
        </is>
      </c>
    </row>
    <row r="25">
      <c r="A25" s="11" t="inlineStr">
        <is>
          <t xml:space="preserve">   Representam de 53,4% a 80,2% do corte da linha correspondente, sem proporção constante. Provável origem: quantitativo preliminar,</t>
        </is>
      </c>
    </row>
    <row r="26">
      <c r="A26" s="11" t="inlineStr">
        <is>
          <t xml:space="preserve">   anterior à emissão rev.0 — coerente com a observação registrada na própria planilha ('o ID usado sofrerá alterações com a aprovação do Book B').</t>
        </is>
      </c>
    </row>
    <row r="27">
      <c r="A27" s="11" t="inlineStr"/>
    </row>
    <row r="28">
      <c r="A28" s="9" t="inlineStr">
        <is>
          <t>2) DUPLA REDUÇÃO. Sobre essa base já reduzida ainda se aplica o fator 0,7 ('por área tanque'), que pela geometria do projeto deveria ser</t>
        </is>
      </c>
    </row>
    <row r="29">
      <c r="A29" s="11" t="inlineStr">
        <is>
          <t xml:space="preserve">   de 94% a 96% nas linhas de U-6310 (aba QUANT-LINHA). As duas reduções se somam.</t>
        </is>
      </c>
    </row>
    <row r="30">
      <c r="A30" s="11" t="inlineStr"/>
    </row>
    <row r="31">
      <c r="A31" s="9" t="inlineStr">
        <is>
          <t>3) EFEITO. O total das 10 fichas fica em 10.408,89 m³ contra 24.175,07 m³ de corte empolado apurado nesta memória — 43,1% do escopo de corte.</t>
        </is>
      </c>
    </row>
    <row r="32">
      <c r="A32" s="11" t="inlineStr">
        <is>
          <t xml:space="preserve">   O mesmo percentual vale em volume geométrico (10.408,89 ÷ 1,40 = 7.434,92 m³ contra 17.267,91 m³), já que o fator de empolamento incide nos dois lados.</t>
        </is>
      </c>
    </row>
    <row r="33">
      <c r="A33" s="11" t="inlineStr"/>
    </row>
    <row r="34">
      <c r="A34" s="9" t="inlineStr">
        <is>
          <t>4) ENCAMINHAMENTO. Substituir a coluna 'Quantidade' da planilha de importação pelos valores da coluna G desta aba antes de importar</t>
        </is>
      </c>
    </row>
    <row r="35">
      <c r="A35" s="11" t="inlineStr">
        <is>
          <t xml:space="preserve">   para o Primavera, e confirmar com a Coordenação de Engenharia Civil o fator de empolamento a adotar (1,30 ou 1,40).</t>
        </is>
      </c>
    </row>
    <row r="36">
      <c r="A36" s="11" t="inlineStr"/>
    </row>
    <row r="37">
      <c r="A37" s="11" t="inlineStr">
        <is>
          <t>5) ALCANCE DA COLUNA 'Quantidade'. Tanto na planilha vigente quanto nesta memória a quantidade da FT mede APENAS o corte (atividade 001).</t>
        </is>
      </c>
    </row>
    <row r="38">
      <c r="A38" s="11" t="inlineStr">
        <is>
          <t xml:space="preserve">   As atividades 002-TROCA DE SOLO, 003-ATERRO e 004-COMPACTAÇÃO, também declaradas na ficha, correspondem a outros 15.597,05 m³ in situ</t>
        </is>
      </c>
    </row>
    <row r="39">
      <c r="A39" s="11" t="inlineStr">
        <is>
          <t xml:space="preserve">   que não estão medidos em nenhuma coluna da planilha de importação. Convenção mantida igual à do cliente — registrada aqui para não induzir a erro.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6" customWidth="1" min="2" max="2"/>
    <col width="16" customWidth="1" min="3" max="3"/>
    <col width="10" customWidth="1" min="4" max="4"/>
    <col width="62" customWidth="1" min="5" max="5"/>
  </cols>
  <sheetData>
    <row r="1">
      <c r="A1" s="1" t="inlineStr">
        <is>
          <t>RESUMO DOS QUANTITATIVOS DE TERRAPLENAGEM</t>
        </is>
      </c>
    </row>
    <row r="2">
      <c r="A2" s="11" t="inlineStr">
        <is>
          <t>Área dos tanques U-6310 e U-6312 — base: DE-5400.00-6310-113-TX3-003/004 rev.0</t>
        </is>
      </c>
    </row>
    <row r="4" ht="30" customHeight="1">
      <c r="A4" s="12" t="inlineStr">
        <is>
          <t>Item</t>
        </is>
      </c>
      <c r="B4" s="12" t="inlineStr">
        <is>
          <t>Serviço</t>
        </is>
      </c>
      <c r="C4" s="12" t="inlineStr">
        <is>
          <t>Quantidade</t>
        </is>
      </c>
      <c r="D4" s="12" t="inlineStr">
        <is>
          <t>Unid.</t>
        </is>
      </c>
      <c r="E4" s="12" t="inlineStr">
        <is>
          <t>Critério / observação</t>
        </is>
      </c>
    </row>
    <row r="5" ht="30" customHeight="1">
      <c r="A5" s="13" t="inlineStr">
        <is>
          <t>1</t>
        </is>
      </c>
      <c r="B5" s="24" t="inlineStr">
        <is>
          <t>Escavação — corte total (volume geométrico)</t>
        </is>
      </c>
      <c r="C5" s="30">
        <f>'QUANT-LINHA'!D10</f>
        <v/>
      </c>
      <c r="D5" s="16" t="inlineStr">
        <is>
          <t>m³</t>
        </is>
      </c>
      <c r="E5" s="17" t="inlineStr">
        <is>
          <t>Soma da coluna CORTE da tabela de quantitativos do desenho. Sem empolamento, referida à EL. de limpeza 19,00.</t>
        </is>
      </c>
    </row>
    <row r="6" ht="30" customHeight="1">
      <c r="A6" s="13" t="inlineStr">
        <is>
          <t>1.1</t>
        </is>
      </c>
      <c r="B6" s="14" t="inlineStr">
        <is>
          <t xml:space="preserve">     Escavação / troca de solo sob os tanques</t>
        </is>
      </c>
      <c r="C6" s="30">
        <f>'QUANT-LINHA'!E10</f>
        <v/>
      </c>
      <c r="D6" s="16" t="inlineStr">
        <is>
          <t>m³</t>
        </is>
      </c>
      <c r="E6" s="17" t="inlineStr">
        <is>
          <t>Valor da coluna REATERRO da tabela do desenho (adotado). O modelo de tronco de cone desta memória o reproduz com +0,25% — ver AFERIÇÃO.</t>
        </is>
      </c>
    </row>
    <row r="7" ht="30" customHeight="1">
      <c r="A7" s="13" t="inlineStr">
        <is>
          <t>1.2</t>
        </is>
      </c>
      <c r="B7" s="14" t="inlineStr">
        <is>
          <t xml:space="preserve">     Corte de regularização da plataforma e bacia</t>
        </is>
      </c>
      <c r="C7" s="30">
        <f>'QUANT-LINHA'!F10</f>
        <v/>
      </c>
      <c r="D7" s="16" t="inlineStr">
        <is>
          <t>m³</t>
        </is>
      </c>
      <c r="E7" s="17" t="inlineStr">
        <is>
          <t>Diferença CORTE − REATERRO do desenho. Inclui a conformação da bacia (EL. 19,00 → 18,90 em U-6310 e → 18,70 em U-6312).</t>
        </is>
      </c>
    </row>
    <row r="8" ht="30" customHeight="1">
      <c r="A8" s="13" t="inlineStr">
        <is>
          <t>2</t>
        </is>
      </c>
      <c r="B8" s="24" t="inlineStr">
        <is>
          <t>Escavação — volume solto para transporte</t>
        </is>
      </c>
      <c r="C8" s="30">
        <f>C5*PREMISSAS!$C$17</f>
        <v/>
      </c>
      <c r="D8" s="16" t="inlineStr">
        <is>
          <t>m³</t>
        </is>
      </c>
      <c r="E8" s="17" t="inlineStr">
        <is>
          <t>Item 1 × fator de empolamento (PREMISSAS, item 13). Volume de medição em caçamba.</t>
        </is>
      </c>
    </row>
    <row r="9" ht="30" customHeight="1">
      <c r="A9" s="13" t="inlineStr">
        <is>
          <t>2.1</t>
        </is>
      </c>
      <c r="B9" s="14" t="inlineStr">
        <is>
          <t xml:space="preserve">     Cenário alternativo (fator 1,30)</t>
        </is>
      </c>
      <c r="C9" s="30">
        <f>C5*PREMISSAS!$C$18</f>
        <v/>
      </c>
      <c r="D9" s="16" t="inlineStr">
        <is>
          <t>m³</t>
        </is>
      </c>
      <c r="E9" s="17" t="inlineStr">
        <is>
          <t>Sensibilidade — fator do estudo preliminar da equipe.</t>
        </is>
      </c>
    </row>
    <row r="10" ht="30" customHeight="1">
      <c r="A10" s="13" t="inlineStr">
        <is>
          <t>3</t>
        </is>
      </c>
      <c r="B10" s="24" t="inlineStr">
        <is>
          <t>Bota-fora</t>
        </is>
      </c>
      <c r="C10" s="30">
        <f>C5*PREMISSAS!$C$17</f>
        <v/>
      </c>
      <c r="D10" s="16" t="inlineStr">
        <is>
          <t>m³</t>
        </is>
      </c>
      <c r="E10" s="17" t="inlineStr">
        <is>
          <t>Correio de 11/08/2026: o reaterro das bases será feito com substituição por rachão, logo todo o material escavado é bota-fora. Volume solto.</t>
        </is>
      </c>
    </row>
    <row r="11" ht="30" customHeight="1">
      <c r="A11" s="13" t="inlineStr">
        <is>
          <t>4</t>
        </is>
      </c>
      <c r="B11" s="24" t="inlineStr">
        <is>
          <t>Rachão para reaterro das bases (volume in situ)</t>
        </is>
      </c>
      <c r="C11" s="30">
        <f>'QUANT-LINHA'!E10</f>
        <v/>
      </c>
      <c r="D11" s="16" t="inlineStr">
        <is>
          <t>m³</t>
        </is>
      </c>
      <c r="E11" s="17" t="inlineStr">
        <is>
          <t>Igual ao item 1.1. Fator de conversão para volume de fornecimento a definir com o fornecedor / ET.</t>
        </is>
      </c>
    </row>
    <row r="12" ht="30" customHeight="1">
      <c r="A12" s="13" t="inlineStr">
        <is>
          <t>5</t>
        </is>
      </c>
      <c r="B12" s="24" t="inlineStr">
        <is>
          <t>Reaterro e compactação com controle tecnológico</t>
        </is>
      </c>
      <c r="C12" s="30">
        <f>'QUANT-LINHA'!E10</f>
        <v/>
      </c>
      <c r="D12" s="16" t="inlineStr">
        <is>
          <t>m³</t>
        </is>
      </c>
      <c r="E12" s="17" t="inlineStr">
        <is>
          <t>Executar conforme RL-5400.00-6310-115-TX3-001 e ET-5400.00-6310-113-TX3-001. Controle tecnológico obrigatório (Nota 7).</t>
        </is>
      </c>
    </row>
    <row r="13" ht="30" customHeight="1">
      <c r="A13" s="13" t="inlineStr">
        <is>
          <t>6</t>
        </is>
      </c>
      <c r="B13" s="24" t="inlineStr">
        <is>
          <t>Nº de tanques</t>
        </is>
      </c>
      <c r="C13" s="41">
        <f>SUM(GEOMETRIA!D5:D9)</f>
        <v/>
      </c>
      <c r="D13" s="16" t="inlineStr">
        <is>
          <t>un</t>
        </is>
      </c>
      <c r="E13" s="17" t="inlineStr">
        <is>
          <t>16 tanques em U-6310 (4 linhas × 4) + 1 tanque UCO em U-6312.</t>
        </is>
      </c>
    </row>
    <row r="14" ht="30" customHeight="1">
      <c r="A14" s="13" t="inlineStr">
        <is>
          <t>7</t>
        </is>
      </c>
      <c r="B14" s="24" t="inlineStr">
        <is>
          <t>Nº de fichas de tarefa</t>
        </is>
      </c>
      <c r="C14" s="41">
        <f>COUNTA('DISTRIB-FT'!A5:A14)</f>
        <v/>
      </c>
      <c r="D14" s="16" t="inlineStr">
        <is>
          <t>un</t>
        </is>
      </c>
      <c r="E14" s="17" t="inlineStr">
        <is>
          <t>Conforme planilha de importação vigente: FT-CV-2619 a FT-CV-2628.</t>
        </is>
      </c>
    </row>
    <row r="16">
      <c r="B16" s="2" t="inlineStr">
        <is>
          <t>CONFRONTO COM A PLANILHA DE IMPORTAÇÃO VIGENTE</t>
        </is>
      </c>
    </row>
    <row r="17" ht="30" customHeight="1">
      <c r="A17" s="12" t="inlineStr"/>
      <c r="B17" s="12" t="inlineStr">
        <is>
          <t>Indicador</t>
        </is>
      </c>
      <c r="C17" s="12" t="inlineStr">
        <is>
          <t>Valor</t>
        </is>
      </c>
      <c r="D17" s="12" t="inlineStr">
        <is>
          <t>Unid.</t>
        </is>
      </c>
      <c r="E17" s="12" t="inlineStr">
        <is>
          <t>Observação</t>
        </is>
      </c>
    </row>
    <row r="18">
      <c r="A18" s="14" t="n"/>
      <c r="B18" s="24" t="inlineStr">
        <is>
          <t>Quantidade total lançada nas 10 FTs (planilha vigente)</t>
        </is>
      </c>
      <c r="C18" s="42">
        <f>'CONFRONTO-FT'!F20</f>
        <v/>
      </c>
      <c r="D18" s="16" t="inlineStr">
        <is>
          <t>m³</t>
        </is>
      </c>
      <c r="E18" s="17" t="inlineStr">
        <is>
          <t>Soma da coluna 'Quantidade' da aba IMPORTAÇÃO.</t>
        </is>
      </c>
    </row>
    <row r="19">
      <c r="A19" s="14" t="n"/>
      <c r="B19" s="24" t="inlineStr">
        <is>
          <t>Quantidade total apurada nesta memória de cálculo</t>
        </is>
      </c>
      <c r="C19" s="42">
        <f>'CONFRONTO-FT'!G20</f>
        <v/>
      </c>
      <c r="D19" s="16" t="inlineStr">
        <is>
          <t>m³</t>
        </is>
      </c>
      <c r="E19" s="17" t="inlineStr">
        <is>
          <t>Corte empolado, distribuído por tanque.</t>
        </is>
      </c>
    </row>
    <row r="20">
      <c r="A20" s="14" t="n"/>
      <c r="B20" s="24" t="inlineStr">
        <is>
          <t>Escopo faltante nas fichas de tarefa</t>
        </is>
      </c>
      <c r="C20" s="42">
        <f>'CONFRONTO-FT'!G20-'CONFRONTO-FT'!F20</f>
        <v/>
      </c>
      <c r="D20" s="16" t="inlineStr">
        <is>
          <t>m³</t>
        </is>
      </c>
      <c r="E20" s="17" t="inlineStr">
        <is>
          <t>Diferença a lançar antes da importação para o Primavera.</t>
        </is>
      </c>
    </row>
    <row r="21">
      <c r="A21" s="14" t="n"/>
      <c r="B21" s="24" t="inlineStr">
        <is>
          <t>Cobertura da planilha vigente</t>
        </is>
      </c>
      <c r="C21" s="43">
        <f>'CONFRONTO-FT'!F20/'CONFRONTO-FT'!G20</f>
        <v/>
      </c>
      <c r="D21" s="16" t="inlineStr">
        <is>
          <t>—</t>
        </is>
      </c>
      <c r="E21" s="17" t="inlineStr">
        <is>
          <t>Percentual do escopo efetivamente lançado.</t>
        </is>
      </c>
    </row>
    <row r="23">
      <c r="B23" s="2" t="inlineStr">
        <is>
          <t>RESSALVAS E PENDÊNCIAS</t>
        </is>
      </c>
    </row>
    <row r="24">
      <c r="B24" s="11" t="inlineStr">
        <is>
          <t>a) Pendência P5 do desenho — RL-5400.00-6310-115-TX3-001 (Relatório Geotécnico Interpretativo). A profundidade de substituição de solo</t>
        </is>
      </c>
    </row>
    <row r="25">
      <c r="B25" s="11" t="inlineStr">
        <is>
          <t xml:space="preserve">   deverá ser ajustada às condições reais do terreno, com acompanhamento de engenheiro geotécnico (Nota 4). Volumes desta memória</t>
        </is>
      </c>
    </row>
    <row r="26">
      <c r="B26" s="11" t="inlineStr">
        <is>
          <t xml:space="preserve">   valem para a profundidade de projeto de 1,50 m.</t>
        </is>
      </c>
    </row>
    <row r="27">
      <c r="B27" s="11" t="inlineStr">
        <is>
          <t>b) Fator de empolamento (1,40) não tem respaldo documental nos desenhos — deve ser confirmado por ensaio ou pela ET antes da medição.</t>
        </is>
      </c>
    </row>
    <row r="28">
      <c r="B28" s="11" t="inlineStr">
        <is>
          <t>c) Raio da linha 818 não está cotado na planta. Adotado 12,78 m, retro-calculado a partir do volume do desenho e corroborado por medição no arquivo</t>
        </is>
      </c>
    </row>
    <row r="29">
      <c r="B29" s="11" t="inlineStr">
        <is>
          <t xml:space="preserve">   vetorial (12,77 m). Confirmar a cota com o projetista — a aferição dessa linha não é independente.</t>
        </is>
      </c>
    </row>
    <row r="30">
      <c r="B30" s="11" t="inlineStr">
        <is>
          <t>c1) Linha 815: desvio de +47,71 m³ (+1,91%) explicado em 60% por truncamento e sobreposição dos cones (ver AFERIÇÃO); saldo a confirmar com o projetista.</t>
        </is>
      </c>
    </row>
    <row r="31">
      <c r="B31" s="11" t="inlineStr">
        <is>
          <t>c2) Corte D-D cota os espaçamentos da linha 815 como 24,11 / 23,89 / 24,00 m, contra 24,000 m exatos na planta e nas coordenadas PDMS. A esclarecer.</t>
        </is>
      </c>
    </row>
    <row r="32">
      <c r="B32" s="11" t="inlineStr">
        <is>
          <t>d) A tabela do desenho não distingue o volume do dique e dos mini-diques de contenção mostrados nos cortes A-A a E-E; se forem executados</t>
        </is>
      </c>
    </row>
    <row r="33">
      <c r="B33" s="11" t="inlineStr">
        <is>
          <t xml:space="preserve">   em aterro compactado, o material e o volume correspondentes devem ser orçados à parte.</t>
        </is>
      </c>
    </row>
    <row r="34">
      <c r="B34" s="11" t="inlineStr">
        <is>
          <t>e) Não há coluna de aterro na tabela do desenho. Caso parte do corte venha a ser reaproveitada em outra frente, o bota-fora do item 3 reduz</t>
        </is>
      </c>
    </row>
    <row r="35">
      <c r="B35" s="11" t="inlineStr">
        <is>
          <t xml:space="preserve">   na mesma proporção.</t>
        </is>
      </c>
    </row>
    <row r="36">
      <c r="B36" s="11" t="inlineStr">
        <is>
          <t>f) A coluna 'Quantidade' das fichas de tarefa mede apenas o corte (atividade 001). Troca de solo, aterro e compactação (itens 4 e 5 acima) não estão</t>
        </is>
      </c>
    </row>
    <row r="37">
      <c r="B37" s="11" t="inlineStr">
        <is>
          <t xml:space="preserve">   medidos em nenhuma coluna da planilha de importação — convenção herdada do cliente, registrada aqui para não induzir a erro.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2026-09-03T19:19:35Z</dcterms:created>
  <dcterms:modified xsi:type="dcterms:W3CDTF">2026-09-03T19:19:35Z</dcterms:modified>
</cp:coreProperties>
</file>