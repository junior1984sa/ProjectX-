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  <sheet name="Quantitativo Total" sheetId="2" state="visible" r:id="rId2"/>
    <sheet name="Resumo por Grupo" sheetId="3" state="visible" r:id="rId3"/>
    <sheet name="Quantitativo por Tanque" sheetId="4" state="visible" r:id="rId4"/>
    <sheet name="Geometria e Seções" sheetId="5" state="visible" r:id="rId5"/>
    <sheet name="Camadas e Materiais" sheetId="6" state="visible" r:id="rId6"/>
    <sheet name="Parâmetros Técnicos" sheetId="7" state="visible" r:id="rId7"/>
    <sheet name="Validações" sheetId="8" state="visible" r:id="rId8"/>
    <sheet name="Leia-me" sheetId="9" state="visible" r:id="rId9"/>
  </sheets>
  <definedNames>
    <definedName name="_xlnm.Print_Titles" localSheetId="1">'Quantitativo Total'!$1:$5</definedName>
    <definedName name="_xlnm.Print_Titles" localSheetId="2">'Resumo por Grupo'!$1:$5</definedName>
    <definedName name="_xlnm.Print_Titles" localSheetId="3">'Quantitativo por Tanque'!$1:$5</definedName>
    <definedName name="_xlnm.Print_Titles" localSheetId="4">'Geometria e Seções'!$1:$5</definedName>
    <definedName name="_xlnm.Print_Titles" localSheetId="5">'Camadas e Materiais'!$1:$5</definedName>
    <definedName name="_xlnm.Print_Titles" localSheetId="6">'Parâmetros Técnicos'!$1:$5</definedName>
    <definedName name="_xlnm.Print_Titles" localSheetId="7">'Validações'!$1:$5</definedName>
    <definedName name="_xlnm.Print_Titles" localSheetId="8">'Leia-me'!$1:$5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20"/>
    </font>
    <font>
      <name val="Arial"/>
      <color rgb="FF182532"/>
      <sz val="9"/>
    </font>
    <font>
      <name val="Arial"/>
      <color rgb="FF182532"/>
      <sz val="8"/>
    </font>
    <font>
      <name val="Arial"/>
      <b val="1"/>
      <color rgb="FFFFFFFF"/>
      <sz val="10"/>
    </font>
    <font>
      <name val="Arial"/>
      <b val="1"/>
      <color rgb="FF8A4B0F"/>
      <sz val="9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182532"/>
      <sz val="20"/>
    </font>
    <font>
      <name val="Arial"/>
      <b val="1"/>
      <color rgb="FF8A4B0F"/>
      <sz val="8"/>
    </font>
  </fonts>
  <fills count="11">
    <fill>
      <patternFill/>
    </fill>
    <fill>
      <patternFill patternType="gray125"/>
    </fill>
    <fill>
      <patternFill patternType="solid">
        <fgColor rgb="FF13283F"/>
      </patternFill>
    </fill>
    <fill>
      <patternFill patternType="solid">
        <fgColor rgb="FFF5F2EC"/>
      </patternFill>
    </fill>
    <fill>
      <patternFill patternType="solid">
        <fgColor rgb="FF31556F"/>
      </patternFill>
    </fill>
    <fill>
      <patternFill patternType="solid">
        <fgColor rgb="FFF8FAFB"/>
      </patternFill>
    </fill>
    <fill>
      <patternFill patternType="solid">
        <fgColor rgb="FFFDF3E3"/>
      </patternFill>
    </fill>
    <fill>
      <patternFill patternType="solid">
        <fgColor rgb="FF195E83"/>
      </patternFill>
    </fill>
    <fill>
      <patternFill patternType="solid">
        <fgColor rgb="FFFBFAF7"/>
      </patternFill>
    </fill>
    <fill>
      <patternFill patternType="solid">
        <fgColor rgb="FFD9652B"/>
      </patternFill>
    </fill>
    <fill>
      <patternFill patternType="solid">
        <fgColor rgb="FF5E8B76"/>
      </patternFill>
    </fill>
  </fills>
  <borders count="2">
    <border>
      <left/>
      <right/>
      <top/>
      <bottom/>
      <diagonal/>
    </border>
    <border>
      <left style="thin">
        <color rgb="FFB9C4CD"/>
      </left>
      <right style="thin">
        <color rgb="FFB9C4CD"/>
      </right>
      <top style="thin">
        <color rgb="FFB9C4CD"/>
      </top>
      <bottom style="thin">
        <color rgb="FFB9C4C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4" fontId="3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4" fontId="9" fillId="6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3" fontId="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Volume por item (m³)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Executivo'!C16</f>
            </strRef>
          </tx>
          <spPr>
            <a:solidFill>
              <a:srgbClr val="195E83"/>
            </a:solidFill>
            <a:ln>
              <a:prstDash val="solid"/>
            </a:ln>
          </spPr>
          <cat>
            <numRef>
              <f>'Dashboard Executivo'!$A$17:$A$25</f>
            </numRef>
          </cat>
          <val>
            <numRef>
              <f>'Dashboard Executivo'!$C$17:$C$25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Participação por grupo (volume)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Executivo'!H16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95E83"/>
              </a:solidFill>
              <a:ln>
                <a:prstDash val="solid"/>
              </a:ln>
            </spPr>
          </dPt>
          <dPt>
            <idx val="1"/>
            <spPr>
              <a:solidFill>
                <a:srgbClr val="D9652B"/>
              </a:solidFill>
              <a:ln>
                <a:prstDash val="solid"/>
              </a:ln>
            </spPr>
          </dPt>
          <cat>
            <numRef>
              <f>'Dashboard Executivo'!$F$17:$F$18</f>
            </numRef>
          </cat>
          <val>
            <numRef>
              <f>'Dashboard Executivo'!$H$17:$H$18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Área por item (m²)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Executivo'!M16</f>
            </strRef>
          </tx>
          <spPr>
            <a:solidFill>
              <a:srgbClr val="D9652B"/>
            </a:solidFill>
            <a:ln>
              <a:prstDash val="solid"/>
            </a:ln>
          </spPr>
          <cat>
            <numRef>
              <f>'Dashboard Executivo'!$K$17:$K$20</f>
            </numRef>
          </cat>
          <val>
            <numRef>
              <f>'Dashboard Executivo'!$M$17:$M$20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8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27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49</row>
      <rowOff>0</rowOff>
    </from>
    <ext cx="1152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6" customHeight="1">
      <c r="A1" s="1" t="inlineStr">
        <is>
          <t>PAINEL DE QUANTITATIVOS - FORMAS DAS FUNDAÇÕES DOS TQ-6310818 A/B/C/D</t>
        </is>
      </c>
    </row>
    <row r="2" ht="24" customHeight="1">
      <c r="A2" s="2" t="inlineStr">
        <is>
          <t>Prancha DE-5400.00-6310-120-TX3-059 Rev. 0 (07/08/2026)  |  TQ-6310818 A/B/C/D (4x)  |  U-6310 - Refino Boaventura  |  Escopo: formas, concreto, terraplenagem, impermeabilização e drenagem</t>
        </is>
      </c>
    </row>
    <row r="4">
      <c r="A4" s="3" t="inlineStr">
        <is>
          <t>CONCRETO ESTRUTURAL</t>
        </is>
      </c>
      <c r="B4" s="4" t="n"/>
      <c r="C4" s="4" t="n"/>
      <c r="D4" s="5" t="inlineStr">
        <is>
          <t>ÁREA DE FORMA</t>
        </is>
      </c>
      <c r="E4" s="4" t="n"/>
      <c r="F4" s="4" t="n"/>
      <c r="G4" s="6" t="inlineStr">
        <is>
          <t>MOVIMENTO DE TERRA</t>
        </is>
      </c>
      <c r="H4" s="4" t="n"/>
      <c r="I4" s="4" t="n"/>
      <c r="J4" s="7" t="inlineStr">
        <is>
          <t>TANQUES ATENDIDOS</t>
        </is>
      </c>
      <c r="K4" s="4" t="n"/>
      <c r="L4" s="4" t="n"/>
    </row>
    <row r="5">
      <c r="A5" s="8" t="n">
        <v>210</v>
      </c>
      <c r="B5" s="4" t="n"/>
      <c r="C5" s="4" t="n"/>
      <c r="D5" s="8" t="n">
        <v>720</v>
      </c>
      <c r="E5" s="4" t="n"/>
      <c r="F5" s="4" t="n"/>
      <c r="G5" s="8" t="n">
        <v>2548</v>
      </c>
      <c r="H5" s="4" t="n"/>
      <c r="I5" s="4" t="n"/>
      <c r="J5" s="9" t="n">
        <v>4</v>
      </c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10" t="inlineStr">
        <is>
          <t>m³ de concreto do anel (4 tanques)</t>
        </is>
      </c>
      <c r="D7" s="10" t="inlineStr">
        <is>
          <t>m² de forma</t>
        </is>
      </c>
      <c r="G7" s="10" t="inlineStr">
        <is>
          <t>m³ de escavação, reaterro e camadas</t>
        </is>
      </c>
      <c r="J7" s="10" t="inlineStr">
        <is>
          <t>fundações cobertas pela prancha</t>
        </is>
      </c>
    </row>
    <row r="9">
      <c r="A9" s="7" t="inlineStr">
        <is>
          <t>ESCAVAÇÃO</t>
        </is>
      </c>
      <c r="B9" s="4" t="n"/>
      <c r="C9" s="4" t="n"/>
      <c r="D9" s="6" t="inlineStr">
        <is>
          <t>GROUT</t>
        </is>
      </c>
      <c r="E9" s="4" t="n"/>
      <c r="F9" s="4" t="n"/>
      <c r="G9" s="5" t="inlineStr">
        <is>
          <t>ÁREA TOTAL DE SERVIÇOS</t>
        </is>
      </c>
      <c r="H9" s="4" t="n"/>
      <c r="I9" s="4" t="n"/>
      <c r="J9" s="3" t="inlineStr">
        <is>
          <t>ITENS DO QUADRO</t>
        </is>
      </c>
      <c r="K9" s="4" t="n"/>
      <c r="L9" s="4" t="n"/>
    </row>
    <row r="10">
      <c r="A10" s="8" t="n">
        <v>496.4</v>
      </c>
      <c r="B10" s="4" t="n"/>
      <c r="C10" s="4" t="n"/>
      <c r="D10" s="8" t="n">
        <v>3.5</v>
      </c>
      <c r="E10" s="4" t="n"/>
      <c r="F10" s="4" t="n"/>
      <c r="G10" s="8" t="n">
        <v>4313.53</v>
      </c>
      <c r="H10" s="4" t="n"/>
      <c r="I10" s="4" t="n"/>
      <c r="J10" s="9" t="n">
        <v>15</v>
      </c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16" customHeight="1">
      <c r="A12" s="10" t="inlineStr">
        <is>
          <t>m³ de escavação</t>
        </is>
      </c>
      <c r="D12" s="10" t="inlineStr">
        <is>
          <t>m³ de grout de assentamento</t>
        </is>
      </c>
      <c r="G12" s="10" t="inlineStr">
        <is>
          <t>m² somando formas, mantas e pinturas</t>
        </is>
      </c>
      <c r="J12" s="10" t="inlineStr">
        <is>
          <t>linhas do QUANTITATIVO TOTAL</t>
        </is>
      </c>
    </row>
    <row r="15" ht="22" customHeight="1">
      <c r="A15" s="11" t="inlineStr">
        <is>
          <t>VOLUMES (m³) - TOTAL DA PRANCHA</t>
        </is>
      </c>
      <c r="B15" s="12" t="n"/>
      <c r="C15" s="12" t="n"/>
      <c r="D15" s="12" t="n"/>
      <c r="E15" s="12" t="n"/>
      <c r="F15" s="11" t="inlineStr">
        <is>
          <t>PARTICIPAÇÃO POR GRUPO DE SERVIÇO (VOLUME)</t>
        </is>
      </c>
      <c r="G15" s="12" t="n"/>
      <c r="H15" s="12" t="n"/>
      <c r="I15" s="12" t="n"/>
      <c r="K15" s="11" t="inlineStr">
        <is>
          <t>ÁREAS (m²) - TOTAL DA PRANCHA</t>
        </is>
      </c>
      <c r="L15" s="12" t="n"/>
      <c r="M15" s="12" t="n"/>
      <c r="N15" s="12" t="n"/>
    </row>
    <row r="16" ht="26" customHeight="1">
      <c r="A16" s="13" t="inlineStr">
        <is>
          <t>Item</t>
        </is>
      </c>
      <c r="B16" s="12" t="n"/>
      <c r="C16" s="13" t="inlineStr">
        <is>
          <t>Volume (m³)</t>
        </is>
      </c>
      <c r="D16" s="13" t="inlineStr">
        <is>
          <t>% do volume</t>
        </is>
      </c>
      <c r="E16" s="13" t="inlineStr">
        <is>
          <t>Por tanque (m³)</t>
        </is>
      </c>
      <c r="F16" s="13" t="inlineStr">
        <is>
          <t>Grupo de serviço</t>
        </is>
      </c>
      <c r="G16" s="12" t="n"/>
      <c r="H16" s="13" t="inlineStr">
        <is>
          <t>Volume (m³)</t>
        </is>
      </c>
      <c r="I16" s="13" t="inlineStr">
        <is>
          <t>% do volume</t>
        </is>
      </c>
      <c r="K16" s="13" t="inlineStr">
        <is>
          <t>Item</t>
        </is>
      </c>
      <c r="L16" s="12" t="n"/>
      <c r="M16" s="13" t="inlineStr">
        <is>
          <t>Área (m²)</t>
        </is>
      </c>
      <c r="N16" s="13" t="inlineStr">
        <is>
          <t>Por tanque (m²)</t>
        </is>
      </c>
    </row>
    <row r="17">
      <c r="A17" s="14" t="inlineStr">
        <is>
          <t>CONCRETO ESTRUTURAL</t>
        </is>
      </c>
      <c r="B17" s="15" t="n"/>
      <c r="C17" s="16" t="n">
        <v>210</v>
      </c>
      <c r="D17" s="17" t="n">
        <v>0.07435997308877165</v>
      </c>
      <c r="E17" s="16" t="n">
        <v>52.5</v>
      </c>
      <c r="F17" s="14" t="inlineStr">
        <is>
          <t>Concreto, formas e grout</t>
        </is>
      </c>
      <c r="G17" s="15" t="n"/>
      <c r="H17" s="16" t="n">
        <v>276.1</v>
      </c>
      <c r="I17" s="17" t="n">
        <v>0.09776565985623738</v>
      </c>
      <c r="K17" s="14" t="inlineStr">
        <is>
          <t>ÁREA DE FORMA</t>
        </is>
      </c>
      <c r="L17" s="15" t="n"/>
      <c r="M17" s="16" t="n">
        <v>720</v>
      </c>
      <c r="N17" s="16" t="n">
        <v>180</v>
      </c>
    </row>
    <row r="18">
      <c r="A18" s="14" t="inlineStr">
        <is>
          <t>CONCRETO MAGRO</t>
        </is>
      </c>
      <c r="B18" s="15" t="n"/>
      <c r="C18" s="16" t="n">
        <v>9.199999999999999</v>
      </c>
      <c r="D18" s="17" t="n">
        <v>0.003257675011508091</v>
      </c>
      <c r="E18" s="16" t="n">
        <v>2.3</v>
      </c>
      <c r="F18" s="14" t="inlineStr">
        <is>
          <t>Movimento de terra</t>
        </is>
      </c>
      <c r="G18" s="15" t="n"/>
      <c r="H18" s="16" t="n">
        <v>2548</v>
      </c>
      <c r="I18" s="17" t="n">
        <v>0.9022343401437627</v>
      </c>
      <c r="K18" s="14" t="inlineStr">
        <is>
          <t>PINTURA BETUMINOSA</t>
        </is>
      </c>
      <c r="L18" s="15" t="n"/>
      <c r="M18" s="16" t="n">
        <v>1025.53</v>
      </c>
      <c r="N18" s="16" t="n">
        <v>256.38</v>
      </c>
    </row>
    <row r="19">
      <c r="A19" s="14" t="inlineStr">
        <is>
          <t>GROUT</t>
        </is>
      </c>
      <c r="B19" s="15" t="n"/>
      <c r="C19" s="16" t="n">
        <v>3.5</v>
      </c>
      <c r="D19" s="17" t="n">
        <v>0.001239332884812861</v>
      </c>
      <c r="E19" s="16" t="n">
        <v>0.88</v>
      </c>
      <c r="F19" s="18" t="inlineStr">
        <is>
          <t>TOTAL</t>
        </is>
      </c>
      <c r="G19" s="12" t="n"/>
      <c r="H19" s="19" t="n">
        <v>2824.1</v>
      </c>
      <c r="I19" s="20" t="n">
        <v>1</v>
      </c>
      <c r="K19" s="14" t="inlineStr">
        <is>
          <t>MANTA GEOTÊXTIL NÃO TECIDO</t>
        </is>
      </c>
      <c r="L19" s="15" t="n"/>
      <c r="M19" s="16" t="n">
        <v>1712</v>
      </c>
      <c r="N19" s="16" t="n">
        <v>428</v>
      </c>
    </row>
    <row r="20">
      <c r="A20" s="14" t="inlineStr">
        <is>
          <t>ESCAVAÇÃO</t>
        </is>
      </c>
      <c r="B20" s="15" t="n"/>
      <c r="C20" s="16" t="n">
        <v>496.4</v>
      </c>
      <c r="D20" s="17" t="n">
        <v>0.1757728125774583</v>
      </c>
      <c r="E20" s="16" t="n">
        <v>121.55</v>
      </c>
      <c r="K20" s="14" t="inlineStr">
        <is>
          <t>GEOMEMBRANA PEAD e ≥ 0,8mm</t>
        </is>
      </c>
      <c r="L20" s="15" t="n"/>
      <c r="M20" s="16" t="n">
        <v>856</v>
      </c>
      <c r="N20" s="16" t="n">
        <v>214</v>
      </c>
    </row>
    <row r="21">
      <c r="A21" s="14" t="inlineStr">
        <is>
          <t>REATERRO COMPACTADO</t>
        </is>
      </c>
      <c r="B21" s="15" t="n"/>
      <c r="C21" s="16" t="n">
        <v>640.8</v>
      </c>
      <c r="D21" s="17" t="n">
        <v>0.2269041464537375</v>
      </c>
      <c r="E21" s="16" t="n">
        <v>128.4</v>
      </c>
      <c r="K21" s="18" t="inlineStr">
        <is>
          <t>TOTAL</t>
        </is>
      </c>
      <c r="L21" s="12" t="n"/>
      <c r="M21" s="19" t="n">
        <v>4313.53</v>
      </c>
      <c r="N21" s="19" t="n">
        <v>1078.38</v>
      </c>
    </row>
    <row r="22">
      <c r="A22" s="14" t="inlineStr">
        <is>
          <t>AREIA GROSSA COMPACTADA</t>
        </is>
      </c>
      <c r="B22" s="15" t="n"/>
      <c r="C22" s="16" t="n">
        <v>352.44</v>
      </c>
      <c r="D22" s="17" t="n">
        <v>0.1247972805495556</v>
      </c>
      <c r="E22" s="16" t="n">
        <v>70.62</v>
      </c>
    </row>
    <row r="23">
      <c r="A23" s="14" t="inlineStr">
        <is>
          <t>BICA CORRIDA</t>
        </is>
      </c>
      <c r="B23" s="15" t="n"/>
      <c r="C23" s="16" t="n">
        <v>501.96</v>
      </c>
      <c r="D23" s="17" t="n">
        <v>0.177741581388761</v>
      </c>
      <c r="E23" s="16" t="n">
        <v>100.58</v>
      </c>
    </row>
    <row r="24">
      <c r="A24" s="14" t="inlineStr">
        <is>
          <t>REVESTIMENTO CONCRETO SIMPLES e=5cm</t>
        </is>
      </c>
      <c r="B24" s="15" t="n"/>
      <c r="C24" s="16" t="n">
        <v>53.4</v>
      </c>
      <c r="D24" s="17" t="n">
        <v>0.01890867887114479</v>
      </c>
      <c r="E24" s="16" t="n">
        <v>10.7</v>
      </c>
    </row>
    <row r="25">
      <c r="A25" s="14" t="inlineStr">
        <is>
          <t>RACHÃO</t>
        </is>
      </c>
      <c r="B25" s="15" t="n"/>
      <c r="C25" s="16" t="n">
        <v>556.4</v>
      </c>
      <c r="D25" s="17" t="n">
        <v>0.1970185191742502</v>
      </c>
      <c r="E25" s="16" t="n">
        <v>139.1</v>
      </c>
    </row>
    <row r="26">
      <c r="A26" s="18" t="inlineStr">
        <is>
          <t>TOTAL</t>
        </is>
      </c>
      <c r="B26" s="12" t="n"/>
      <c r="C26" s="19" t="n">
        <v>2824.1</v>
      </c>
      <c r="D26" s="20" t="n">
        <v>1</v>
      </c>
      <c r="E26" s="19" t="n">
        <v>626.63</v>
      </c>
    </row>
    <row r="48" ht="22" customHeight="1">
      <c r="A48" s="11" t="inlineStr">
        <is>
          <t>ÁREAS POR ITEM (m²) - TOTAL DA PRANCHA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68" ht="22" customHeight="1">
      <c r="A68" s="11" t="inlineStr">
        <is>
          <t>CONTROLE DE VALIDAÇÃO - DESTAQUES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</row>
    <row r="69">
      <c r="A69" s="13" t="inlineStr">
        <is>
          <t>Grupo</t>
        </is>
      </c>
      <c r="B69" s="13" t="inlineStr">
        <is>
          <t>Indicador</t>
        </is>
      </c>
      <c r="C69" s="12" t="n"/>
      <c r="D69" s="13" t="inlineStr">
        <is>
          <t>Calculado</t>
        </is>
      </c>
      <c r="E69" s="13" t="inlineStr">
        <is>
          <t>Referência</t>
        </is>
      </c>
      <c r="F69" s="13" t="inlineStr">
        <is>
          <t>Desvio</t>
        </is>
      </c>
      <c r="G69" s="13" t="inlineStr">
        <is>
          <t>Critério</t>
        </is>
      </c>
      <c r="H69" s="12" t="n"/>
      <c r="I69" s="12" t="n"/>
      <c r="J69" s="12" t="n"/>
      <c r="K69" s="12" t="n"/>
      <c r="L69" s="12" t="n"/>
      <c r="M69" s="12" t="n"/>
      <c r="N69" s="12" t="n"/>
    </row>
    <row r="70" ht="24" customHeight="1">
      <c r="A70" s="21" t="inlineStr">
        <is>
          <t>Multiplicação</t>
        </is>
      </c>
      <c r="B70" s="22" t="inlineStr">
        <is>
          <t>Itens que fecham com unitário × 4</t>
        </is>
      </c>
      <c r="C70" s="15" t="n"/>
      <c r="D70" s="23" t="n">
        <v>10</v>
      </c>
      <c r="E70" s="23" t="n">
        <v>10</v>
      </c>
      <c r="F70" s="23" t="n">
        <v>0</v>
      </c>
      <c r="G70" s="22" t="inlineStr">
        <is>
          <t>Concreto estrutural, concreto magro, área de forma, grout, pintura betuminosa, manta geotêxtil, geomembrana, rachão e os dois tubos fecham exatamente (ou com arredondamento de 0,01 a 0,02).</t>
        </is>
      </c>
      <c r="H70" s="15" t="n"/>
      <c r="I70" s="15" t="n"/>
      <c r="J70" s="15" t="n"/>
      <c r="K70" s="15" t="n"/>
      <c r="L70" s="15" t="n"/>
      <c r="M70" s="15" t="n"/>
      <c r="N70" s="15" t="n"/>
    </row>
    <row r="71" ht="24" customHeight="1">
      <c r="A71" s="24" t="inlineStr">
        <is>
          <t>DIVERGÊNCIA</t>
        </is>
      </c>
      <c r="B71" s="25" t="inlineStr">
        <is>
          <t>Reaterro compactado (m³)</t>
        </is>
      </c>
      <c r="C71" s="26" t="n"/>
      <c r="D71" s="27" t="n">
        <v>513.6</v>
      </c>
      <c r="E71" s="27" t="n">
        <v>640.8</v>
      </c>
      <c r="F71" s="27" t="n">
        <v>127.2</v>
      </c>
      <c r="G71" s="25" t="inlineStr">
        <is>
          <t>Total impresso equivale a 4,99 × o unitário, e não a 4. Excesso de 127,20 m³.</t>
        </is>
      </c>
      <c r="H71" s="26" t="n"/>
      <c r="I71" s="26" t="n"/>
      <c r="J71" s="26" t="n"/>
      <c r="K71" s="26" t="n"/>
      <c r="L71" s="26" t="n"/>
      <c r="M71" s="26" t="n"/>
      <c r="N71" s="26" t="n"/>
    </row>
    <row r="72" ht="24" customHeight="1">
      <c r="A72" s="24" t="inlineStr">
        <is>
          <t>DIVERGÊNCIA</t>
        </is>
      </c>
      <c r="B72" s="25" t="inlineStr">
        <is>
          <t>Bica corrida (m³)</t>
        </is>
      </c>
      <c r="C72" s="26" t="n"/>
      <c r="D72" s="27" t="n">
        <v>402.32</v>
      </c>
      <c r="E72" s="27" t="n">
        <v>501.96</v>
      </c>
      <c r="F72" s="27" t="n">
        <v>99.64</v>
      </c>
      <c r="G72" s="25" t="inlineStr">
        <is>
          <t>Total impresso equivale a 4,99 × o unitário, e não a 4. Excesso de 99,64 m³.</t>
        </is>
      </c>
      <c r="H72" s="26" t="n"/>
      <c r="I72" s="26" t="n"/>
      <c r="J72" s="26" t="n"/>
      <c r="K72" s="26" t="n"/>
      <c r="L72" s="26" t="n"/>
      <c r="M72" s="26" t="n"/>
      <c r="N72" s="26" t="n"/>
    </row>
    <row r="73" ht="24" customHeight="1">
      <c r="A73" s="24" t="inlineStr">
        <is>
          <t>DIVERGÊNCIA</t>
        </is>
      </c>
      <c r="B73" s="25" t="inlineStr">
        <is>
          <t>Areia grossa compactada (m³)</t>
        </is>
      </c>
      <c r="C73" s="26" t="n"/>
      <c r="D73" s="27" t="n">
        <v>282.48</v>
      </c>
      <c r="E73" s="27" t="n">
        <v>352.44</v>
      </c>
      <c r="F73" s="27" t="n">
        <v>69.95999999999999</v>
      </c>
      <c r="G73" s="25" t="inlineStr">
        <is>
          <t>Total impresso equivale a 4,99 × o unitário, e não a 4. Excesso de 69,96 m³.</t>
        </is>
      </c>
      <c r="H73" s="26" t="n"/>
      <c r="I73" s="26" t="n"/>
      <c r="J73" s="26" t="n"/>
      <c r="K73" s="26" t="n"/>
      <c r="L73" s="26" t="n"/>
      <c r="M73" s="26" t="n"/>
      <c r="N73" s="26" t="n"/>
    </row>
    <row r="74" ht="24" customHeight="1">
      <c r="A74" s="24" t="inlineStr">
        <is>
          <t>DIVERGÊNCIA</t>
        </is>
      </c>
      <c r="B74" s="25" t="inlineStr">
        <is>
          <t>Revestimento e escavação (m³)</t>
        </is>
      </c>
      <c r="C74" s="26" t="n"/>
      <c r="D74" s="27" t="n">
        <v>529</v>
      </c>
      <c r="E74" s="27" t="n">
        <v>549.8</v>
      </c>
      <c r="F74" s="27" t="n">
        <v>20.8</v>
      </c>
      <c r="G74" s="25" t="inlineStr">
        <is>
          <t>Revestimento: 42,80 calculado vs. 53,40 impresso (fator 4,99). Escavação: 486,20 vs. 496,40 (fator 4,08). Somadas às demais, as cinco linhas totalizam 317,60 m³ a mais. Confirmar.</t>
        </is>
      </c>
      <c r="H74" s="26" t="n"/>
      <c r="I74" s="26" t="n"/>
      <c r="J74" s="26" t="n"/>
      <c r="K74" s="26" t="n"/>
      <c r="L74" s="26" t="n"/>
      <c r="M74" s="26" t="n"/>
      <c r="N74" s="26" t="n"/>
    </row>
  </sheetData>
  <mergeCells count="64">
    <mergeCell ref="K16:L16"/>
    <mergeCell ref="A10:C11"/>
    <mergeCell ref="A24:B24"/>
    <mergeCell ref="G72:N72"/>
    <mergeCell ref="B72:C72"/>
    <mergeCell ref="F16:G16"/>
    <mergeCell ref="D5:F6"/>
    <mergeCell ref="A15:E15"/>
    <mergeCell ref="A48:N48"/>
    <mergeCell ref="F19:G19"/>
    <mergeCell ref="D10:F11"/>
    <mergeCell ref="G71:N71"/>
    <mergeCell ref="J5:L6"/>
    <mergeCell ref="J4:L4"/>
    <mergeCell ref="A12:C12"/>
    <mergeCell ref="D7:F7"/>
    <mergeCell ref="G70:N70"/>
    <mergeCell ref="B71:C71"/>
    <mergeCell ref="A1:N1"/>
    <mergeCell ref="J7:L7"/>
    <mergeCell ref="K21:L21"/>
    <mergeCell ref="B70:C70"/>
    <mergeCell ref="A16:B16"/>
    <mergeCell ref="K20:L20"/>
    <mergeCell ref="A25:B25"/>
    <mergeCell ref="J10:L11"/>
    <mergeCell ref="D4:F4"/>
    <mergeCell ref="F18:G18"/>
    <mergeCell ref="D12:F12"/>
    <mergeCell ref="G4:I4"/>
    <mergeCell ref="D9:F9"/>
    <mergeCell ref="J12:L12"/>
    <mergeCell ref="A4:C4"/>
    <mergeCell ref="A18:B18"/>
    <mergeCell ref="K15:N15"/>
    <mergeCell ref="F17:G17"/>
    <mergeCell ref="B73:C73"/>
    <mergeCell ref="G69:N69"/>
    <mergeCell ref="B69:C69"/>
    <mergeCell ref="A26:B26"/>
    <mergeCell ref="A21:B21"/>
    <mergeCell ref="G74:N74"/>
    <mergeCell ref="G10:I11"/>
    <mergeCell ref="A2:N2"/>
    <mergeCell ref="A9:C9"/>
    <mergeCell ref="G9:I9"/>
    <mergeCell ref="F15:I15"/>
    <mergeCell ref="G12:I12"/>
    <mergeCell ref="A17:B17"/>
    <mergeCell ref="A23:B23"/>
    <mergeCell ref="A22:B22"/>
    <mergeCell ref="K17:L17"/>
    <mergeCell ref="B74:C74"/>
    <mergeCell ref="G73:N73"/>
    <mergeCell ref="A20:B20"/>
    <mergeCell ref="A5:C6"/>
    <mergeCell ref="G5:I6"/>
    <mergeCell ref="A19:B19"/>
    <mergeCell ref="K19:L19"/>
    <mergeCell ref="A68:N68"/>
    <mergeCell ref="J9:L9"/>
    <mergeCell ref="A7:C7"/>
    <mergeCell ref="G7:I7"/>
    <mergeCell ref="K18:L18"/>
  </mergeCells>
  <printOptions horizontalCentered="1"/>
  <pageMargins left="0.3" right="0.3" top="0.4" bottom="0.4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5" customWidth="1" min="4" max="4"/>
    <col width="15" customWidth="1" min="5" max="5"/>
    <col width="11" customWidth="1" min="6" max="6"/>
    <col width="26" customWidth="1" min="7" max="7"/>
    <col width="46" customWidth="1" min="8" max="8"/>
  </cols>
  <sheetData>
    <row r="1" ht="36" customHeight="1">
      <c r="A1" s="1" t="inlineStr">
        <is>
          <t>QUANTITATIVO TOTAL - TRANSCRIÇÃO INTEGRAL DA PRANCHA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Quadro QUANTITATIVO TOTAL transcrito item a item. A coluna '1 UN' do desenho é a quantidade por tanque e a coluna 'TOTAL' é o valor impresso para o conjunto. A coluna 'Total calculado' aplica unitário × 4 e a coluna 'Desvio' expõe as diferenças — as linhas destacadas em âmbar não fecham.</t>
        </is>
      </c>
    </row>
    <row r="5" ht="30" customHeight="1">
      <c r="A5" s="13" t="inlineStr">
        <is>
          <t>Item</t>
        </is>
      </c>
      <c r="B5" s="13" t="inlineStr">
        <is>
          <t>Unidade</t>
        </is>
      </c>
      <c r="C5" s="13" t="inlineStr">
        <is>
          <t>Quantidade
por tanque</t>
        </is>
      </c>
      <c r="D5" s="13" t="inlineStr">
        <is>
          <t>Total impresso
na prancha</t>
        </is>
      </c>
      <c r="E5" s="13" t="inlineStr">
        <is>
          <t>Total calculado
(unit. × 4)</t>
        </is>
      </c>
      <c r="F5" s="13" t="inlineStr">
        <is>
          <t>Desvio</t>
        </is>
      </c>
      <c r="G5" s="13" t="inlineStr">
        <is>
          <t>Grupo</t>
        </is>
      </c>
      <c r="H5" s="13" t="inlineStr">
        <is>
          <t>Observação</t>
        </is>
      </c>
    </row>
    <row r="6">
      <c r="A6" s="14" t="inlineStr">
        <is>
          <t>CONCRETO ESTRUTURAL</t>
        </is>
      </c>
      <c r="B6" s="14" t="inlineStr">
        <is>
          <t>m³</t>
        </is>
      </c>
      <c r="C6" s="16" t="n">
        <v>52.5</v>
      </c>
      <c r="D6" s="16" t="n">
        <v>210</v>
      </c>
      <c r="E6" s="16" t="n">
        <v>210</v>
      </c>
      <c r="F6" s="16" t="n">
        <v>0</v>
      </c>
      <c r="G6" s="14" t="inlineStr">
        <is>
          <t>Concreto, formas e grout</t>
        </is>
      </c>
      <c r="H6" s="29" t="inlineStr">
        <is>
          <t>Anel de concreto de 65 × 150 cm, fck ≥ 30 MPa. Confere com a seção × desenvolvimento do eixo.</t>
        </is>
      </c>
    </row>
    <row r="7">
      <c r="A7" s="14" t="inlineStr">
        <is>
          <t>CONCRETO MAGRO</t>
        </is>
      </c>
      <c r="B7" s="14" t="inlineStr">
        <is>
          <t>m³</t>
        </is>
      </c>
      <c r="C7" s="16" t="n">
        <v>2.3</v>
      </c>
      <c r="D7" s="16" t="n">
        <v>9.199999999999999</v>
      </c>
      <c r="E7" s="16" t="n">
        <v>9.199999999999999</v>
      </c>
      <c r="F7" s="16" t="n">
        <v>0</v>
      </c>
      <c r="G7" s="14" t="inlineStr">
        <is>
          <t>Concreto, formas e grout</t>
        </is>
      </c>
      <c r="H7" s="29" t="inlineStr">
        <is>
          <t>fck ≥ 10 MPa, camada de 5 cm sob o anel e sob o revestimento. Unidade sem sufixo no quadro.</t>
        </is>
      </c>
    </row>
    <row r="8">
      <c r="A8" s="14" t="inlineStr">
        <is>
          <t>ÁREA DE FORMA</t>
        </is>
      </c>
      <c r="B8" s="14" t="inlineStr">
        <is>
          <t>m²</t>
        </is>
      </c>
      <c r="C8" s="16" t="n">
        <v>180</v>
      </c>
      <c r="D8" s="16" t="n">
        <v>720</v>
      </c>
      <c r="E8" s="16" t="n">
        <v>720</v>
      </c>
      <c r="F8" s="16" t="n">
        <v>0</v>
      </c>
      <c r="G8" s="14" t="inlineStr">
        <is>
          <t>Concreto, formas e grout</t>
        </is>
      </c>
      <c r="H8" s="29" t="inlineStr">
        <is>
          <t>Formas das faces interna e externa do anel.</t>
        </is>
      </c>
    </row>
    <row r="9">
      <c r="A9" s="14" t="inlineStr">
        <is>
          <t>GROUT</t>
        </is>
      </c>
      <c r="B9" s="14" t="inlineStr">
        <is>
          <t>m³</t>
        </is>
      </c>
      <c r="C9" s="16" t="n">
        <v>0.88</v>
      </c>
      <c r="D9" s="16" t="n">
        <v>3.5</v>
      </c>
      <c r="E9" s="16" t="n">
        <v>3.52</v>
      </c>
      <c r="F9" s="16" t="n">
        <v>-0.02</v>
      </c>
      <c r="G9" s="14" t="inlineStr">
        <is>
          <t>Concreto, formas e grout</t>
        </is>
      </c>
      <c r="H9" s="29" t="inlineStr">
        <is>
          <t>Camada de 2,5 cm no topo do anel (EL.19,75), sob a chapa de fundo do tanque.</t>
        </is>
      </c>
    </row>
    <row r="10">
      <c r="A10" s="14" t="inlineStr">
        <is>
          <t>PINTURA BETUMINOSA</t>
        </is>
      </c>
      <c r="B10" s="14" t="inlineStr">
        <is>
          <t>m²</t>
        </is>
      </c>
      <c r="C10" s="16" t="n">
        <v>256.38</v>
      </c>
      <c r="D10" s="16" t="n">
        <v>1025.53</v>
      </c>
      <c r="E10" s="16" t="n">
        <v>1025.52</v>
      </c>
      <c r="F10" s="16" t="n">
        <v>0.01</v>
      </c>
      <c r="G10" s="14" t="inlineStr">
        <is>
          <t>Impermeabilização</t>
        </is>
      </c>
      <c r="H10" s="29" t="inlineStr">
        <is>
          <t>Aplicada nas faces indicadas no DETALHE 1.</t>
        </is>
      </c>
    </row>
    <row r="11">
      <c r="A11" s="30" t="inlineStr">
        <is>
          <t>ESCAVAÇÃO</t>
        </is>
      </c>
      <c r="B11" s="30" t="inlineStr">
        <is>
          <t>m³</t>
        </is>
      </c>
      <c r="C11" s="31" t="n">
        <v>121.55</v>
      </c>
      <c r="D11" s="31" t="n">
        <v>496.4</v>
      </c>
      <c r="E11" s="31" t="n">
        <v>486.2</v>
      </c>
      <c r="F11" s="31" t="n">
        <v>10.2</v>
      </c>
      <c r="G11" s="30" t="inlineStr">
        <is>
          <t>Movimento de terra</t>
        </is>
      </c>
      <c r="H11" s="32" t="inlineStr">
        <is>
          <t>Escavação para implantação do berço e do anel.</t>
        </is>
      </c>
    </row>
    <row r="12">
      <c r="A12" s="30" t="inlineStr">
        <is>
          <t>REATERRO COMPACTADO</t>
        </is>
      </c>
      <c r="B12" s="30" t="inlineStr">
        <is>
          <t>m³</t>
        </is>
      </c>
      <c r="C12" s="31" t="n">
        <v>128.4</v>
      </c>
      <c r="D12" s="31" t="n">
        <v>640.8</v>
      </c>
      <c r="E12" s="31" t="n">
        <v>513.6</v>
      </c>
      <c r="F12" s="31" t="n">
        <v>127.2</v>
      </c>
      <c r="G12" s="30" t="inlineStr">
        <is>
          <t>Movimento de terra</t>
        </is>
      </c>
      <c r="H12" s="32" t="inlineStr">
        <is>
          <t>Ver Nota 8: material da própria escavação, compactação ≥ 98% do PN, camadas ≤ 20 cm.</t>
        </is>
      </c>
    </row>
    <row r="13">
      <c r="A13" s="30" t="inlineStr">
        <is>
          <t>AREIA GROSSA COMPACTADA</t>
        </is>
      </c>
      <c r="B13" s="30" t="inlineStr">
        <is>
          <t>m³</t>
        </is>
      </c>
      <c r="C13" s="31" t="n">
        <v>70.62</v>
      </c>
      <c r="D13" s="31" t="n">
        <v>352.44</v>
      </c>
      <c r="E13" s="31" t="n">
        <v>282.48</v>
      </c>
      <c r="F13" s="31" t="n">
        <v>69.95999999999999</v>
      </c>
      <c r="G13" s="30" t="inlineStr">
        <is>
          <t>Movimento de terra</t>
        </is>
      </c>
      <c r="H13" s="30" t="inlineStr">
        <is>
          <t>Camada de regularização do berço.</t>
        </is>
      </c>
    </row>
    <row r="14">
      <c r="A14" s="14" t="inlineStr">
        <is>
          <t>MANTA GEOTÊXTIL NÃO TECIDO</t>
        </is>
      </c>
      <c r="B14" s="14" t="inlineStr">
        <is>
          <t>m²</t>
        </is>
      </c>
      <c r="C14" s="16" t="n">
        <v>428</v>
      </c>
      <c r="D14" s="16" t="n">
        <v>1712</v>
      </c>
      <c r="E14" s="16" t="n">
        <v>1712</v>
      </c>
      <c r="F14" s="16" t="n">
        <v>0</v>
      </c>
      <c r="G14" s="14" t="inlineStr">
        <is>
          <t>Impermeabilização</t>
        </is>
      </c>
      <c r="H14" s="29" t="inlineStr">
        <is>
          <t>Bidim RT-31 ou equivalente. A área é exatamente o dobro da geomembrana, coerente com a aplicação acima e abaixo dela.</t>
        </is>
      </c>
    </row>
    <row r="15">
      <c r="A15" s="30" t="inlineStr">
        <is>
          <t>BICA CORRIDA</t>
        </is>
      </c>
      <c r="B15" s="30" t="inlineStr">
        <is>
          <t>m³</t>
        </is>
      </c>
      <c r="C15" s="31" t="n">
        <v>100.58</v>
      </c>
      <c r="D15" s="31" t="n">
        <v>501.96</v>
      </c>
      <c r="E15" s="31" t="n">
        <v>402.32</v>
      </c>
      <c r="F15" s="31" t="n">
        <v>99.64</v>
      </c>
      <c r="G15" s="30" t="inlineStr">
        <is>
          <t>Movimento de terra</t>
        </is>
      </c>
      <c r="H15" s="32" t="inlineStr">
        <is>
          <t>Ver Nota 10: fração grossa de 19 a 38 mm.</t>
        </is>
      </c>
    </row>
    <row r="16">
      <c r="A16" s="30" t="inlineStr">
        <is>
          <t>REVESTIMENTO CONCRETO SIMPLES e=5cm</t>
        </is>
      </c>
      <c r="B16" s="30" t="inlineStr">
        <is>
          <t>m³</t>
        </is>
      </c>
      <c r="C16" s="31" t="n">
        <v>10.7</v>
      </c>
      <c r="D16" s="31" t="n">
        <v>53.4</v>
      </c>
      <c r="E16" s="31" t="n">
        <v>42.8</v>
      </c>
      <c r="F16" s="31" t="n">
        <v>10.6</v>
      </c>
      <c r="G16" s="30" t="inlineStr">
        <is>
          <t>Concreto, formas e grout</t>
        </is>
      </c>
      <c r="H16" s="32" t="inlineStr">
        <is>
          <t>Revestimento do berço interno, espessura de 5 cm.</t>
        </is>
      </c>
    </row>
    <row r="17">
      <c r="A17" s="14" t="inlineStr">
        <is>
          <t>GEOMEMBRANA PEAD e ≥ 0,8mm</t>
        </is>
      </c>
      <c r="B17" s="14" t="inlineStr">
        <is>
          <t>m²</t>
        </is>
      </c>
      <c r="C17" s="16" t="n">
        <v>214</v>
      </c>
      <c r="D17" s="16" t="n">
        <v>856</v>
      </c>
      <c r="E17" s="16" t="n">
        <v>856</v>
      </c>
      <c r="F17" s="16" t="n">
        <v>0</v>
      </c>
      <c r="G17" s="14" t="inlineStr">
        <is>
          <t>Impermeabilização</t>
        </is>
      </c>
      <c r="H17" s="29" t="inlineStr">
        <is>
          <t>Fixada ao anel de concreto conforme o DETALHE 1.</t>
        </is>
      </c>
    </row>
    <row r="18">
      <c r="A18" s="14" t="inlineStr">
        <is>
          <t>TUBO DRENO CORRUGADO DN-3"</t>
        </is>
      </c>
      <c r="B18" s="14" t="inlineStr">
        <is>
          <t>un</t>
        </is>
      </c>
      <c r="C18" s="16" t="n">
        <v>12</v>
      </c>
      <c r="D18" s="16" t="n">
        <v>48</v>
      </c>
      <c r="E18" s="16" t="n">
        <v>48</v>
      </c>
      <c r="F18" s="16" t="n">
        <v>0</v>
      </c>
      <c r="G18" s="14" t="inlineStr">
        <is>
          <t>Drenagem</t>
        </is>
      </c>
      <c r="H18" s="29" t="inlineStr">
        <is>
          <t>Envolto em manta geotêxtil não tecido, com tampão e declividade de 5%.</t>
        </is>
      </c>
    </row>
    <row r="19">
      <c r="A19" s="14" t="inlineStr">
        <is>
          <t>TUBO CORRUGADO NÃO PERFURADO DN-3" C/36º</t>
        </is>
      </c>
      <c r="B19" s="14" t="inlineStr">
        <is>
          <t>un</t>
        </is>
      </c>
      <c r="C19" s="16" t="n">
        <v>12</v>
      </c>
      <c r="D19" s="16" t="n">
        <v>48</v>
      </c>
      <c r="E19" s="16" t="n">
        <v>48</v>
      </c>
      <c r="F19" s="16" t="n">
        <v>0</v>
      </c>
      <c r="G19" s="14" t="inlineStr">
        <is>
          <t>Drenagem</t>
        </is>
      </c>
      <c r="H19" s="29" t="inlineStr">
        <is>
          <t>Travessia do anel; a cada 36° o perímetro comportaria 10 posições, e o quadro adota 12 un.</t>
        </is>
      </c>
    </row>
    <row r="20">
      <c r="A20" s="14" t="inlineStr">
        <is>
          <t>RACHÃO</t>
        </is>
      </c>
      <c r="B20" s="14" t="inlineStr">
        <is>
          <t>m³</t>
        </is>
      </c>
      <c r="C20" s="16" t="n">
        <v>139.1</v>
      </c>
      <c r="D20" s="16" t="n">
        <v>556.4</v>
      </c>
      <c r="E20" s="16" t="n">
        <v>556.4</v>
      </c>
      <c r="F20" s="16" t="n">
        <v>0</v>
      </c>
      <c r="G20" s="14" t="inlineStr">
        <is>
          <t>Movimento de terra</t>
        </is>
      </c>
      <c r="H20" s="29" t="inlineStr">
        <is>
          <t>Ver Nota 9: pedra britada de origem sã, compactada.</t>
        </is>
      </c>
    </row>
  </sheetData>
  <mergeCells count="3">
    <mergeCell ref="A3:H3"/>
    <mergeCell ref="A2:H2"/>
    <mergeCell ref="A1:H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1" customWidth="1" min="5" max="5"/>
    <col width="74" customWidth="1" min="6" max="6"/>
  </cols>
  <sheetData>
    <row r="1" ht="36" customHeight="1">
      <c r="A1" s="1" t="inlineStr">
        <is>
          <t>RESUMO POR GRUPO DE SERVIÇO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Agrupamento dos itens do quadro por natureza de serviço. Volumes (m³), áreas (m²) e unidades são somados separadamente, pois não se agregam entre si.</t>
        </is>
      </c>
    </row>
    <row r="5" ht="30" customHeight="1">
      <c r="A5" s="13" t="inlineStr">
        <is>
          <t>Grupo de serviço</t>
        </is>
      </c>
      <c r="B5" s="13" t="inlineStr">
        <is>
          <t>Itens</t>
        </is>
      </c>
      <c r="C5" s="13" t="inlineStr">
        <is>
          <t>Volume total
(m³)</t>
        </is>
      </c>
      <c r="D5" s="13" t="inlineStr">
        <is>
          <t>Área total
(m²)</t>
        </is>
      </c>
      <c r="E5" s="13" t="inlineStr">
        <is>
          <t>Unidades
(un)</t>
        </is>
      </c>
      <c r="F5" s="13" t="inlineStr">
        <is>
          <t>Itens que compõem o grupo</t>
        </is>
      </c>
    </row>
    <row r="6">
      <c r="A6" s="14" t="inlineStr">
        <is>
          <t>Concreto, formas e grout</t>
        </is>
      </c>
      <c r="B6" s="33" t="n">
        <v>5</v>
      </c>
      <c r="C6" s="16" t="n">
        <v>276.1</v>
      </c>
      <c r="D6" s="16" t="n">
        <v>720</v>
      </c>
      <c r="E6" s="33" t="n"/>
      <c r="F6" s="29" t="inlineStr">
        <is>
          <t>CONCRETO ESTRUTURAL, CONCRETO MAGRO, ÁREA DE FORMA, GROUT, REVESTIMENTO CONCRETO SIMPLES e=5cm</t>
        </is>
      </c>
    </row>
    <row r="7">
      <c r="A7" s="14" t="inlineStr">
        <is>
          <t>Movimento de terra</t>
        </is>
      </c>
      <c r="B7" s="33" t="n">
        <v>5</v>
      </c>
      <c r="C7" s="16" t="n">
        <v>2548</v>
      </c>
      <c r="D7" s="16" t="n"/>
      <c r="E7" s="33" t="n"/>
      <c r="F7" s="29" t="inlineStr">
        <is>
          <t>ESCAVAÇÃO, REATERRO COMPACTADO, AREIA GROSSA COMPACTADA, BICA CORRIDA, RACHÃO</t>
        </is>
      </c>
    </row>
    <row r="8">
      <c r="A8" s="14" t="inlineStr">
        <is>
          <t>Impermeabilização</t>
        </is>
      </c>
      <c r="B8" s="33" t="n">
        <v>3</v>
      </c>
      <c r="C8" s="16" t="n"/>
      <c r="D8" s="16" t="n">
        <v>3593.53</v>
      </c>
      <c r="E8" s="33" t="n"/>
      <c r="F8" s="29" t="inlineStr">
        <is>
          <t>PINTURA BETUMINOSA, MANTA GEOTÊXTIL NÃO TECIDO, GEOMEMBRANA PEAD e ≥ 0,8mm</t>
        </is>
      </c>
    </row>
    <row r="9">
      <c r="A9" s="14" t="inlineStr">
        <is>
          <t>Drenagem</t>
        </is>
      </c>
      <c r="B9" s="33" t="n">
        <v>2</v>
      </c>
      <c r="C9" s="16" t="n"/>
      <c r="D9" s="16" t="n"/>
      <c r="E9" s="33" t="n">
        <v>96</v>
      </c>
      <c r="F9" s="29" t="inlineStr">
        <is>
          <t>TUBO DRENO CORRUGADO DN-3", TUBO CORRUGADO NÃO PERFURADO DN-3" C/36º</t>
        </is>
      </c>
    </row>
    <row r="10">
      <c r="A10" s="34" t="inlineStr">
        <is>
          <t>TOTAL</t>
        </is>
      </c>
      <c r="B10" s="35" t="n">
        <v>15</v>
      </c>
      <c r="C10" s="19" t="n">
        <v>2824.1</v>
      </c>
      <c r="D10" s="19" t="n">
        <v>4313.53</v>
      </c>
      <c r="E10" s="35" t="n">
        <v>96</v>
      </c>
      <c r="F10" s="34" t="n"/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26" customWidth="1" min="4" max="4"/>
    <col width="15" customWidth="1" min="5" max="5"/>
    <col width="15" customWidth="1" min="6" max="6"/>
    <col width="15" customWidth="1" min="7" max="7"/>
  </cols>
  <sheetData>
    <row r="1" ht="36" customHeight="1">
      <c r="A1" s="1" t="inlineStr">
        <is>
          <t>QUANTITATIVO POR TANQUE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A prancha atende 4 fundações idênticas (indicação '4x' na planta de formas). Os valores por tanque são os da coluna '1 UN' do próprio quadro.</t>
        </is>
      </c>
    </row>
    <row r="5" ht="30" customHeight="1">
      <c r="A5" s="13" t="inlineStr">
        <is>
          <t>Tanque</t>
        </is>
      </c>
      <c r="B5" s="13" t="inlineStr">
        <is>
          <t>Elemento</t>
        </is>
      </c>
      <c r="C5" s="13" t="inlineStr">
        <is>
          <t>CONCRETO ESTRUTURAL</t>
        </is>
      </c>
      <c r="D5" s="13" t="inlineStr">
        <is>
          <t>ÁREA DE FORMA</t>
        </is>
      </c>
      <c r="E5" s="13" t="inlineStr">
        <is>
          <t>GROUT</t>
        </is>
      </c>
      <c r="F5" s="13" t="inlineStr">
        <is>
          <t>ESCAVAÇÃO</t>
        </is>
      </c>
      <c r="G5" s="13" t="inlineStr">
        <is>
          <t>REATERRO COMPACTADO</t>
        </is>
      </c>
    </row>
    <row r="6">
      <c r="A6" s="14" t="inlineStr">
        <is>
          <t>TQ-6310818A</t>
        </is>
      </c>
      <c r="B6" s="14" t="inlineStr">
        <is>
          <t>Fundação anelar — formas e berço</t>
        </is>
      </c>
      <c r="C6" s="16" t="n">
        <v>52.5</v>
      </c>
      <c r="D6" s="16" t="n">
        <v>180</v>
      </c>
      <c r="E6" s="16" t="n">
        <v>0.88</v>
      </c>
      <c r="F6" s="16" t="n">
        <v>121.55</v>
      </c>
      <c r="G6" s="16" t="n">
        <v>128.4</v>
      </c>
    </row>
    <row r="7">
      <c r="A7" s="14" t="inlineStr">
        <is>
          <t>TQ-6310818B</t>
        </is>
      </c>
      <c r="B7" s="14" t="inlineStr">
        <is>
          <t>Fundação anelar — formas e berço</t>
        </is>
      </c>
      <c r="C7" s="16" t="n">
        <v>52.5</v>
      </c>
      <c r="D7" s="16" t="n">
        <v>180</v>
      </c>
      <c r="E7" s="16" t="n">
        <v>0.88</v>
      </c>
      <c r="F7" s="16" t="n">
        <v>121.55</v>
      </c>
      <c r="G7" s="16" t="n">
        <v>128.4</v>
      </c>
    </row>
    <row r="8">
      <c r="A8" s="14" t="inlineStr">
        <is>
          <t>TQ-6310818C</t>
        </is>
      </c>
      <c r="B8" s="14" t="inlineStr">
        <is>
          <t>Fundação anelar — formas e berço</t>
        </is>
      </c>
      <c r="C8" s="16" t="n">
        <v>52.5</v>
      </c>
      <c r="D8" s="16" t="n">
        <v>180</v>
      </c>
      <c r="E8" s="16" t="n">
        <v>0.88</v>
      </c>
      <c r="F8" s="16" t="n">
        <v>121.55</v>
      </c>
      <c r="G8" s="16" t="n">
        <v>128.4</v>
      </c>
    </row>
    <row r="9">
      <c r="A9" s="14" t="inlineStr">
        <is>
          <t>TQ-6310818D</t>
        </is>
      </c>
      <c r="B9" s="14" t="inlineStr">
        <is>
          <t>Fundação anelar — formas e berço</t>
        </is>
      </c>
      <c r="C9" s="16" t="n">
        <v>52.5</v>
      </c>
      <c r="D9" s="16" t="n">
        <v>180</v>
      </c>
      <c r="E9" s="16" t="n">
        <v>0.88</v>
      </c>
      <c r="F9" s="16" t="n">
        <v>121.55</v>
      </c>
      <c r="G9" s="16" t="n">
        <v>128.4</v>
      </c>
    </row>
    <row r="10">
      <c r="A10" s="34" t="inlineStr">
        <is>
          <t>TOTAL — 4 tanques</t>
        </is>
      </c>
      <c r="B10" s="12" t="n"/>
      <c r="C10" s="19" t="n">
        <v>210</v>
      </c>
      <c r="D10" s="19" t="n">
        <v>720</v>
      </c>
      <c r="E10" s="19" t="n">
        <v>3.5</v>
      </c>
      <c r="F10" s="19" t="n">
        <v>496.4</v>
      </c>
      <c r="G10" s="19" t="n">
        <v>640.8</v>
      </c>
    </row>
    <row r="12" ht="22" customHeight="1">
      <c r="A12" s="11" t="inlineStr">
        <is>
          <t>QUANTITATIVO COMPLETO DE UMA FUNDAÇÃO</t>
        </is>
      </c>
      <c r="B12" s="12" t="n"/>
      <c r="C12" s="12" t="n"/>
      <c r="D12" s="12" t="n"/>
    </row>
    <row r="13" ht="30" customHeight="1">
      <c r="A13" s="13" t="inlineStr">
        <is>
          <t>Item</t>
        </is>
      </c>
      <c r="B13" s="13" t="inlineStr">
        <is>
          <t>Unidade</t>
        </is>
      </c>
      <c r="C13" s="13" t="inlineStr">
        <is>
          <t>Quantidade por tanque</t>
        </is>
      </c>
      <c r="D13" s="13" t="inlineStr">
        <is>
          <t>Grupo</t>
        </is>
      </c>
    </row>
    <row r="14">
      <c r="A14" s="14" t="inlineStr">
        <is>
          <t>CONCRETO ESTRUTURAL</t>
        </is>
      </c>
      <c r="B14" s="14" t="inlineStr">
        <is>
          <t>m³</t>
        </is>
      </c>
      <c r="C14" s="16" t="n">
        <v>52.5</v>
      </c>
      <c r="D14" s="14" t="inlineStr">
        <is>
          <t>Concreto, formas e grout</t>
        </is>
      </c>
    </row>
    <row r="15">
      <c r="A15" s="14" t="inlineStr">
        <is>
          <t>CONCRETO MAGRO</t>
        </is>
      </c>
      <c r="B15" s="14" t="inlineStr">
        <is>
          <t>m³</t>
        </is>
      </c>
      <c r="C15" s="16" t="n">
        <v>2.3</v>
      </c>
      <c r="D15" s="14" t="inlineStr">
        <is>
          <t>Concreto, formas e grout</t>
        </is>
      </c>
    </row>
    <row r="16">
      <c r="A16" s="14" t="inlineStr">
        <is>
          <t>ÁREA DE FORMA</t>
        </is>
      </c>
      <c r="B16" s="14" t="inlineStr">
        <is>
          <t>m²</t>
        </is>
      </c>
      <c r="C16" s="16" t="n">
        <v>180</v>
      </c>
      <c r="D16" s="14" t="inlineStr">
        <is>
          <t>Concreto, formas e grout</t>
        </is>
      </c>
    </row>
    <row r="17">
      <c r="A17" s="14" t="inlineStr">
        <is>
          <t>GROUT</t>
        </is>
      </c>
      <c r="B17" s="14" t="inlineStr">
        <is>
          <t>m³</t>
        </is>
      </c>
      <c r="C17" s="16" t="n">
        <v>0.88</v>
      </c>
      <c r="D17" s="14" t="inlineStr">
        <is>
          <t>Concreto, formas e grout</t>
        </is>
      </c>
    </row>
    <row r="18">
      <c r="A18" s="14" t="inlineStr">
        <is>
          <t>PINTURA BETUMINOSA</t>
        </is>
      </c>
      <c r="B18" s="14" t="inlineStr">
        <is>
          <t>m²</t>
        </is>
      </c>
      <c r="C18" s="16" t="n">
        <v>256.38</v>
      </c>
      <c r="D18" s="14" t="inlineStr">
        <is>
          <t>Impermeabilização</t>
        </is>
      </c>
    </row>
    <row r="19">
      <c r="A19" s="14" t="inlineStr">
        <is>
          <t>ESCAVAÇÃO</t>
        </is>
      </c>
      <c r="B19" s="14" t="inlineStr">
        <is>
          <t>m³</t>
        </is>
      </c>
      <c r="C19" s="16" t="n">
        <v>121.55</v>
      </c>
      <c r="D19" s="14" t="inlineStr">
        <is>
          <t>Movimento de terra</t>
        </is>
      </c>
    </row>
    <row r="20">
      <c r="A20" s="14" t="inlineStr">
        <is>
          <t>REATERRO COMPACTADO</t>
        </is>
      </c>
      <c r="B20" s="14" t="inlineStr">
        <is>
          <t>m³</t>
        </is>
      </c>
      <c r="C20" s="16" t="n">
        <v>128.4</v>
      </c>
      <c r="D20" s="14" t="inlineStr">
        <is>
          <t>Movimento de terra</t>
        </is>
      </c>
    </row>
    <row r="21">
      <c r="A21" s="14" t="inlineStr">
        <is>
          <t>AREIA GROSSA COMPACTADA</t>
        </is>
      </c>
      <c r="B21" s="14" t="inlineStr">
        <is>
          <t>m³</t>
        </is>
      </c>
      <c r="C21" s="16" t="n">
        <v>70.62</v>
      </c>
      <c r="D21" s="14" t="inlineStr">
        <is>
          <t>Movimento de terra</t>
        </is>
      </c>
    </row>
    <row r="22">
      <c r="A22" s="14" t="inlineStr">
        <is>
          <t>MANTA GEOTÊXTIL NÃO TECIDO</t>
        </is>
      </c>
      <c r="B22" s="14" t="inlineStr">
        <is>
          <t>m²</t>
        </is>
      </c>
      <c r="C22" s="16" t="n">
        <v>428</v>
      </c>
      <c r="D22" s="14" t="inlineStr">
        <is>
          <t>Impermeabilização</t>
        </is>
      </c>
    </row>
    <row r="23">
      <c r="A23" s="14" t="inlineStr">
        <is>
          <t>BICA CORRIDA</t>
        </is>
      </c>
      <c r="B23" s="14" t="inlineStr">
        <is>
          <t>m³</t>
        </is>
      </c>
      <c r="C23" s="16" t="n">
        <v>100.58</v>
      </c>
      <c r="D23" s="14" t="inlineStr">
        <is>
          <t>Movimento de terra</t>
        </is>
      </c>
    </row>
    <row r="24">
      <c r="A24" s="14" t="inlineStr">
        <is>
          <t>REVESTIMENTO CONCRETO SIMPLES e=5cm</t>
        </is>
      </c>
      <c r="B24" s="14" t="inlineStr">
        <is>
          <t>m³</t>
        </is>
      </c>
      <c r="C24" s="16" t="n">
        <v>10.7</v>
      </c>
      <c r="D24" s="14" t="inlineStr">
        <is>
          <t>Concreto, formas e grout</t>
        </is>
      </c>
    </row>
    <row r="25">
      <c r="A25" s="14" t="inlineStr">
        <is>
          <t>GEOMEMBRANA PEAD e ≥ 0,8mm</t>
        </is>
      </c>
      <c r="B25" s="14" t="inlineStr">
        <is>
          <t>m²</t>
        </is>
      </c>
      <c r="C25" s="16" t="n">
        <v>214</v>
      </c>
      <c r="D25" s="14" t="inlineStr">
        <is>
          <t>Impermeabilização</t>
        </is>
      </c>
    </row>
    <row r="26">
      <c r="A26" s="14" t="inlineStr">
        <is>
          <t>TUBO DRENO CORRUGADO DN-3"</t>
        </is>
      </c>
      <c r="B26" s="14" t="inlineStr">
        <is>
          <t>un</t>
        </is>
      </c>
      <c r="C26" s="16" t="n">
        <v>12</v>
      </c>
      <c r="D26" s="14" t="inlineStr">
        <is>
          <t>Drenagem</t>
        </is>
      </c>
    </row>
    <row r="27">
      <c r="A27" s="14" t="inlineStr">
        <is>
          <t>TUBO CORRUGADO NÃO PERFURADO DN-3" C/36º</t>
        </is>
      </c>
      <c r="B27" s="14" t="inlineStr">
        <is>
          <t>un</t>
        </is>
      </c>
      <c r="C27" s="16" t="n">
        <v>12</v>
      </c>
      <c r="D27" s="14" t="inlineStr">
        <is>
          <t>Drenagem</t>
        </is>
      </c>
    </row>
    <row r="28">
      <c r="A28" s="14" t="inlineStr">
        <is>
          <t>RACHÃO</t>
        </is>
      </c>
      <c r="B28" s="14" t="inlineStr">
        <is>
          <t>m³</t>
        </is>
      </c>
      <c r="C28" s="16" t="n">
        <v>139.1</v>
      </c>
      <c r="D28" s="14" t="inlineStr">
        <is>
          <t>Movimento de terra</t>
        </is>
      </c>
    </row>
  </sheetData>
  <mergeCells count="5">
    <mergeCell ref="A2:E2"/>
    <mergeCell ref="A12:D12"/>
    <mergeCell ref="A10:B10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9" customWidth="1" min="3" max="3"/>
    <col width="14" customWidth="1" min="4" max="4"/>
    <col width="12" customWidth="1" min="5" max="5"/>
    <col width="66" customWidth="1" min="6" max="6"/>
  </cols>
  <sheetData>
    <row r="1" ht="36" customHeight="1">
      <c r="A1" s="1" t="inlineStr">
        <is>
          <t>GEOMETRIA, VISTAS E SEÇÕES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Cotas, raios e elevações lidos diretamente da prancha, e grandezas derivadas a partir delas. Os itens marcados como DERIVADO não constam do desenho: são cálculo próprio.</t>
        </is>
      </c>
    </row>
    <row r="5" ht="30" customHeight="1">
      <c r="A5" s="13" t="inlineStr">
        <is>
          <t>Grupo</t>
        </is>
      </c>
      <c r="B5" s="13" t="inlineStr">
        <is>
          <t>Item</t>
        </is>
      </c>
      <c r="C5" s="13" t="inlineStr">
        <is>
          <t>Escala</t>
        </is>
      </c>
      <c r="D5" s="13" t="inlineStr">
        <is>
          <t>Valor</t>
        </is>
      </c>
      <c r="E5" s="13" t="inlineStr">
        <is>
          <t>Origem</t>
        </is>
      </c>
      <c r="F5" s="13" t="inlineStr">
        <is>
          <t>Observação</t>
        </is>
      </c>
    </row>
    <row r="6">
      <c r="A6" s="14" t="inlineStr">
        <is>
          <t>Vista</t>
        </is>
      </c>
      <c r="B6" s="29" t="inlineStr">
        <is>
          <t>PLANTA - FORMAS - TQ-6310818 A/B/C/D (4x)</t>
        </is>
      </c>
      <c r="C6" s="14" t="inlineStr">
        <is>
          <t>1:50</t>
        </is>
      </c>
      <c r="D6" s="16" t="n"/>
      <c r="E6" s="14" t="inlineStr">
        <is>
          <t>PRANCHA</t>
        </is>
      </c>
      <c r="F6" s="29" t="inlineStr">
        <is>
          <t>Planta do anel com os quatro tanques posicionados; orientações 0º, 90º, 180º e 270º.</t>
        </is>
      </c>
    </row>
    <row r="7">
      <c r="A7" s="14" t="inlineStr">
        <is>
          <t>Vista</t>
        </is>
      </c>
      <c r="B7" s="14" t="inlineStr">
        <is>
          <t>CORTE A-A</t>
        </is>
      </c>
      <c r="C7" s="14" t="inlineStr">
        <is>
          <t>1:50</t>
        </is>
      </c>
      <c r="D7" s="16" t="n"/>
      <c r="E7" s="14" t="inlineStr">
        <is>
          <t>PRANCHA</t>
        </is>
      </c>
      <c r="F7" s="29" t="inlineStr">
        <is>
          <t>Corte geral do berço, mostrando as camadas de reaterro, rachão, bica corrida e areia.</t>
        </is>
      </c>
    </row>
    <row r="8">
      <c r="A8" s="14" t="inlineStr">
        <is>
          <t>Vista</t>
        </is>
      </c>
      <c r="B8" s="14" t="inlineStr">
        <is>
          <t>CORTE B-B</t>
        </is>
      </c>
      <c r="C8" s="14" t="inlineStr">
        <is>
          <t>1:20</t>
        </is>
      </c>
      <c r="D8" s="16" t="n"/>
      <c r="E8" s="14" t="inlineStr">
        <is>
          <t>PRANCHA</t>
        </is>
      </c>
      <c r="F8" s="29" t="inlineStr">
        <is>
          <t>Corte no rebaixo para fixação da porta de limpeza; cotas 32,5 / 32,5 / 27,5 / 35.</t>
        </is>
      </c>
    </row>
    <row r="9">
      <c r="A9" s="14" t="inlineStr">
        <is>
          <t>Vista</t>
        </is>
      </c>
      <c r="B9" s="14" t="inlineStr">
        <is>
          <t>VISTA C-C</t>
        </is>
      </c>
      <c r="C9" s="14" t="inlineStr">
        <is>
          <t>1:25</t>
        </is>
      </c>
      <c r="D9" s="16" t="n"/>
      <c r="E9" s="14" t="inlineStr">
        <is>
          <t>PRANCHA</t>
        </is>
      </c>
      <c r="F9" s="14" t="inlineStr">
        <is>
          <t>Vista do rebaixo; cotas 120 / 30 / 150.</t>
        </is>
      </c>
    </row>
    <row r="10">
      <c r="A10" s="14" t="inlineStr">
        <is>
          <t>Vista</t>
        </is>
      </c>
      <c r="B10" s="14" t="inlineStr">
        <is>
          <t>DETALHE 1 - anel de concreto</t>
        </is>
      </c>
      <c r="C10" s="14" t="inlineStr">
        <is>
          <t>1:25</t>
        </is>
      </c>
      <c r="D10" s="16" t="n"/>
      <c r="E10" s="14" t="inlineStr">
        <is>
          <t>PRANCHA</t>
        </is>
      </c>
      <c r="F10" s="29" t="inlineStr">
        <is>
          <t>Seção do anel e composição das camadas do berço; base da leitura da aba Camadas e Materiais.</t>
        </is>
      </c>
    </row>
    <row r="11">
      <c r="A11" s="14" t="inlineStr">
        <is>
          <t>Vista</t>
        </is>
      </c>
      <c r="B11" s="14" t="inlineStr">
        <is>
          <t>DETALHE 2 - dreno</t>
        </is>
      </c>
      <c r="C11" s="14" t="inlineStr">
        <is>
          <t>1:12,5</t>
        </is>
      </c>
      <c r="D11" s="16" t="n"/>
      <c r="E11" s="14" t="inlineStr">
        <is>
          <t>PRANCHA</t>
        </is>
      </c>
      <c r="F11" s="29" t="inlineStr">
        <is>
          <t>Tubo dreno corrugado DN-3" com tampão e declividade i=5%.</t>
        </is>
      </c>
    </row>
    <row r="12">
      <c r="A12" s="14" t="inlineStr">
        <is>
          <t>Vista</t>
        </is>
      </c>
      <c r="B12" s="14" t="inlineStr">
        <is>
          <t>DETALHE A (JE)</t>
        </is>
      </c>
      <c r="C12" s="14" t="inlineStr">
        <is>
          <t>1:5</t>
        </is>
      </c>
      <c r="D12" s="16" t="n"/>
      <c r="E12" s="14" t="inlineStr">
        <is>
          <t>PRANCHA</t>
        </is>
      </c>
      <c r="F12" s="29" t="inlineStr">
        <is>
          <t>Junta de encontro com selante Sikaflex T68 ou similar, isopor e delimitador de profundidade em polietileno (Tarucel ou similar).</t>
        </is>
      </c>
    </row>
    <row r="13">
      <c r="A13" s="14" t="inlineStr">
        <is>
          <t>Anel</t>
        </is>
      </c>
      <c r="B13" s="14" t="inlineStr">
        <is>
          <t>Raio interno (m)</t>
        </is>
      </c>
      <c r="C13" s="14" t="inlineStr">
        <is>
          <t>-</t>
        </is>
      </c>
      <c r="D13" s="16" t="n">
        <v>8.26</v>
      </c>
      <c r="E13" s="14" t="inlineStr">
        <is>
          <t>PRANCHA</t>
        </is>
      </c>
      <c r="F13" s="29" t="inlineStr">
        <is>
          <t>R826 cm; diâmetro interno cotado de 1652 cm.</t>
        </is>
      </c>
    </row>
    <row r="14">
      <c r="A14" s="14" t="inlineStr">
        <is>
          <t>Anel</t>
        </is>
      </c>
      <c r="B14" s="14" t="inlineStr">
        <is>
          <t>Raio do eixo (m)</t>
        </is>
      </c>
      <c r="C14" s="14" t="inlineStr">
        <is>
          <t>-</t>
        </is>
      </c>
      <c r="D14" s="16" t="n">
        <v>8.585000000000001</v>
      </c>
      <c r="E14" s="14" t="inlineStr">
        <is>
          <t>PRANCHA</t>
        </is>
      </c>
      <c r="F14" s="14" t="inlineStr">
        <is>
          <t>R858,5 cm.</t>
        </is>
      </c>
    </row>
    <row r="15">
      <c r="A15" s="14" t="inlineStr">
        <is>
          <t>Anel</t>
        </is>
      </c>
      <c r="B15" s="14" t="inlineStr">
        <is>
          <t>Raio externo (m)</t>
        </is>
      </c>
      <c r="C15" s="14" t="inlineStr">
        <is>
          <t>-</t>
        </is>
      </c>
      <c r="D15" s="16" t="n">
        <v>8.91</v>
      </c>
      <c r="E15" s="14" t="inlineStr">
        <is>
          <t>PRANCHA</t>
        </is>
      </c>
      <c r="F15" s="14" t="inlineStr">
        <is>
          <t>R891 cm.</t>
        </is>
      </c>
    </row>
    <row r="16">
      <c r="A16" s="14" t="inlineStr">
        <is>
          <t>Anel</t>
        </is>
      </c>
      <c r="B16" s="14" t="inlineStr">
        <is>
          <t>Largura radial da seção (m)</t>
        </is>
      </c>
      <c r="C16" s="14" t="inlineStr">
        <is>
          <t>-</t>
        </is>
      </c>
      <c r="D16" s="16" t="n">
        <v>0.65</v>
      </c>
      <c r="E16" s="14" t="inlineStr">
        <is>
          <t>PRANCHA</t>
        </is>
      </c>
      <c r="F16" s="14" t="inlineStr">
        <is>
          <t>Cota 65 cm (R891 - R826).</t>
        </is>
      </c>
    </row>
    <row r="17">
      <c r="A17" s="14" t="inlineStr">
        <is>
          <t>Anel</t>
        </is>
      </c>
      <c r="B17" s="14" t="inlineStr">
        <is>
          <t>Altura da seção (m)</t>
        </is>
      </c>
      <c r="C17" s="14" t="inlineStr">
        <is>
          <t>-</t>
        </is>
      </c>
      <c r="D17" s="16" t="n">
        <v>1.5</v>
      </c>
      <c r="E17" s="14" t="inlineStr">
        <is>
          <t>PRANCHA</t>
        </is>
      </c>
      <c r="F17" s="14" t="inlineStr">
        <is>
          <t>Cota 150 cm no DETALHE 1.</t>
        </is>
      </c>
    </row>
    <row r="18">
      <c r="A18" s="14" t="inlineStr">
        <is>
          <t>Elevação</t>
        </is>
      </c>
      <c r="B18" s="14" t="inlineStr">
        <is>
          <t>Topo do grout (m)</t>
        </is>
      </c>
      <c r="C18" s="14" t="inlineStr">
        <is>
          <t>-</t>
        </is>
      </c>
      <c r="D18" s="16" t="n">
        <v>19.75</v>
      </c>
      <c r="E18" s="14" t="inlineStr">
        <is>
          <t>PRANCHA</t>
        </is>
      </c>
      <c r="F18" s="14" t="inlineStr">
        <is>
          <t>EL.19,75 (T.GROUT).</t>
        </is>
      </c>
    </row>
    <row r="19">
      <c r="A19" s="14" t="inlineStr">
        <is>
          <t>Elevação</t>
        </is>
      </c>
      <c r="B19" s="14" t="inlineStr">
        <is>
          <t>Topo do concreto do anel (m)</t>
        </is>
      </c>
      <c r="C19" s="14" t="inlineStr">
        <is>
          <t>-</t>
        </is>
      </c>
      <c r="D19" s="16" t="n">
        <v>19.725</v>
      </c>
      <c r="E19" s="14" t="inlineStr">
        <is>
          <t>PRANCHA</t>
        </is>
      </c>
      <c r="F19" s="14" t="inlineStr">
        <is>
          <t>EL.19,725 (T.CONCRETO).</t>
        </is>
      </c>
    </row>
    <row r="20">
      <c r="A20" s="14" t="inlineStr">
        <is>
          <t>Elevação</t>
        </is>
      </c>
      <c r="B20" s="14" t="inlineStr">
        <is>
          <t>Topo do concreto no rebaixo (m)</t>
        </is>
      </c>
      <c r="C20" s="14" t="inlineStr">
        <is>
          <t>-</t>
        </is>
      </c>
      <c r="D20" s="16" t="n">
        <v>19.45</v>
      </c>
      <c r="E20" s="14" t="inlineStr">
        <is>
          <t>PRANCHA</t>
        </is>
      </c>
      <c r="F20" s="14" t="inlineStr">
        <is>
          <t>EL.19,45 (T.CONCRETO).</t>
        </is>
      </c>
    </row>
    <row r="21">
      <c r="A21" s="14" t="inlineStr">
        <is>
          <t>Elevação</t>
        </is>
      </c>
      <c r="B21" s="14" t="inlineStr">
        <is>
          <t>Mini dique (m)</t>
        </is>
      </c>
      <c r="C21" s="14" t="inlineStr">
        <is>
          <t>-</t>
        </is>
      </c>
      <c r="D21" s="16" t="n">
        <v>19.1</v>
      </c>
      <c r="E21" s="14" t="inlineStr">
        <is>
          <t>PRANCHA</t>
        </is>
      </c>
      <c r="F21" s="14" t="inlineStr">
        <is>
          <t>EL.19,10 (MINI DIQUE).</t>
        </is>
      </c>
    </row>
    <row r="22">
      <c r="A22" s="14" t="inlineStr">
        <is>
          <t>Elevação</t>
        </is>
      </c>
      <c r="B22" s="14" t="inlineStr">
        <is>
          <t>Terreno acabado (m)</t>
        </is>
      </c>
      <c r="C22" s="14" t="inlineStr">
        <is>
          <t>-</t>
        </is>
      </c>
      <c r="D22" s="16" t="n">
        <v>19</v>
      </c>
      <c r="E22" s="14" t="inlineStr">
        <is>
          <t>PRANCHA</t>
        </is>
      </c>
      <c r="F22" s="14" t="inlineStr">
        <is>
          <t>EL.19,00 (TERRENO ACABADO).</t>
        </is>
      </c>
    </row>
    <row r="23">
      <c r="A23" s="14" t="inlineStr">
        <is>
          <t>Elevação</t>
        </is>
      </c>
      <c r="B23" s="14" t="inlineStr">
        <is>
          <t>Centro do tanque (m)</t>
        </is>
      </c>
      <c r="C23" s="14" t="inlineStr">
        <is>
          <t>-</t>
        </is>
      </c>
      <c r="D23" s="16" t="n">
        <v>19.883</v>
      </c>
      <c r="E23" s="14" t="inlineStr">
        <is>
          <t>PRANCHA</t>
        </is>
      </c>
      <c r="F23" s="29" t="inlineStr">
        <is>
          <t>EL.19,883, conforme Nota 4 (i &gt; 1:120 acrescido de contra-flecha de 53 mm).</t>
        </is>
      </c>
    </row>
    <row r="24">
      <c r="A24" s="14" t="inlineStr">
        <is>
          <t>Locação</t>
        </is>
      </c>
      <c r="B24" s="14" t="inlineStr">
        <is>
          <t>Coordenada N dos tanques (m)</t>
        </is>
      </c>
      <c r="C24" s="14" t="inlineStr">
        <is>
          <t>-</t>
        </is>
      </c>
      <c r="D24" s="16" t="n">
        <v>3239.281</v>
      </c>
      <c r="E24" s="14" t="inlineStr">
        <is>
          <t>PRANCHA</t>
        </is>
      </c>
      <c r="F24" s="14" t="inlineStr">
        <is>
          <t>N=3239.281 para os quatro tanques.</t>
        </is>
      </c>
    </row>
    <row r="25">
      <c r="A25" s="14" t="inlineStr">
        <is>
          <t>Locação</t>
        </is>
      </c>
      <c r="B25" s="14" t="inlineStr">
        <is>
          <t>Coordenada E - TQ-6310818 A (m)</t>
        </is>
      </c>
      <c r="C25" s="14" t="inlineStr">
        <is>
          <t>-</t>
        </is>
      </c>
      <c r="D25" s="16" t="n">
        <v>4292.772</v>
      </c>
      <c r="E25" s="14" t="inlineStr">
        <is>
          <t>PRANCHA</t>
        </is>
      </c>
      <c r="F25" s="14" t="inlineStr">
        <is>
          <t>E=4292.772.</t>
        </is>
      </c>
    </row>
    <row r="26">
      <c r="A26" s="14" t="inlineStr">
        <is>
          <t>Locação</t>
        </is>
      </c>
      <c r="B26" s="14" t="inlineStr">
        <is>
          <t>Coordenada E - TQ-6310818 B (m)</t>
        </is>
      </c>
      <c r="C26" s="14" t="inlineStr">
        <is>
          <t>-</t>
        </is>
      </c>
      <c r="D26" s="16" t="n">
        <v>4265.272</v>
      </c>
      <c r="E26" s="14" t="inlineStr">
        <is>
          <t>PRANCHA</t>
        </is>
      </c>
      <c r="F26" s="14" t="inlineStr">
        <is>
          <t>E=4265.272.</t>
        </is>
      </c>
    </row>
    <row r="27">
      <c r="A27" s="14" t="inlineStr">
        <is>
          <t>Locação</t>
        </is>
      </c>
      <c r="B27" s="14" t="inlineStr">
        <is>
          <t>Coordenada E - TQ-6310818 C (m)</t>
        </is>
      </c>
      <c r="C27" s="14" t="inlineStr">
        <is>
          <t>-</t>
        </is>
      </c>
      <c r="D27" s="16" t="n">
        <v>4237.772</v>
      </c>
      <c r="E27" s="14" t="inlineStr">
        <is>
          <t>PRANCHA</t>
        </is>
      </c>
      <c r="F27" s="14" t="inlineStr">
        <is>
          <t>E=4237.772.</t>
        </is>
      </c>
    </row>
    <row r="28">
      <c r="A28" s="14" t="inlineStr">
        <is>
          <t>Locação</t>
        </is>
      </c>
      <c r="B28" s="14" t="inlineStr">
        <is>
          <t>Coordenada E - TQ-6310818 D (m)</t>
        </is>
      </c>
      <c r="C28" s="14" t="inlineStr">
        <is>
          <t>-</t>
        </is>
      </c>
      <c r="D28" s="16" t="n">
        <v>4210.272</v>
      </c>
      <c r="E28" s="14" t="inlineStr">
        <is>
          <t>PRANCHA</t>
        </is>
      </c>
      <c r="F28" s="14" t="inlineStr">
        <is>
          <t>E=4210.272.</t>
        </is>
      </c>
    </row>
    <row r="29">
      <c r="A29" s="14" t="inlineStr">
        <is>
          <t>Derivado</t>
        </is>
      </c>
      <c r="B29" s="14" t="inlineStr">
        <is>
          <t>Desenvolvimento do eixo do anel (m)</t>
        </is>
      </c>
      <c r="C29" s="14" t="inlineStr">
        <is>
          <t>-</t>
        </is>
      </c>
      <c r="D29" s="16" t="n">
        <v>53.941</v>
      </c>
      <c r="E29" s="14" t="inlineStr">
        <is>
          <t>DERIVADO</t>
        </is>
      </c>
      <c r="F29" s="29" t="inlineStr">
        <is>
          <t>2π × R858,5. Coincide com os 5394,1 cm cotados na FACE SUPERIOR E INFERIOR da prancha de armaduras TX3-060.</t>
        </is>
      </c>
    </row>
    <row r="30">
      <c r="A30" s="14" t="inlineStr">
        <is>
          <t>Derivado</t>
        </is>
      </c>
      <c r="B30" s="14" t="inlineStr">
        <is>
          <t>Área da seção do anel (m²)</t>
        </is>
      </c>
      <c r="C30" s="14" t="inlineStr">
        <is>
          <t>-</t>
        </is>
      </c>
      <c r="D30" s="16" t="n">
        <v>0.975</v>
      </c>
      <c r="E30" s="14" t="inlineStr">
        <is>
          <t>DERIVADO</t>
        </is>
      </c>
      <c r="F30" s="14" t="inlineStr">
        <is>
          <t>0,65 m × 1,50 m.</t>
        </is>
      </c>
    </row>
    <row r="31">
      <c r="A31" s="14" t="inlineStr">
        <is>
          <t>Derivado</t>
        </is>
      </c>
      <c r="B31" s="14" t="inlineStr">
        <is>
          <t>Volume do anel por tanque (m³)</t>
        </is>
      </c>
      <c r="C31" s="14" t="inlineStr">
        <is>
          <t>-</t>
        </is>
      </c>
      <c r="D31" s="16" t="n">
        <v>52.59</v>
      </c>
      <c r="E31" s="14" t="inlineStr">
        <is>
          <t>DERIVADO</t>
        </is>
      </c>
      <c r="F31" s="29" t="inlineStr">
        <is>
          <t>Seção × desenvolvimento do eixo. Confere com os 52,50 m³ de concreto estrutural do quadro (diferença de 0,17%), confirmando a geometria adotada.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0" customWidth="1" min="4" max="4"/>
    <col width="70" customWidth="1" min="5" max="5"/>
  </cols>
  <sheetData>
    <row r="1" ht="36" customHeight="1">
      <c r="A1" s="1" t="inlineStr">
        <is>
          <t>CAMADAS, DETALHES E ESPECIFICAÇÃO DE MATERIAIS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Composição das camadas do berço do tanque e dos detalhes construtivos, na ordem de execução, conforme o DETALHE 1 e as notas gerais da prancha.</t>
        </is>
      </c>
    </row>
    <row r="5" ht="30" customHeight="1">
      <c r="A5" s="13" t="inlineStr">
        <is>
          <t>Ordem</t>
        </is>
      </c>
      <c r="B5" s="13" t="inlineStr">
        <is>
          <t>Camada / elemento</t>
        </is>
      </c>
      <c r="C5" s="13" t="inlineStr">
        <is>
          <t>Espessura ou cota</t>
        </is>
      </c>
      <c r="D5" s="13" t="inlineStr">
        <is>
          <t>Item do quantitativo</t>
        </is>
      </c>
      <c r="E5" s="13" t="inlineStr">
        <is>
          <t>Especificação conforme a prancha</t>
        </is>
      </c>
    </row>
    <row r="6">
      <c r="A6" s="33" t="n">
        <v>1</v>
      </c>
      <c r="B6" s="14" t="inlineStr">
        <is>
          <t>Anel de concreto estrutural</t>
        </is>
      </c>
      <c r="C6" s="14" t="inlineStr">
        <is>
          <t>65 × 150 cm</t>
        </is>
      </c>
      <c r="D6" s="14" t="inlineStr">
        <is>
          <t>CONCRETO ESTRUTURAL</t>
        </is>
      </c>
      <c r="E6" s="29" t="inlineStr">
        <is>
          <t>fck ≥ 30 MPa, fator água/cimento ≤ 0,55, cobrimento 5 cm. Topo do grout na EL.19,75.</t>
        </is>
      </c>
    </row>
    <row r="7">
      <c r="A7" s="33" t="n">
        <v>2</v>
      </c>
      <c r="B7" s="14" t="inlineStr">
        <is>
          <t>Grout de assentamento</t>
        </is>
      </c>
      <c r="C7" s="14" t="inlineStr">
        <is>
          <t>2,5 cm</t>
        </is>
      </c>
      <c r="D7" s="14" t="inlineStr">
        <is>
          <t>GROUT</t>
        </is>
      </c>
      <c r="E7" s="29" t="inlineStr">
        <is>
          <t>Camada de 2,5 cm sob a chapa de fundo do tanque, no topo do anel (EL.19,75).</t>
        </is>
      </c>
    </row>
    <row r="8">
      <c r="A8" s="33" t="n">
        <v>3</v>
      </c>
      <c r="B8" s="14" t="inlineStr">
        <is>
          <t>Mini dique</t>
        </is>
      </c>
      <c r="C8" s="14" t="inlineStr">
        <is>
          <t>EL.19,10</t>
        </is>
      </c>
      <c r="D8" s="14" t="inlineStr">
        <is>
          <t>CONCRETO ESTRUTURAL</t>
        </is>
      </c>
      <c r="E8" s="29" t="inlineStr">
        <is>
          <t>Mini dique perimetral na EL.19,10, junto à face externa do anel.</t>
        </is>
      </c>
    </row>
    <row r="9">
      <c r="A9" s="33" t="n">
        <v>4</v>
      </c>
      <c r="B9" s="14" t="inlineStr">
        <is>
          <t>Concreto magro</t>
        </is>
      </c>
      <c r="C9" s="14" t="inlineStr">
        <is>
          <t>5 cm</t>
        </is>
      </c>
      <c r="D9" s="14" t="inlineStr">
        <is>
          <t>CONCRETO MAGRO</t>
        </is>
      </c>
      <c r="E9" s="29" t="inlineStr">
        <is>
          <t>fck ≥ 10 MPa, sob o anel de concreto e sob o revestimento.</t>
        </is>
      </c>
    </row>
    <row r="10">
      <c r="A10" s="33" t="n">
        <v>5</v>
      </c>
      <c r="B10" s="14" t="inlineStr">
        <is>
          <t>Revestimento de concreto simples</t>
        </is>
      </c>
      <c r="C10" s="14" t="inlineStr">
        <is>
          <t>e=5 cm</t>
        </is>
      </c>
      <c r="D10" s="14" t="inlineStr">
        <is>
          <t>REVESTIMENTO CONCRETO SIMPLES e=5cm</t>
        </is>
      </c>
      <c r="E10" s="14" t="inlineStr">
        <is>
          <t>Revestimento do berço interno do tanque.</t>
        </is>
      </c>
    </row>
    <row r="11">
      <c r="A11" s="33" t="n">
        <v>6</v>
      </c>
      <c r="B11" s="14" t="inlineStr">
        <is>
          <t>Pintura betuminosa</t>
        </is>
      </c>
      <c r="C11" s="14" t="inlineStr">
        <is>
          <t>-</t>
        </is>
      </c>
      <c r="D11" s="14" t="inlineStr">
        <is>
          <t>PINTURA BETUMINOSA</t>
        </is>
      </c>
      <c r="E11" s="29" t="inlineStr">
        <is>
          <t>Aplicada nas faces indicadas do anel e do berço.</t>
        </is>
      </c>
    </row>
    <row r="12">
      <c r="A12" s="33" t="n">
        <v>7</v>
      </c>
      <c r="B12" s="14" t="inlineStr">
        <is>
          <t>Geomembrana PEAD</t>
        </is>
      </c>
      <c r="C12" s="14" t="inlineStr">
        <is>
          <t>e ≥ 0,8 mm</t>
        </is>
      </c>
      <c r="D12" s="14" t="inlineStr">
        <is>
          <t>GEOMEMBRANA PEAD e ≥ 0,8mm</t>
        </is>
      </c>
      <c r="E12" s="29" t="inlineStr">
        <is>
          <t>Fixação da manta de PEAD no anel de concreto conforme o DETALHE 1.</t>
        </is>
      </c>
    </row>
    <row r="13">
      <c r="A13" s="33" t="n">
        <v>8</v>
      </c>
      <c r="B13" s="14" t="inlineStr">
        <is>
          <t>Manta geotêxtil não tecido</t>
        </is>
      </c>
      <c r="C13" s="14" t="inlineStr">
        <is>
          <t>-</t>
        </is>
      </c>
      <c r="D13" s="14" t="inlineStr">
        <is>
          <t>MANTA GEOTÊXTIL NÃO TECIDO</t>
        </is>
      </c>
      <c r="E13" s="29" t="inlineStr">
        <is>
          <t>Bidim RT-31 ou equivalente, acima e abaixo da geomembrana (daí a área ser o dobro da geomembrana).</t>
        </is>
      </c>
    </row>
    <row r="14">
      <c r="A14" s="33" t="n">
        <v>9</v>
      </c>
      <c r="B14" s="14" t="inlineStr">
        <is>
          <t>Areia grossa compactada</t>
        </is>
      </c>
      <c r="C14" s="14" t="inlineStr">
        <is>
          <t>-</t>
        </is>
      </c>
      <c r="D14" s="14" t="inlineStr">
        <is>
          <t>AREIA GROSSA COMPACTADA</t>
        </is>
      </c>
      <c r="E14" s="29" t="inlineStr">
        <is>
          <t>Camada de regularização sobre a bica corrida.</t>
        </is>
      </c>
    </row>
    <row r="15">
      <c r="A15" s="33" t="n">
        <v>10</v>
      </c>
      <c r="B15" s="14" t="inlineStr">
        <is>
          <t>Bica corrida compactada</t>
        </is>
      </c>
      <c r="C15" s="14" t="inlineStr">
        <is>
          <t>-</t>
        </is>
      </c>
      <c r="D15" s="14" t="inlineStr">
        <is>
          <t>BICA CORRIDA</t>
        </is>
      </c>
      <c r="E15" s="29" t="inlineStr">
        <is>
          <t>Ver Nota 10: fração grossa de 19 a 38 mm; compactação com rolo vibratório.</t>
        </is>
      </c>
    </row>
    <row r="16">
      <c r="A16" s="33" t="n">
        <v>11</v>
      </c>
      <c r="B16" s="14" t="inlineStr">
        <is>
          <t>Rachão</t>
        </is>
      </c>
      <c r="C16" s="14" t="inlineStr">
        <is>
          <t>-</t>
        </is>
      </c>
      <c r="D16" s="14" t="inlineStr">
        <is>
          <t>RACHÃO</t>
        </is>
      </c>
      <c r="E16" s="29" t="inlineStr">
        <is>
          <t>Ver Nota 9: pedra britada de origem sã, compactada até camada estável.</t>
        </is>
      </c>
    </row>
    <row r="17">
      <c r="A17" s="33" t="n">
        <v>12</v>
      </c>
      <c r="B17" s="14" t="inlineStr">
        <is>
          <t>Reaterro compactado</t>
        </is>
      </c>
      <c r="C17" s="14" t="inlineStr">
        <is>
          <t>camadas ≤ 20 cm</t>
        </is>
      </c>
      <c r="D17" s="14" t="inlineStr">
        <is>
          <t>REATERRO COMPACTADO</t>
        </is>
      </c>
      <c r="E17" s="29" t="inlineStr">
        <is>
          <t>Ver Nota 8: material da própria escavação, compactação ≥ 98% do PN.</t>
        </is>
      </c>
    </row>
    <row r="18">
      <c r="A18" s="33" t="n">
        <v>13</v>
      </c>
      <c r="B18" s="14" t="inlineStr">
        <is>
          <t>Tubo dreno corrugado DN-3"</t>
        </is>
      </c>
      <c r="C18" s="14" t="inlineStr">
        <is>
          <t>i = 5%</t>
        </is>
      </c>
      <c r="D18" s="14" t="inlineStr">
        <is>
          <t>TUBO DRENO CORRUGADO DN-3"</t>
        </is>
      </c>
      <c r="E18" s="29" t="inlineStr">
        <is>
          <t>Envolto em manta geotêxtil não tecido, com tampão; declividade de 5%.</t>
        </is>
      </c>
    </row>
    <row r="19">
      <c r="A19" s="33" t="n">
        <v>14</v>
      </c>
      <c r="B19" s="14" t="inlineStr">
        <is>
          <t>Tubo corrugado não perfurado DN-3"</t>
        </is>
      </c>
      <c r="C19" s="14" t="inlineStr">
        <is>
          <t>c/36°</t>
        </is>
      </c>
      <c r="D19" s="14" t="inlineStr">
        <is>
          <t>TUBO CORRUGADO NÃO PERFURADO DN-3" C/36º</t>
        </is>
      </c>
      <c r="E19" s="29" t="inlineStr">
        <is>
          <t>Travessia do anel a cada 36°, totalizando 10 posições por tanque no perímetro.</t>
        </is>
      </c>
    </row>
  </sheetData>
  <mergeCells count="3">
    <mergeCell ref="A2:E2"/>
    <mergeCell ref="A1:E1"/>
    <mergeCell ref="A3:E3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00" customWidth="1" min="3" max="3"/>
  </cols>
  <sheetData>
    <row r="1" ht="36" customHeight="1">
      <c r="A1" s="1" t="inlineStr">
        <is>
          <t>PARÂMETROS TÉCNICOS E IDENTIFICAÇÃO DA PRANCHA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18" customHeight="1">
      <c r="A3" s="28" t="inlineStr">
        <is>
          <t>Dados de carimbo, notas gerais e documentos vinculados, transcritos da prancha.</t>
        </is>
      </c>
    </row>
    <row r="5" ht="30" customHeight="1">
      <c r="A5" s="13" t="inlineStr">
        <is>
          <t>Grupo</t>
        </is>
      </c>
      <c r="B5" s="13" t="inlineStr">
        <is>
          <t>Parâmetro</t>
        </is>
      </c>
      <c r="C5" s="13" t="inlineStr">
        <is>
          <t>Especificação / conteúdo transcrito</t>
        </is>
      </c>
    </row>
    <row r="6">
      <c r="A6" s="14" t="inlineStr">
        <is>
          <t>Identificação</t>
        </is>
      </c>
      <c r="B6" s="14" t="inlineStr">
        <is>
          <t>Número do documento</t>
        </is>
      </c>
      <c r="C6" s="14" t="inlineStr">
        <is>
          <t>DE-5400.00-6310-120-TX3-059</t>
        </is>
      </c>
    </row>
    <row r="7">
      <c r="A7" s="14" t="inlineStr">
        <is>
          <t>Identificação</t>
        </is>
      </c>
      <c r="B7" s="14" t="inlineStr">
        <is>
          <t>Revisão</t>
        </is>
      </c>
      <c r="C7" s="29" t="inlineStr">
        <is>
          <t>0 — EMISSÃO ORIGINAL - PARA CONSTRUÇÃO (07/08/2026)</t>
        </is>
      </c>
    </row>
    <row r="8">
      <c r="A8" s="14" t="inlineStr">
        <is>
          <t>Identificação</t>
        </is>
      </c>
      <c r="B8" s="14" t="inlineStr">
        <is>
          <t>Título</t>
        </is>
      </c>
      <c r="C8" s="29" t="inlineStr">
        <is>
          <t>Desenho de fundação - tanques de lubrificação TQ-6310818 A/B/C/D - FORMAS</t>
        </is>
      </c>
    </row>
    <row r="9">
      <c r="A9" s="14" t="inlineStr">
        <is>
          <t>Identificação</t>
        </is>
      </c>
      <c r="B9" s="14" t="inlineStr">
        <is>
          <t>Área</t>
        </is>
      </c>
      <c r="C9" s="29" t="inlineStr">
        <is>
          <t>Parque de tanques de produtos acabados (lubrificantes) - U-6310</t>
        </is>
      </c>
    </row>
    <row r="10">
      <c r="A10" s="14" t="inlineStr">
        <is>
          <t>Identificação</t>
        </is>
      </c>
      <c r="B10" s="14" t="inlineStr">
        <is>
          <t>Programa / Cliente</t>
        </is>
      </c>
      <c r="C10" s="14" t="inlineStr">
        <is>
          <t>Refino Boaventura / TR - Boaventura</t>
        </is>
      </c>
    </row>
    <row r="11">
      <c r="A11" s="14" t="inlineStr">
        <is>
          <t>Identificação</t>
        </is>
      </c>
      <c r="B11" s="14" t="inlineStr">
        <is>
          <t>Proprietário do documento</t>
        </is>
      </c>
      <c r="C11" s="29" t="inlineStr">
        <is>
          <t>Petrobras — SRGE/SI-III (classificação INTERNA)</t>
        </is>
      </c>
    </row>
    <row r="12">
      <c r="A12" s="14" t="inlineStr">
        <is>
          <t>Identificação</t>
        </is>
      </c>
      <c r="B12" s="14" t="inlineStr">
        <is>
          <t>Razão social</t>
        </is>
      </c>
      <c r="C12" s="14" t="inlineStr">
        <is>
          <t>Consórcio TEM Boaventura</t>
        </is>
      </c>
    </row>
    <row r="13">
      <c r="A13" s="14" t="inlineStr">
        <is>
          <t>Identificação</t>
        </is>
      </c>
      <c r="B13" s="14" t="inlineStr">
        <is>
          <t>Número do contrato</t>
        </is>
      </c>
      <c r="C13" s="14" t="inlineStr">
        <is>
          <t>ICJ 5900.0131990.25.2</t>
        </is>
      </c>
    </row>
    <row r="14">
      <c r="A14" s="14" t="inlineStr">
        <is>
          <t>Identificação</t>
        </is>
      </c>
      <c r="B14" s="14" t="inlineStr">
        <is>
          <t>Responsável técnico</t>
        </is>
      </c>
      <c r="C14" s="14" t="inlineStr">
        <is>
          <t>Antenor de Castro — CREA 17974D-MG</t>
        </is>
      </c>
    </row>
    <row r="15">
      <c r="A15" s="14" t="inlineStr">
        <is>
          <t>Identificação</t>
        </is>
      </c>
      <c r="B15" s="14" t="inlineStr">
        <is>
          <t>Executou / Verificou / Aprovou</t>
        </is>
      </c>
      <c r="C15" s="29" t="inlineStr">
        <is>
          <t>Carmen Santos / Marcio Yukio / Helgo Santos</t>
        </is>
      </c>
    </row>
    <row r="16">
      <c r="A16" s="14" t="inlineStr">
        <is>
          <t>Identificação</t>
        </is>
      </c>
      <c r="B16" s="14" t="inlineStr">
        <is>
          <t>Folha e formato</t>
        </is>
      </c>
      <c r="C16" s="29" t="inlineStr">
        <is>
          <t>01 de 01 — A1 (841 × 594 mm) — escala INDICADA</t>
        </is>
      </c>
    </row>
    <row r="17">
      <c r="A17" s="14" t="inlineStr">
        <is>
          <t>Nota geral 1</t>
        </is>
      </c>
      <c r="B17" s="14" t="inlineStr">
        <is>
          <t>Unidades</t>
        </is>
      </c>
      <c r="C17" s="29" t="inlineStr">
        <is>
          <t>Dimensões em centímetro, elevações e coordenadas em metro, exceto onde indicado.</t>
        </is>
      </c>
    </row>
    <row r="18">
      <c r="A18" s="14" t="inlineStr">
        <is>
          <t>Nota geral 2</t>
        </is>
      </c>
      <c r="B18" s="14" t="inlineStr">
        <is>
          <t>Materiais</t>
        </is>
      </c>
      <c r="C18" s="29" t="inlineStr">
        <is>
          <t>Concreto estrutural fck ≥ 30 MPa; fator água/cimento ≤ 0,55; concreto magro fck ≥ 10 MPa. O cobrimento é de 5 cm. A dimensão máxima do agregado graúdo deve ser menor que 6 cm (1,2 × 5 cm).</t>
        </is>
      </c>
    </row>
    <row r="19">
      <c r="A19" s="14" t="inlineStr">
        <is>
          <t>Nota geral 3</t>
        </is>
      </c>
      <c r="B19" s="14" t="inlineStr">
        <is>
          <t>Tensão no teste de estanqueidade</t>
        </is>
      </c>
      <c r="C19" s="29" t="inlineStr">
        <is>
          <t>Tensão do tanque no teste de estanqueidade sobre o solo: 150 kN/m², de acordo com o RL-5400.00-6310-115-TX3-001 - Relatório geotécnico.</t>
        </is>
      </c>
    </row>
    <row r="20">
      <c r="A20" s="14" t="inlineStr">
        <is>
          <t>Nota geral 4</t>
        </is>
      </c>
      <c r="B20" s="14" t="inlineStr">
        <is>
          <t>Elevação do centro dos tanques</t>
        </is>
      </c>
      <c r="C20" s="29" t="inlineStr">
        <is>
          <t>Conforme orientações das respectivas folhas de dados (i &gt; 1:120), acrescido da contra-flecha de 53 mm; ver item 3 do documento de referência.</t>
        </is>
      </c>
    </row>
    <row r="21">
      <c r="A21" s="14" t="inlineStr">
        <is>
          <t>Nota geral 5</t>
        </is>
      </c>
      <c r="B21" s="14" t="inlineStr">
        <is>
          <t>Quantidades</t>
        </is>
      </c>
      <c r="C21" s="29" t="inlineStr">
        <is>
          <t>Volume de concreto estrutural: ver tabela.</t>
        </is>
      </c>
    </row>
    <row r="22">
      <c r="A22" s="14" t="inlineStr">
        <is>
          <t>Nota geral 6</t>
        </is>
      </c>
      <c r="B22" s="14" t="inlineStr">
        <is>
          <t>Junta de encontro (JE)</t>
        </is>
      </c>
      <c r="C22" s="14" t="inlineStr">
        <is>
          <t>Conforme o documento de pavimentação.</t>
        </is>
      </c>
    </row>
    <row r="23">
      <c r="A23" s="14" t="inlineStr">
        <is>
          <t>Nota geral 7</t>
        </is>
      </c>
      <c r="B23" s="14" t="inlineStr">
        <is>
          <t>Rebaixo da porta de limpeza</t>
        </is>
      </c>
      <c r="C23" s="29" t="inlineStr">
        <is>
          <t>O rebaixo no anel para fixação da porta de limpeza foi detalhado conforme as normas N-270 (pág. 31 / item 15 / pág. 48, tabela A.6), STD 650 (pág. 107, figura 5.13) e folha de dados.</t>
        </is>
      </c>
    </row>
    <row r="24">
      <c r="A24" s="14" t="inlineStr">
        <is>
          <t>Nota geral 8</t>
        </is>
      </c>
      <c r="B24" s="14" t="inlineStr">
        <is>
          <t>Reaterro compactado</t>
        </is>
      </c>
      <c r="C24" s="29" t="inlineStr">
        <is>
          <t>Reaterro compactado com materiais da própria escavação, descontando o material escavado da superficial (h ≈ 0,5 m), com compactação ≥ 98% PN, em camadas de no máximo 20 cm.</t>
        </is>
      </c>
    </row>
    <row r="25">
      <c r="A25" s="14" t="inlineStr">
        <is>
          <t>Nota geral 9</t>
        </is>
      </c>
      <c r="B25" s="14" t="inlineStr">
        <is>
          <t>Rachão</t>
        </is>
      </c>
      <c r="C25" s="29" t="inlineStr">
        <is>
          <t>Pedra britada de origem sã, limpa, isenta de materiais orgânicos, argila ou partículas friáveis; espalhado de maneira uniforme, evitando segregação; compactado por sucessivas passadas de rolo vibratório até camada estável, sem deslocamentos, afundamentos, bombeamento de finos ou deformações permanentes sob ação do equipamento.</t>
        </is>
      </c>
    </row>
    <row r="26">
      <c r="A26" s="14" t="inlineStr">
        <is>
          <t>Nota geral 10</t>
        </is>
      </c>
      <c r="B26" s="14" t="inlineStr">
        <is>
          <t>Bica corrida</t>
        </is>
      </c>
      <c r="C26" s="29" t="inlineStr">
        <is>
          <t>Proveniente de britagem de rocha, isenta de materiais orgânicos, torrões de argila ou contaminantes, com fração grossa de 19 mm a 38 mm e fração miúda de pó de pedra e pedrisco. Compactação com rolo vibratório até camada estável, com superfície firme.</t>
        </is>
      </c>
    </row>
    <row r="27">
      <c r="A27" s="14" t="inlineStr">
        <is>
          <t>Documento de referência</t>
        </is>
      </c>
      <c r="B27" s="14" t="inlineStr">
        <is>
          <t>Memória de cálculo</t>
        </is>
      </c>
      <c r="C27" s="29" t="inlineStr">
        <is>
          <t>MC-5400.00-6310-120-TX3-001 - Memória de cálculo de fundação - tanques de lubrificação (U-6310).</t>
        </is>
      </c>
    </row>
    <row r="28">
      <c r="A28" s="14" t="inlineStr">
        <is>
          <t>Documento de referência</t>
        </is>
      </c>
      <c r="B28" s="14" t="inlineStr">
        <is>
          <t>Arranjo</t>
        </is>
      </c>
      <c r="C28" s="29" t="inlineStr">
        <is>
          <t>DE-5400.00-6310-942-TX3-001 - Planta de arranjo - U-6310 parque de tanques de produtos acabados.</t>
        </is>
      </c>
    </row>
    <row r="29">
      <c r="A29" s="14" t="inlineStr">
        <is>
          <t>Documento de referência</t>
        </is>
      </c>
      <c r="B29" s="14" t="inlineStr">
        <is>
          <t>Geotecnia</t>
        </is>
      </c>
      <c r="C29" s="29" t="inlineStr">
        <is>
          <t>RL-5400.00-6310-115-TX3-001 - Relatório geotécnico.</t>
        </is>
      </c>
    </row>
    <row r="30">
      <c r="A30" s="14" t="inlineStr">
        <is>
          <t>Documento de referência</t>
        </is>
      </c>
      <c r="B30" s="14" t="inlineStr">
        <is>
          <t>Especificações</t>
        </is>
      </c>
      <c r="C30" s="29" t="inlineStr">
        <is>
          <t>ET-5400.00-6310-131-TX3-001 - Estruturas de concreto; ET-5400.00-6310-120-TX3-001 - Fundações.</t>
        </is>
      </c>
    </row>
    <row r="31">
      <c r="A31" s="14" t="inlineStr">
        <is>
          <t>Documento de referência</t>
        </is>
      </c>
      <c r="B31" s="14" t="inlineStr">
        <is>
          <t>Folha de dados</t>
        </is>
      </c>
      <c r="C31" s="29" t="inlineStr">
        <is>
          <t>FD-5400.00-6310-511-TX3-004 - Tanque de óleo básico lubrificante 500N / 600N - TQ-6310818A/B/C/D.</t>
        </is>
      </c>
    </row>
    <row r="32">
      <c r="A32" s="14" t="inlineStr">
        <is>
          <t>Documento complementar</t>
        </is>
      </c>
      <c r="B32" s="14" t="inlineStr">
        <is>
          <t>Armaduras</t>
        </is>
      </c>
      <c r="C32" s="29" t="inlineStr">
        <is>
          <t>DE-5400.00-6310-120-TX3-060 - Desenho de fundação - tanques TQ-6310818A/B/C/D - ARMADURAS.</t>
        </is>
      </c>
    </row>
    <row r="33">
      <c r="A33" s="14" t="inlineStr">
        <is>
          <t>Documento complementar</t>
        </is>
      </c>
      <c r="B33" s="14" t="inlineStr">
        <is>
          <t>Terraplenagem</t>
        </is>
      </c>
      <c r="C33" s="29" t="inlineStr">
        <is>
          <t>DE-5400.00-6310-113-TX3-003 (planta) e DE-5400.00-6310-113-TX3-004 (cortes) - terraplenagem de implantação, área dos tanques.</t>
        </is>
      </c>
    </row>
    <row r="34">
      <c r="A34" s="14" t="inlineStr">
        <is>
          <t>Pendência P1</t>
        </is>
      </c>
      <c r="B34" s="14" t="inlineStr">
        <is>
          <t>Arranjo geral</t>
        </is>
      </c>
      <c r="C34" s="29" t="inlineStr">
        <is>
          <t>CI-6310-001 - Arranjo geral de equipamentos.</t>
        </is>
      </c>
    </row>
    <row r="35">
      <c r="A35" s="14" t="inlineStr">
        <is>
          <t>Pendência P2</t>
        </is>
      </c>
      <c r="B35" s="14" t="inlineStr">
        <is>
          <t>Cargas</t>
        </is>
      </c>
      <c r="C35" s="29" t="inlineStr">
        <is>
          <t>CI-6310-004 - Cargas finais de vento e chumbador.</t>
        </is>
      </c>
    </row>
  </sheetData>
  <mergeCells count="3">
    <mergeCell ref="A1:C1"/>
    <mergeCell ref="A3:C3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2" customWidth="1" min="4" max="4"/>
    <col width="11" customWidth="1" min="5" max="5"/>
    <col width="92" customWidth="1" min="6" max="6"/>
  </cols>
  <sheetData>
    <row r="1" ht="36" customHeight="1">
      <c r="A1" s="1" t="inlineStr">
        <is>
          <t>CONTROLES DE CONSISTÊNCIA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3" ht="26" customHeight="1">
      <c r="A3" s="28" t="inlineStr">
        <is>
          <t>Conferência entre o quadro impresso e o produto quantidade unitária × número de tanques, além dos cruzamentos geométricos possíveis. Toda divergência está sinalizada.</t>
        </is>
      </c>
    </row>
    <row r="5" ht="30" customHeight="1">
      <c r="A5" s="13" t="inlineStr">
        <is>
          <t>Grupo</t>
        </is>
      </c>
      <c r="B5" s="13" t="inlineStr">
        <is>
          <t>Indicador</t>
        </is>
      </c>
      <c r="C5" s="13" t="inlineStr">
        <is>
          <t>Calculado</t>
        </is>
      </c>
      <c r="D5" s="13" t="inlineStr">
        <is>
          <t>Referência</t>
        </is>
      </c>
      <c r="E5" s="13" t="inlineStr">
        <is>
          <t>Desvio</t>
        </is>
      </c>
      <c r="F5" s="13" t="inlineStr">
        <is>
          <t>Critério / observação</t>
        </is>
      </c>
    </row>
    <row r="6">
      <c r="A6" s="14" t="inlineStr">
        <is>
          <t>Multiplicação</t>
        </is>
      </c>
      <c r="B6" s="29" t="inlineStr">
        <is>
          <t>CONCRETO ESTRUTURAL — total vs. unitário × 4 (m³)</t>
        </is>
      </c>
      <c r="C6" s="16" t="n">
        <v>210</v>
      </c>
      <c r="D6" s="16" t="n">
        <v>210</v>
      </c>
      <c r="E6" s="16" t="n">
        <v>0</v>
      </c>
      <c r="F6" s="29" t="inlineStr">
        <is>
          <t>Total impresso confere com a quantidade unitária multiplicada pelos 4 tanques.</t>
        </is>
      </c>
    </row>
    <row r="7">
      <c r="A7" s="14" t="inlineStr">
        <is>
          <t>Multiplicação</t>
        </is>
      </c>
      <c r="B7" s="29" t="inlineStr">
        <is>
          <t>CONCRETO MAGRO — total vs. unitário × 4 (m³)</t>
        </is>
      </c>
      <c r="C7" s="16" t="n">
        <v>9.199999999999999</v>
      </c>
      <c r="D7" s="16" t="n">
        <v>9.199999999999999</v>
      </c>
      <c r="E7" s="16" t="n">
        <v>0</v>
      </c>
      <c r="F7" s="29" t="inlineStr">
        <is>
          <t>Total impresso confere com a quantidade unitária multiplicada pelos 4 tanques.</t>
        </is>
      </c>
    </row>
    <row r="8">
      <c r="A8" s="14" t="inlineStr">
        <is>
          <t>Multiplicação</t>
        </is>
      </c>
      <c r="B8" s="29" t="inlineStr">
        <is>
          <t>ÁREA DE FORMA — total vs. unitário × 4 (m²)</t>
        </is>
      </c>
      <c r="C8" s="16" t="n">
        <v>720</v>
      </c>
      <c r="D8" s="16" t="n">
        <v>720</v>
      </c>
      <c r="E8" s="16" t="n">
        <v>0</v>
      </c>
      <c r="F8" s="29" t="inlineStr">
        <is>
          <t>Total impresso confere com a quantidade unitária multiplicada pelos 4 tanques.</t>
        </is>
      </c>
    </row>
    <row r="9">
      <c r="A9" s="14" t="inlineStr">
        <is>
          <t>Multiplicação</t>
        </is>
      </c>
      <c r="B9" s="14" t="inlineStr">
        <is>
          <t>GROUT — total vs. unitário × 4 (m³)</t>
        </is>
      </c>
      <c r="C9" s="16" t="n">
        <v>3.52</v>
      </c>
      <c r="D9" s="16" t="n">
        <v>3.5</v>
      </c>
      <c r="E9" s="16" t="n">
        <v>-0.02</v>
      </c>
      <c r="F9" s="29" t="inlineStr">
        <is>
          <t>Total impresso confere com a quantidade unitária multiplicada pelos 4 tanques.</t>
        </is>
      </c>
    </row>
    <row r="10">
      <c r="A10" s="14" t="inlineStr">
        <is>
          <t>Multiplicação</t>
        </is>
      </c>
      <c r="B10" s="29" t="inlineStr">
        <is>
          <t>PINTURA BETUMINOSA — total vs. unitário × 4 (m²)</t>
        </is>
      </c>
      <c r="C10" s="16" t="n">
        <v>1025.52</v>
      </c>
      <c r="D10" s="16" t="n">
        <v>1025.53</v>
      </c>
      <c r="E10" s="16" t="n">
        <v>0.01</v>
      </c>
      <c r="F10" s="29" t="inlineStr">
        <is>
          <t>Total impresso confere com a quantidade unitária multiplicada pelos 4 tanques.</t>
        </is>
      </c>
    </row>
    <row r="11">
      <c r="A11" s="30" t="inlineStr">
        <is>
          <t>DIVERGÊNCIA</t>
        </is>
      </c>
      <c r="B11" s="30" t="inlineStr">
        <is>
          <t>ESCAVAÇÃO — total vs. unitário × 4 (m³)</t>
        </is>
      </c>
      <c r="C11" s="31" t="n">
        <v>486.2</v>
      </c>
      <c r="D11" s="31" t="n">
        <v>496.4</v>
      </c>
      <c r="E11" s="31" t="n">
        <v>10.2</v>
      </c>
      <c r="F11" s="32" t="inlineStr">
        <is>
          <t>Total impresso equivale a 4.0839 × a quantidade unitária, e não a 4. Diferença de 10.20 m³. CONFIRMAR COM O PROJETISTA.</t>
        </is>
      </c>
    </row>
    <row r="12">
      <c r="A12" s="30" t="inlineStr">
        <is>
          <t>DIVERGÊNCIA</t>
        </is>
      </c>
      <c r="B12" s="32" t="inlineStr">
        <is>
          <t>REATERRO COMPACTADO — total vs. unitário × 4 (m³)</t>
        </is>
      </c>
      <c r="C12" s="31" t="n">
        <v>513.6</v>
      </c>
      <c r="D12" s="31" t="n">
        <v>640.8</v>
      </c>
      <c r="E12" s="31" t="n">
        <v>127.2</v>
      </c>
      <c r="F12" s="32" t="inlineStr">
        <is>
          <t>Total impresso equivale a 4.9907 × a quantidade unitária, e não a 4. Diferença de 127.20 m³. CONFIRMAR COM O PROJETISTA.</t>
        </is>
      </c>
    </row>
    <row r="13">
      <c r="A13" s="30" t="inlineStr">
        <is>
          <t>DIVERGÊNCIA</t>
        </is>
      </c>
      <c r="B13" s="32" t="inlineStr">
        <is>
          <t>AREIA GROSSA COMPACTADA — total vs. unitário × 4 (m³)</t>
        </is>
      </c>
      <c r="C13" s="31" t="n">
        <v>282.48</v>
      </c>
      <c r="D13" s="31" t="n">
        <v>352.44</v>
      </c>
      <c r="E13" s="31" t="n">
        <v>69.95999999999999</v>
      </c>
      <c r="F13" s="32" t="inlineStr">
        <is>
          <t>Total impresso equivale a 4.9907 × a quantidade unitária, e não a 4. Diferença de 69.96 m³. CONFIRMAR COM O PROJETISTA.</t>
        </is>
      </c>
    </row>
    <row r="14">
      <c r="A14" s="14" t="inlineStr">
        <is>
          <t>Multiplicação</t>
        </is>
      </c>
      <c r="B14" s="29" t="inlineStr">
        <is>
          <t>MANTA GEOTÊXTIL NÃO TECIDO — total vs. unitário × 4 (m²)</t>
        </is>
      </c>
      <c r="C14" s="16" t="n">
        <v>1712</v>
      </c>
      <c r="D14" s="16" t="n">
        <v>1712</v>
      </c>
      <c r="E14" s="16" t="n">
        <v>0</v>
      </c>
      <c r="F14" s="29" t="inlineStr">
        <is>
          <t>Total impresso confere com a quantidade unitária multiplicada pelos 4 tanques.</t>
        </is>
      </c>
    </row>
    <row r="15">
      <c r="A15" s="30" t="inlineStr">
        <is>
          <t>DIVERGÊNCIA</t>
        </is>
      </c>
      <c r="B15" s="32" t="inlineStr">
        <is>
          <t>BICA CORRIDA — total vs. unitário × 4 (m³)</t>
        </is>
      </c>
      <c r="C15" s="31" t="n">
        <v>402.32</v>
      </c>
      <c r="D15" s="31" t="n">
        <v>501.96</v>
      </c>
      <c r="E15" s="31" t="n">
        <v>99.64</v>
      </c>
      <c r="F15" s="32" t="inlineStr">
        <is>
          <t>Total impresso equivale a 4.9907 × a quantidade unitária, e não a 4. Diferença de 99.64 m³. CONFIRMAR COM O PROJETISTA.</t>
        </is>
      </c>
    </row>
    <row r="16">
      <c r="A16" s="30" t="inlineStr">
        <is>
          <t>DIVERGÊNCIA</t>
        </is>
      </c>
      <c r="B16" s="32" t="inlineStr">
        <is>
          <t>REVESTIMENTO CONCRETO SIMPLES e=5cm — total vs. unitário × 4 (m³)</t>
        </is>
      </c>
      <c r="C16" s="31" t="n">
        <v>42.8</v>
      </c>
      <c r="D16" s="31" t="n">
        <v>53.4</v>
      </c>
      <c r="E16" s="31" t="n">
        <v>10.6</v>
      </c>
      <c r="F16" s="32" t="inlineStr">
        <is>
          <t>Total impresso equivale a 4.9907 × a quantidade unitária, e não a 4. Diferença de 10.60 m³. CONFIRMAR COM O PROJETISTA.</t>
        </is>
      </c>
    </row>
    <row r="17">
      <c r="A17" s="14" t="inlineStr">
        <is>
          <t>Multiplicação</t>
        </is>
      </c>
      <c r="B17" s="29" t="inlineStr">
        <is>
          <t>GEOMEMBRANA PEAD e ≥ 0,8mm — total vs. unitário × 4 (m²)</t>
        </is>
      </c>
      <c r="C17" s="16" t="n">
        <v>856</v>
      </c>
      <c r="D17" s="16" t="n">
        <v>856</v>
      </c>
      <c r="E17" s="16" t="n">
        <v>0</v>
      </c>
      <c r="F17" s="29" t="inlineStr">
        <is>
          <t>Total impresso confere com a quantidade unitária multiplicada pelos 4 tanques.</t>
        </is>
      </c>
    </row>
    <row r="18">
      <c r="A18" s="14" t="inlineStr">
        <is>
          <t>Multiplicação</t>
        </is>
      </c>
      <c r="B18" s="29" t="inlineStr">
        <is>
          <t>TUBO DRENO CORRUGADO DN-3" — total vs. unitário × 4 (un)</t>
        </is>
      </c>
      <c r="C18" s="16" t="n">
        <v>48</v>
      </c>
      <c r="D18" s="16" t="n">
        <v>48</v>
      </c>
      <c r="E18" s="16" t="n">
        <v>0</v>
      </c>
      <c r="F18" s="29" t="inlineStr">
        <is>
          <t>Total impresso confere com a quantidade unitária multiplicada pelos 4 tanques.</t>
        </is>
      </c>
    </row>
    <row r="19">
      <c r="A19" s="14" t="inlineStr">
        <is>
          <t>Multiplicação</t>
        </is>
      </c>
      <c r="B19" s="29" t="inlineStr">
        <is>
          <t>TUBO CORRUGADO NÃO PERFURADO DN-3" C/36º — total vs. unitário × 4 (un)</t>
        </is>
      </c>
      <c r="C19" s="16" t="n">
        <v>48</v>
      </c>
      <c r="D19" s="16" t="n">
        <v>48</v>
      </c>
      <c r="E19" s="16" t="n">
        <v>0</v>
      </c>
      <c r="F19" s="29" t="inlineStr">
        <is>
          <t>Total impresso confere com a quantidade unitária multiplicada pelos 4 tanques.</t>
        </is>
      </c>
    </row>
    <row r="20">
      <c r="A20" s="14" t="inlineStr">
        <is>
          <t>Multiplicação</t>
        </is>
      </c>
      <c r="B20" s="14" t="inlineStr">
        <is>
          <t>RACHÃO — total vs. unitário × 4 (m³)</t>
        </is>
      </c>
      <c r="C20" s="16" t="n">
        <v>556.4</v>
      </c>
      <c r="D20" s="16" t="n">
        <v>556.4</v>
      </c>
      <c r="E20" s="16" t="n">
        <v>0</v>
      </c>
      <c r="F20" s="29" t="inlineStr">
        <is>
          <t>Total impresso confere com a quantidade unitária multiplicada pelos 4 tanques.</t>
        </is>
      </c>
    </row>
    <row r="21">
      <c r="A21" s="14" t="inlineStr">
        <is>
          <t>Coerência geométrica</t>
        </is>
      </c>
      <c r="B21" s="29" t="inlineStr">
        <is>
          <t>Volume do anel vs. concreto estrutural (m³)</t>
        </is>
      </c>
      <c r="C21" s="16" t="n">
        <v>52.59</v>
      </c>
      <c r="D21" s="16" t="n">
        <v>52.5</v>
      </c>
      <c r="E21" s="16" t="n">
        <v>0.09</v>
      </c>
      <c r="F21" s="29" t="inlineStr">
        <is>
          <t>Seção 0,65 × 1,50 m × desenvolvimento do eixo (53,943 m) resulta em 52,59 m³, contra os 52,50 m³ do quadro. Diferença de 0,17%, compatível com o desconto do rebaixo. Confirma a geometria do anel.</t>
        </is>
      </c>
    </row>
    <row r="22">
      <c r="A22" s="14" t="inlineStr">
        <is>
          <t>Coerência entre pranchas</t>
        </is>
      </c>
      <c r="B22" s="29" t="inlineStr">
        <is>
          <t>Desenvolvimento do eixo vs. prancha de armaduras (m)</t>
        </is>
      </c>
      <c r="C22" s="16" t="n">
        <v>53.94</v>
      </c>
      <c r="D22" s="16" t="n">
        <v>53.941</v>
      </c>
      <c r="E22" s="16" t="n">
        <v>0</v>
      </c>
      <c r="F22" s="29" t="inlineStr">
        <is>
          <t>2π × R858,5 = 53,943 m contra os 5394,1 cm cotados na FACE SUPERIOR E INFERIOR do TX3-060.</t>
        </is>
      </c>
    </row>
    <row r="23">
      <c r="A23" s="14" t="inlineStr">
        <is>
          <t>Coerência interna</t>
        </is>
      </c>
      <c r="B23" s="14" t="inlineStr">
        <is>
          <t>Manta geotêxtil vs. geomembrana (m²)</t>
        </is>
      </c>
      <c r="C23" s="16" t="n">
        <v>428</v>
      </c>
      <c r="D23" s="16" t="n">
        <v>428</v>
      </c>
      <c r="E23" s="16" t="n">
        <v>0</v>
      </c>
      <c r="F23" s="29" t="inlineStr">
        <is>
          <t>A manta tem exatamente o dobro da área da geomembrana, coerente com a aplicação de uma camada acima e outra abaixo dela.</t>
        </is>
      </c>
    </row>
    <row r="24">
      <c r="A24" s="14" t="inlineStr">
        <is>
          <t>Escopo</t>
        </is>
      </c>
      <c r="B24" s="14" t="inlineStr">
        <is>
          <t>Armaduras</t>
        </is>
      </c>
      <c r="C24" s="16" t="n">
        <v>0</v>
      </c>
      <c r="D24" s="16" t="n">
        <v>0</v>
      </c>
      <c r="E24" s="16" t="n">
        <v>0</v>
      </c>
      <c r="F24" s="29" t="inlineStr">
        <is>
          <t>Esta prancha é de FORMAS. A armadura passiva está na prancha DE-5400.00-6310-120-TX3-060, com 14.091,15 kg de aço CA-50 auditados para as 4 fundações (3.522,79 kg por tanque).</t>
        </is>
      </c>
    </row>
    <row r="25">
      <c r="A25" s="14" t="inlineStr">
        <is>
          <t>Escopo</t>
        </is>
      </c>
      <c r="B25" s="14" t="inlineStr">
        <is>
          <t>Perdas e empolamento</t>
        </is>
      </c>
      <c r="C25" s="16" t="n">
        <v>0</v>
      </c>
      <c r="D25" s="16" t="n">
        <v>0</v>
      </c>
      <c r="E25" s="16" t="n">
        <v>0</v>
      </c>
      <c r="F25" s="29" t="inlineStr">
        <is>
          <t>Os quantitativos são os do quadro do desenho. Não há acréscimo de perdas, empolamento de escavação ou fator de compactação.</t>
        </is>
      </c>
    </row>
  </sheetData>
  <mergeCells count="3">
    <mergeCell ref="A3:F3"/>
    <mergeCell ref="A2:F2"/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 ht="36" customHeight="1">
      <c r="A1" s="1" t="inlineStr">
        <is>
          <t>LEIA-ME - QUANTITATIVO DE FORMAS</t>
        </is>
      </c>
    </row>
    <row r="2" ht="24" customHeight="1">
      <c r="A2" s="2" t="inlineStr">
        <is>
          <t>Fonte: prancha DE-5400.00-6310-120-TX3-059, Rev. 0 (07/08/2026) - Desenho de fundação, tanques de lubrificação TQ-6310818 A/B/C/D - FORMAS</t>
        </is>
      </c>
    </row>
    <row r="5" ht="30" customHeight="1">
      <c r="A5" s="13" t="inlineStr">
        <is>
          <t>Tópico</t>
        </is>
      </c>
      <c r="B5" s="13" t="inlineStr">
        <is>
          <t>Conteúdo</t>
        </is>
      </c>
    </row>
    <row r="6" ht="58" customHeight="1">
      <c r="A6" s="29" t="inlineStr">
        <is>
          <t>Objetivo</t>
        </is>
      </c>
      <c r="B6" s="29" t="inlineStr">
        <is>
          <t>Consolidar o quantitativo de materiais da prancha DE-5400.00-6310-120-TX3-059 (formas, concreto, grout, terraplenagem, impermeabilização e drenagem das fundações dos TQ-6310818 A/B/C/D), com painel gerencial e abas de auditoria.</t>
        </is>
      </c>
    </row>
    <row r="7" ht="58" customHeight="1">
      <c r="A7" s="29" t="inlineStr">
        <is>
          <t>Fonte primária</t>
        </is>
      </c>
      <c r="B7" s="29" t="inlineStr">
        <is>
          <t>Quadro QUANTITATIVO TOTAL da própria prancha, complementado pelas cotas da planta de formas, dos cortes A-A e B-B, da vista C-C e dos detalhes 1, 2 e A (JE), além das notas gerais.</t>
        </is>
      </c>
    </row>
    <row r="8" ht="58" customHeight="1">
      <c r="A8" s="29" t="inlineStr">
        <is>
          <t>Multiplicidade</t>
        </is>
      </c>
      <c r="B8" s="29" t="inlineStr">
        <is>
          <t>A prancha atende 4 fundações idênticas (indicação '4x'). A coluna '1 UN' do quadro é a quantidade por tanque e a coluna 'TOTAL', o valor impresso para o conjunto.</t>
        </is>
      </c>
    </row>
    <row r="9" ht="58" customHeight="1">
      <c r="A9" s="29" t="inlineStr">
        <is>
          <t>Controle crítico</t>
        </is>
      </c>
      <c r="B9" s="29" t="inlineStr">
        <is>
          <t>Cinco linhas do quadro não fecham com unitário × 4: reaterro compactado, bica corrida, areia grossa compactada e revestimento de concreto simples têm total equivalente a 4,99 × o unitário (como se fossem 5 tanques), e a escavação, a 4,08 ×. Somadas, são 317,60 m³ a mais do que a multiplicação por 4. As abas Quantitativo Total e Validações destacam cada caso; confirmar com o projetista antes de usar os totais para compra.</t>
        </is>
      </c>
    </row>
    <row r="10" ht="58" customHeight="1">
      <c r="A10" s="29" t="inlineStr">
        <is>
          <t>Como usar</t>
        </is>
      </c>
      <c r="B10" s="29" t="inlineStr">
        <is>
          <t>Comece pelo Dashboard Executivo. Para auditoria, use Quantitativo Total (transcrição integral, com o desvio linha a linha), Resumo por Grupo e Quantitativo por Tanque. Camadas e Materiais descreve a composição do berço na ordem de execução; Geometria e Seções e Parâmetros Técnicos guardam cotas, elevações, locação e carimbo.</t>
        </is>
      </c>
    </row>
    <row r="11" ht="58" customHeight="1">
      <c r="A11" s="29" t="inlineStr">
        <is>
          <t>Unidades</t>
        </is>
      </c>
      <c r="B11" s="29" t="inlineStr">
        <is>
          <t>m = metro; m² = metro quadrado; m³ = metro cúbico; un = unidade; cm = centímetro; EL. = elevação em metro.</t>
        </is>
      </c>
    </row>
    <row r="12" ht="58" customHeight="1">
      <c r="A12" s="29" t="inlineStr">
        <is>
          <t>Agregação</t>
        </is>
      </c>
      <c r="B12" s="29" t="inlineStr">
        <is>
          <t>Volumes (m³), áreas (m²) e unidades (un) são somados separadamente nas abas de resumo, pois não se agregam entre si. O cartão 'ÁREA TOTAL DE SERVIÇOS' soma apenas as linhas em m².</t>
        </is>
      </c>
    </row>
    <row r="13" ht="58" customHeight="1">
      <c r="A13" s="29" t="inlineStr">
        <is>
          <t>Perdas</t>
        </is>
      </c>
      <c r="B13" s="29" t="inlineStr">
        <is>
          <t>Os números são os do quadro do desenho. Nenhuma taxa de perda, empolamento ou fator de compactação foi acrescida.</t>
        </is>
      </c>
    </row>
    <row r="14" ht="58" customHeight="1">
      <c r="A14" s="29" t="inlineStr">
        <is>
          <t>Limite de uso</t>
        </is>
      </c>
      <c r="B14" s="29" t="inlineStr">
        <is>
          <t>Levantamento para planejamento, orçamento e controle. Qualquer uso para execução ou compra deve ser submetido à validação do responsável técnico do projeto.</t>
        </is>
      </c>
    </row>
  </sheetData>
  <mergeCells count="2">
    <mergeCell ref="A2:B2"/>
    <mergeCell ref="A1:B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2026-09-01T10:45:57Z</dcterms:created>
  <dcterms:modified xsi:type="dcterms:W3CDTF">2026-09-01T10:45:57Z</dcterms:modified>
</cp:coreProperties>
</file>