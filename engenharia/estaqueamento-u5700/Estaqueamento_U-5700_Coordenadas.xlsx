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asa dos compressores" sheetId="2" state="visible" r:id="rId4"/>
    <sheet name="Fornos" sheetId="3" state="visible" r:id="rId5"/>
    <sheet name="Torre" sheetId="4" state="visible" r:id="rId6"/>
    <sheet name="Reatores" sheetId="5" state="visible" r:id="rId7"/>
  </sheets>
  <definedNames>
    <definedName function="false" hidden="false" localSheetId="1" name="_xlnm.Print_Titles" vbProcedure="false">'Casa dos compressores'!$6:$8</definedName>
    <definedName function="false" hidden="true" localSheetId="1" name="_xlnm._FilterDatabase" vbProcedure="false">'Casa dos compressores'!$A$8:$U$72</definedName>
    <definedName function="false" hidden="false" localSheetId="2" name="_xlnm.Print_Titles" vbProcedure="false">Fornos!$6:$8</definedName>
    <definedName function="false" hidden="true" localSheetId="2" name="_xlnm._FilterDatabase" vbProcedure="false">Fornos!$A$8:$U$44</definedName>
    <definedName function="false" hidden="false" localSheetId="4" name="_xlnm.Print_Titles" vbProcedure="false">Reatores!$6:$8</definedName>
    <definedName function="false" hidden="true" localSheetId="4" name="_xlnm._FilterDatabase" vbProcedure="false">Reatores!$A$8:$U$28</definedName>
    <definedName function="false" hidden="false" localSheetId="3" name="_xlnm.Print_Titles" vbProcedure="false">Torre!$6:$8</definedName>
    <definedName function="false" hidden="true" localSheetId="3" name="_xlnm._FilterDatabase" vbProcedure="false">Torre!$A$8:$U$104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<sst xmlns="http://schemas.openxmlformats.org/spreadsheetml/2006/main" count="1973" uniqueCount="322">
  <si>
    <t xml:space="preserve">CONTROLE DE ESTAQUEAMENTO — U-5700 UNIDADE DE HIDROISODESPARAFINAÇÃO</t>
  </si>
  <si>
    <t xml:space="preserve">REFINO BOAVENTURA — TR / BOAVENTURA — CONSÓRCIO TEM BOAVENTURA — Planilha de coordenadas de locação e controle de execução das estacas</t>
  </si>
  <si>
    <t xml:space="preserve">SISTEMA DE COORDENADAS</t>
  </si>
  <si>
    <t xml:space="preserve">Sistema PDMS (E3D/NAVIS) — equivalência com o Sistema Geodésico Brasileiro, Datum horizontal SIRGAS 2000 (nota geral dos desenhos):</t>
  </si>
  <si>
    <t xml:space="preserve">E (PDMS) = 0 m  →  E (GLOBAL) =</t>
  </si>
  <si>
    <t xml:space="preserve">N (PDMS) = 0 m  →  N (GLOBAL) =</t>
  </si>
  <si>
    <t xml:space="preserve">Elevação 0,00 (PDMS) = EL. 26,14 (nível do mar) — marégrafo de Imbituba/SC.</t>
  </si>
  <si>
    <t xml:space="preserve">Dimensões em centímetro, elevações e coordenadas em metro, exceto onde indicado.</t>
  </si>
  <si>
    <t xml:space="preserve">INVENTÁRIO DE ESTACAS POR ABA</t>
  </si>
  <si>
    <t xml:space="preserve">ABA</t>
  </si>
  <si>
    <t xml:space="preserve">ESTRUTURA</t>
  </si>
  <si>
    <t xml:space="preserve">FAIXA DE TAGS</t>
  </si>
  <si>
    <t xml:space="preserve">Ø</t>
  </si>
  <si>
    <t xml:space="preserve">QTD.</t>
  </si>
  <si>
    <t xml:space="preserve">COTA DE ARRAS.</t>
  </si>
  <si>
    <t xml:space="preserve">COMPR. PREV. (m)</t>
  </si>
  <si>
    <t xml:space="preserve">DESENHO DE REFERÊNCIA</t>
  </si>
  <si>
    <t xml:space="preserve">ORIGEM DAS COORDENADAS</t>
  </si>
  <si>
    <t xml:space="preserve">Casa dos compressores</t>
  </si>
  <si>
    <t xml:space="preserve">CASA DOS COMPRESSORES (HIDW)</t>
  </si>
  <si>
    <t xml:space="preserve">ECC-001 A ECC-064</t>
  </si>
  <si>
    <t xml:space="preserve">Ø 50</t>
  </si>
  <si>
    <t xml:space="preserve">EL. +17,20</t>
  </si>
  <si>
    <t xml:space="preserve">DE-5400.00-5700-121-TX3-001 rev.0 (15/05/2026)</t>
  </si>
  <si>
    <t xml:space="preserve">TABELA DE COORDENADAS do desenho</t>
  </si>
  <si>
    <t xml:space="preserve">Fornos</t>
  </si>
  <si>
    <t xml:space="preserve">FORNO F-5700001</t>
  </si>
  <si>
    <t xml:space="preserve">EF1-001 A EF1-016</t>
  </si>
  <si>
    <t xml:space="preserve">Ø 40</t>
  </si>
  <si>
    <t xml:space="preserve">EL. +16,95</t>
  </si>
  <si>
    <t xml:space="preserve">DE-5400.00-5700-121-TX3-005 rev.0 (21/08/2026)</t>
  </si>
  <si>
    <t xml:space="preserve">TABELA DE COORDENADAS do desenho (2 tabelas)</t>
  </si>
  <si>
    <t xml:space="preserve">FORNO F-5700002</t>
  </si>
  <si>
    <t xml:space="preserve">EF2-001 A EF2-020</t>
  </si>
  <si>
    <t xml:space="preserve">Torre</t>
  </si>
  <si>
    <t xml:space="preserve">TORRE T-5700002 (radier)</t>
  </si>
  <si>
    <t xml:space="preserve">E1-T-2 A E96-T-2</t>
  </si>
  <si>
    <t xml:space="preserve">EL. +16,60</t>
  </si>
  <si>
    <t xml:space="preserve">DE-5400.00-5700-121-TX3-003 rev.0 (12/08/2026)</t>
  </si>
  <si>
    <t xml:space="preserve">CALCULADO da malha do desenho (o desenho nao traz TABELA DE COORDENADAS)</t>
  </si>
  <si>
    <t xml:space="preserve">Reatores</t>
  </si>
  <si>
    <t xml:space="preserve">BASE REATOR R-5700001</t>
  </si>
  <si>
    <t xml:space="preserve">E1-BR1 A E6-BR1</t>
  </si>
  <si>
    <t xml:space="preserve">EL. +18,55</t>
  </si>
  <si>
    <t xml:space="preserve">DE-5400.00-5700-121-TX3-006 rev.0 (04/08/2026)</t>
  </si>
  <si>
    <t xml:space="preserve">BASE REATOR R-5700002</t>
  </si>
  <si>
    <t xml:space="preserve">E1-BR2 A E6-BR2</t>
  </si>
  <si>
    <t xml:space="preserve">PRÉDIO DOS REATORES</t>
  </si>
  <si>
    <t xml:space="preserve">E1-PRE A E8-PRE</t>
  </si>
  <si>
    <t xml:space="preserve">EL. +17,30</t>
  </si>
  <si>
    <t xml:space="preserve">TOTAL</t>
  </si>
  <si>
    <t xml:space="preserve">AVANÇO DA EXECUÇÃO (atualiza automaticamente a partir das abas)</t>
  </si>
  <si>
    <t xml:space="preserve">TOTAL DE ESTACAS</t>
  </si>
  <si>
    <t xml:space="preserve">TERRAPLANAGEM</t>
  </si>
  <si>
    <t xml:space="preserve">ESTAQUEAMENTO</t>
  </si>
  <si>
    <t xml:space="preserve">PIT</t>
  </si>
  <si>
    <t xml:space="preserve">ARRASAMENTO</t>
  </si>
  <si>
    <t xml:space="preserve">% GERAL</t>
  </si>
  <si>
    <t xml:space="preserve">TOTAL GERAL</t>
  </si>
  <si>
    <t xml:space="preserve">COMO PREENCHER</t>
  </si>
  <si>
    <t xml:space="preserve">Células AMARELAS com texto AZUL são as únicas de preenchimento manual: os 4 pares STATUS/DATA e OBSERVAÇÕES.</t>
  </si>
  <si>
    <t xml:space="preserve">Colunas de coordenadas, Ø, cota e comprimento vêm dos desenhos — não editar. CONF. DATUM e % CONCL. são fórmulas.</t>
  </si>
  <si>
    <t xml:space="preserve">STATUS (lista suspensa): NÃO INICIADO  •  EM ANDAMENTO  •  CONCLUÍDO  •  N/A     |     DATA: dd/mm/aaaa (data de conclusão da etapa).</t>
  </si>
  <si>
    <t xml:space="preserve">CONF. DATUM confere E/N GLOBAL contra E/N PDMS + datum (tolerância 1 cm); "VERIFICAR" indica divergência a checar no desenho.</t>
  </si>
  <si>
    <t xml:space="preserve">EXEMPLO DE PREENCHIMENTO DE UMA LINHA</t>
  </si>
  <si>
    <t xml:space="preserve">PONTO</t>
  </si>
  <si>
    <t xml:space="preserve">DATA</t>
  </si>
  <si>
    <t xml:space="preserve">ECC-001</t>
  </si>
  <si>
    <t xml:space="preserve">CONCLUÍDO</t>
  </si>
  <si>
    <t xml:space="preserve">05/09/2026</t>
  </si>
  <si>
    <t xml:space="preserve">12/09/2026</t>
  </si>
  <si>
    <t xml:space="preserve">EM ANDAMENTO</t>
  </si>
  <si>
    <t xml:space="preserve">NÃO INICIADO</t>
  </si>
  <si>
    <t xml:space="preserve">NOTAS</t>
  </si>
  <si>
    <t xml:space="preserve">1. PCE não consta desta planilha — conforme definido, as estacas do PCE serão definidas pela Engenharia.</t>
  </si>
  <si>
    <t xml:space="preserve">2. Torre T-5700002: o desenho DE-5400.00-5700-121-TX3-003 não traz TABELA DE COORDENADAS. As coordenadas das 96 estacas (E1-T-2 a E96-T-2) foram calculadas a partir da malha do desenho (passo de 150 cm, esc. 1:75), ancorada nas duas chamadas de coordenada da planta (E=5.006,654 / N=3.193,930 e E=5.014,154 / N=3.186,430). Recomenda-se confirmar com a Projetista antes da locação em campo.</t>
  </si>
  <si>
    <t xml:space="preserve">3. Reatores: nas coordenadas GLOBAIS tabeladas no desenho -006 há diferenças de até 9 mm em relação a PDMS + datum, por arredondamento do próprio desenho (que usa 714.955,43 / 7.488.954,39). Mantidos os valores originais do desenho.</t>
  </si>
  <si>
    <t xml:space="preserve">4. O PDF também contém o estaqueamento do PIPE-RACK (desenho DE-5400.00-5700-121-TX3-009, estacas EPR-001 a EPR-224 e PT1 a PT5), não solicitado nesta planilha e por isso não incluído — pode ser acrescentado como nova aba se necessário.</t>
  </si>
  <si>
    <t xml:space="preserve">5. Todas as coordenadas das abas Casa dos compressores, Fornos e Reatores foram transcritas integralmente das TABELAS DE COORDENADAS dos respectivos desenhos (216 estacas no total, conferidas uma a uma).</t>
  </si>
  <si>
    <t xml:space="preserve">CONTROLE DE ESTAQUEAMENTO — CASA DOS COMPRESSORES</t>
  </si>
  <si>
    <t xml:space="preserve">Desenho: DE-5400.00-5700-121-TX3-001  |  Rev. 0  |  15/05/2026  |  ESTAQUEAMENTO - CASA DE COMPRESSORES - PLANTA E DETALHES</t>
  </si>
  <si>
    <t xml:space="preserve">Coordenadas em metro, PDMS (E3D/NAVIS) e GLOBAL SIRGAS 2000 — E(PDMS)=0 → 714.955,434 m ; N(PDMS)=0 → 7.488.954,390 m (ver aba Resumo)</t>
  </si>
  <si>
    <t xml:space="preserve">Origem das coordenadas: TABELA DE COORDENADAS do desenho</t>
  </si>
  <si>
    <t xml:space="preserve">Nº</t>
  </si>
  <si>
    <t xml:space="preserve">PONTO (TAG)</t>
  </si>
  <si>
    <t xml:space="preserve">COORDENADAS DE LOCAÇÃO</t>
  </si>
  <si>
    <t xml:space="preserve">CONF.
DATUM</t>
  </si>
  <si>
    <t xml:space="preserve">DADOS DA ESTACA</t>
  </si>
  <si>
    <t xml:space="preserve">ESTAQUEAMENTO — CONTROLE DE EXECUÇÃO</t>
  </si>
  <si>
    <t xml:space="preserve">%
CONCL.</t>
  </si>
  <si>
    <t xml:space="preserve">OBSERVAÇÕES</t>
  </si>
  <si>
    <t xml:space="preserve">E (E3D/PDMS)</t>
  </si>
  <si>
    <t xml:space="preserve">N (E3D/PDMS)</t>
  </si>
  <si>
    <t xml:space="preserve">E (GLOBAL)
SIRGAS 2000</t>
  </si>
  <si>
    <t xml:space="preserve">N (GLOBAL)
SIRGAS 2000</t>
  </si>
  <si>
    <t xml:space="preserve">COTA DE
ARRAS.</t>
  </si>
  <si>
    <t xml:space="preserve">COMPR.
(m)</t>
  </si>
  <si>
    <t xml:space="preserve">STATUS</t>
  </si>
  <si>
    <t xml:space="preserve">ECC-002</t>
  </si>
  <si>
    <t xml:space="preserve">ECC-003</t>
  </si>
  <si>
    <t xml:space="preserve">ECC-004</t>
  </si>
  <si>
    <t xml:space="preserve">ECC-005</t>
  </si>
  <si>
    <t xml:space="preserve">ECC-006</t>
  </si>
  <si>
    <t xml:space="preserve">ECC-007</t>
  </si>
  <si>
    <t xml:space="preserve">ECC-008</t>
  </si>
  <si>
    <t xml:space="preserve">ECC-009</t>
  </si>
  <si>
    <t xml:space="preserve">ECC-010</t>
  </si>
  <si>
    <t xml:space="preserve">ECC-011</t>
  </si>
  <si>
    <t xml:space="preserve">ECC-012</t>
  </si>
  <si>
    <t xml:space="preserve">ECC-013</t>
  </si>
  <si>
    <t xml:space="preserve">ECC-014</t>
  </si>
  <si>
    <t xml:space="preserve">ECC-015</t>
  </si>
  <si>
    <t xml:space="preserve">ECC-016</t>
  </si>
  <si>
    <t xml:space="preserve">ECC-017</t>
  </si>
  <si>
    <t xml:space="preserve">ECC-018</t>
  </si>
  <si>
    <t xml:space="preserve">ECC-019</t>
  </si>
  <si>
    <t xml:space="preserve">ECC-020</t>
  </si>
  <si>
    <t xml:space="preserve">ECC-021</t>
  </si>
  <si>
    <t xml:space="preserve">ECC-022</t>
  </si>
  <si>
    <t xml:space="preserve">ECC-023</t>
  </si>
  <si>
    <t xml:space="preserve">ECC-024</t>
  </si>
  <si>
    <t xml:space="preserve">ECC-025</t>
  </si>
  <si>
    <t xml:space="preserve">ECC-026</t>
  </si>
  <si>
    <t xml:space="preserve">ECC-027</t>
  </si>
  <si>
    <t xml:space="preserve">ECC-028</t>
  </si>
  <si>
    <t xml:space="preserve">ECC-029</t>
  </si>
  <si>
    <t xml:space="preserve">ECC-030</t>
  </si>
  <si>
    <t xml:space="preserve">ECC-031</t>
  </si>
  <si>
    <t xml:space="preserve">ECC-032</t>
  </si>
  <si>
    <t xml:space="preserve">ECC-033</t>
  </si>
  <si>
    <t xml:space="preserve">ECC-034</t>
  </si>
  <si>
    <t xml:space="preserve">ECC-035</t>
  </si>
  <si>
    <t xml:space="preserve">ECC-036</t>
  </si>
  <si>
    <t xml:space="preserve">ECC-037</t>
  </si>
  <si>
    <t xml:space="preserve">ECC-038</t>
  </si>
  <si>
    <t xml:space="preserve">ECC-039</t>
  </si>
  <si>
    <t xml:space="preserve">ECC-040</t>
  </si>
  <si>
    <t xml:space="preserve">ECC-041</t>
  </si>
  <si>
    <t xml:space="preserve">ECC-042</t>
  </si>
  <si>
    <t xml:space="preserve">ECC-043</t>
  </si>
  <si>
    <t xml:space="preserve">ECC-044</t>
  </si>
  <si>
    <t xml:space="preserve">ECC-045</t>
  </si>
  <si>
    <t xml:space="preserve">ECC-046</t>
  </si>
  <si>
    <t xml:space="preserve">ECC-047</t>
  </si>
  <si>
    <t xml:space="preserve">ECC-048</t>
  </si>
  <si>
    <t xml:space="preserve">ECC-049</t>
  </si>
  <si>
    <t xml:space="preserve">ECC-050</t>
  </si>
  <si>
    <t xml:space="preserve">ECC-051</t>
  </si>
  <si>
    <t xml:space="preserve">ECC-052</t>
  </si>
  <si>
    <t xml:space="preserve">ECC-053</t>
  </si>
  <si>
    <t xml:space="preserve">ECC-054</t>
  </si>
  <si>
    <t xml:space="preserve">ECC-055</t>
  </si>
  <si>
    <t xml:space="preserve">ECC-056</t>
  </si>
  <si>
    <t xml:space="preserve">ECC-057</t>
  </si>
  <si>
    <t xml:space="preserve">ECC-058</t>
  </si>
  <si>
    <t xml:space="preserve">ECC-059</t>
  </si>
  <si>
    <t xml:space="preserve">ECC-060</t>
  </si>
  <si>
    <t xml:space="preserve">ECC-061</t>
  </si>
  <si>
    <t xml:space="preserve">ECC-062</t>
  </si>
  <si>
    <t xml:space="preserve">ECC-063</t>
  </si>
  <si>
    <t xml:space="preserve">ECC-064</t>
  </si>
  <si>
    <t xml:space="preserve">estacas</t>
  </si>
  <si>
    <t xml:space="preserve">CONTROLE DE ESTAQUEAMENTO — FORNOS</t>
  </si>
  <si>
    <t xml:space="preserve">Desenho: DE-5400.00-5700-121-TX3-005  |  Rev. 0  |  21/08/2026  |  ESTAQUEAMENTO - FORNOS F-5700001 &amp; F-5700002</t>
  </si>
  <si>
    <t xml:space="preserve">Origem das coordenadas: TABELA DE COORDENADAS do desenho (2 tabelas)</t>
  </si>
  <si>
    <t xml:space="preserve">EF1-001</t>
  </si>
  <si>
    <t xml:space="preserve">EF1-002</t>
  </si>
  <si>
    <t xml:space="preserve">EF1-003</t>
  </si>
  <si>
    <t xml:space="preserve">EF1-004</t>
  </si>
  <si>
    <t xml:space="preserve">EF1-005</t>
  </si>
  <si>
    <t xml:space="preserve">EF1-006</t>
  </si>
  <si>
    <t xml:space="preserve">EF1-007</t>
  </si>
  <si>
    <t xml:space="preserve">EF1-008</t>
  </si>
  <si>
    <t xml:space="preserve">EF1-009</t>
  </si>
  <si>
    <t xml:space="preserve">EF1-010</t>
  </si>
  <si>
    <t xml:space="preserve">EF1-011</t>
  </si>
  <si>
    <t xml:space="preserve">EF1-012</t>
  </si>
  <si>
    <t xml:space="preserve">EF1-013</t>
  </si>
  <si>
    <t xml:space="preserve">EF1-014</t>
  </si>
  <si>
    <t xml:space="preserve">EF1-015</t>
  </si>
  <si>
    <t xml:space="preserve">EF1-016</t>
  </si>
  <si>
    <t xml:space="preserve">EF2-001</t>
  </si>
  <si>
    <t xml:space="preserve">EF2-002</t>
  </si>
  <si>
    <t xml:space="preserve">EF2-003</t>
  </si>
  <si>
    <t xml:space="preserve">EF2-004</t>
  </si>
  <si>
    <t xml:space="preserve">EF2-005</t>
  </si>
  <si>
    <t xml:space="preserve">EF2-006</t>
  </si>
  <si>
    <t xml:space="preserve">EF2-007</t>
  </si>
  <si>
    <t xml:space="preserve">EF2-008</t>
  </si>
  <si>
    <t xml:space="preserve">EF2-009</t>
  </si>
  <si>
    <t xml:space="preserve">EF2-010</t>
  </si>
  <si>
    <t xml:space="preserve">EF2-011</t>
  </si>
  <si>
    <t xml:space="preserve">EF2-012</t>
  </si>
  <si>
    <t xml:space="preserve">EF2-013</t>
  </si>
  <si>
    <t xml:space="preserve">EF2-014</t>
  </si>
  <si>
    <t xml:space="preserve">EF2-015</t>
  </si>
  <si>
    <t xml:space="preserve">EF2-016</t>
  </si>
  <si>
    <t xml:space="preserve">EF2-017</t>
  </si>
  <si>
    <t xml:space="preserve">EF2-018</t>
  </si>
  <si>
    <t xml:space="preserve">EF2-019</t>
  </si>
  <si>
    <t xml:space="preserve">EF2-020</t>
  </si>
  <si>
    <t xml:space="preserve">CONTROLE DE ESTAQUEAMENTO — TORRE</t>
  </si>
  <si>
    <t xml:space="preserve">Desenho: DE-5400.00-5700-121-TX3-003  |  Rev. 0  |  12/08/2026  |  ESTAQUEAMENTO - T-5700002 - PLANTA E DETALHES</t>
  </si>
  <si>
    <t xml:space="preserve">Origem das coordenadas: CALCULADO da malha do desenho (o desenho nao traz TABELA DE COORDENADAS)</t>
  </si>
  <si>
    <t xml:space="preserve">E1-T-2</t>
  </si>
  <si>
    <t xml:space="preserve">E2-T-2</t>
  </si>
  <si>
    <t xml:space="preserve">E3-T-2</t>
  </si>
  <si>
    <t xml:space="preserve">E4-T-2</t>
  </si>
  <si>
    <t xml:space="preserve">E5-T-2</t>
  </si>
  <si>
    <t xml:space="preserve">E6-T-2</t>
  </si>
  <si>
    <t xml:space="preserve">E7-T-2</t>
  </si>
  <si>
    <t xml:space="preserve">E8-T-2</t>
  </si>
  <si>
    <t xml:space="preserve">E9-T-2</t>
  </si>
  <si>
    <t xml:space="preserve">E10-T-2</t>
  </si>
  <si>
    <t xml:space="preserve">E11-T-2</t>
  </si>
  <si>
    <t xml:space="preserve">E12-T-2</t>
  </si>
  <si>
    <t xml:space="preserve">E13-T-2</t>
  </si>
  <si>
    <t xml:space="preserve">E14-T-2</t>
  </si>
  <si>
    <t xml:space="preserve">E15-T-2</t>
  </si>
  <si>
    <t xml:space="preserve">E16-T-2</t>
  </si>
  <si>
    <t xml:space="preserve">E17-T-2</t>
  </si>
  <si>
    <t xml:space="preserve">E18-T-2</t>
  </si>
  <si>
    <t xml:space="preserve">E19-T-2</t>
  </si>
  <si>
    <t xml:space="preserve">E20-T-2</t>
  </si>
  <si>
    <t xml:space="preserve">E21-T-2</t>
  </si>
  <si>
    <t xml:space="preserve">E22-T-2</t>
  </si>
  <si>
    <t xml:space="preserve">E23-T-2</t>
  </si>
  <si>
    <t xml:space="preserve">E24-T-2</t>
  </si>
  <si>
    <t xml:space="preserve">E25-T-2</t>
  </si>
  <si>
    <t xml:space="preserve">E26-T-2</t>
  </si>
  <si>
    <t xml:space="preserve">E27-T-2</t>
  </si>
  <si>
    <t xml:space="preserve">E28-T-2</t>
  </si>
  <si>
    <t xml:space="preserve">E29-T-2</t>
  </si>
  <si>
    <t xml:space="preserve">E30-T-2</t>
  </si>
  <si>
    <t xml:space="preserve">E31-T-2</t>
  </si>
  <si>
    <t xml:space="preserve">E32-T-2</t>
  </si>
  <si>
    <t xml:space="preserve">E33-T-2</t>
  </si>
  <si>
    <t xml:space="preserve">E34-T-2</t>
  </si>
  <si>
    <t xml:space="preserve">E35-T-2</t>
  </si>
  <si>
    <t xml:space="preserve">E36-T-2</t>
  </si>
  <si>
    <t xml:space="preserve">E37-T-2</t>
  </si>
  <si>
    <t xml:space="preserve">E38-T-2</t>
  </si>
  <si>
    <t xml:space="preserve">E39-T-2</t>
  </si>
  <si>
    <t xml:space="preserve">E40-T-2</t>
  </si>
  <si>
    <t xml:space="preserve">E41-T-2</t>
  </si>
  <si>
    <t xml:space="preserve">E42-T-2</t>
  </si>
  <si>
    <t xml:space="preserve">E43-T-2</t>
  </si>
  <si>
    <t xml:space="preserve">E44-T-2</t>
  </si>
  <si>
    <t xml:space="preserve">E45-T-2</t>
  </si>
  <si>
    <t xml:space="preserve">E46-T-2</t>
  </si>
  <si>
    <t xml:space="preserve">E47-T-2</t>
  </si>
  <si>
    <t xml:space="preserve">E48-T-2</t>
  </si>
  <si>
    <t xml:space="preserve">E49-T-2</t>
  </si>
  <si>
    <t xml:space="preserve">E50-T-2</t>
  </si>
  <si>
    <t xml:space="preserve">E51-T-2</t>
  </si>
  <si>
    <t xml:space="preserve">E52-T-2</t>
  </si>
  <si>
    <t xml:space="preserve">E53-T-2</t>
  </si>
  <si>
    <t xml:space="preserve">E54-T-2</t>
  </si>
  <si>
    <t xml:space="preserve">E55-T-2</t>
  </si>
  <si>
    <t xml:space="preserve">E56-T-2</t>
  </si>
  <si>
    <t xml:space="preserve">E57-T-2</t>
  </si>
  <si>
    <t xml:space="preserve">E58-T-2</t>
  </si>
  <si>
    <t xml:space="preserve">E59-T-2</t>
  </si>
  <si>
    <t xml:space="preserve">E60-T-2</t>
  </si>
  <si>
    <t xml:space="preserve">E61-T-2</t>
  </si>
  <si>
    <t xml:space="preserve">E62-T-2</t>
  </si>
  <si>
    <t xml:space="preserve">E63-T-2</t>
  </si>
  <si>
    <t xml:space="preserve">E64-T-2</t>
  </si>
  <si>
    <t xml:space="preserve">E65-T-2</t>
  </si>
  <si>
    <t xml:space="preserve">E66-T-2</t>
  </si>
  <si>
    <t xml:space="preserve">E67-T-2</t>
  </si>
  <si>
    <t xml:space="preserve">E68-T-2</t>
  </si>
  <si>
    <t xml:space="preserve">E69-T-2</t>
  </si>
  <si>
    <t xml:space="preserve">E70-T-2</t>
  </si>
  <si>
    <t xml:space="preserve">E71-T-2</t>
  </si>
  <si>
    <t xml:space="preserve">E72-T-2</t>
  </si>
  <si>
    <t xml:space="preserve">E73-T-2</t>
  </si>
  <si>
    <t xml:space="preserve">E74-T-2</t>
  </si>
  <si>
    <t xml:space="preserve">E75-T-2</t>
  </si>
  <si>
    <t xml:space="preserve">E76-T-2</t>
  </si>
  <si>
    <t xml:space="preserve">E77-T-2</t>
  </si>
  <si>
    <t xml:space="preserve">E78-T-2</t>
  </si>
  <si>
    <t xml:space="preserve">E79-T-2</t>
  </si>
  <si>
    <t xml:space="preserve">E80-T-2</t>
  </si>
  <si>
    <t xml:space="preserve">E81-T-2</t>
  </si>
  <si>
    <t xml:space="preserve">E82-T-2</t>
  </si>
  <si>
    <t xml:space="preserve">E83-T-2</t>
  </si>
  <si>
    <t xml:space="preserve">E84-T-2</t>
  </si>
  <si>
    <t xml:space="preserve">E85-T-2</t>
  </si>
  <si>
    <t xml:space="preserve">E86-T-2</t>
  </si>
  <si>
    <t xml:space="preserve">E87-T-2</t>
  </si>
  <si>
    <t xml:space="preserve">E88-T-2</t>
  </si>
  <si>
    <t xml:space="preserve">E89-T-2</t>
  </si>
  <si>
    <t xml:space="preserve">E90-T-2</t>
  </si>
  <si>
    <t xml:space="preserve">E91-T-2</t>
  </si>
  <si>
    <t xml:space="preserve">E92-T-2</t>
  </si>
  <si>
    <t xml:space="preserve">E93-T-2</t>
  </si>
  <si>
    <t xml:space="preserve">E94-T-2</t>
  </si>
  <si>
    <t xml:space="preserve">E95-T-2</t>
  </si>
  <si>
    <t xml:space="preserve">E96-T-2</t>
  </si>
  <si>
    <t xml:space="preserve">CONTROLE DE ESTAQUEAMENTO — REATORES</t>
  </si>
  <si>
    <t xml:space="preserve">Desenho: DE-5400.00-5700-121-TX3-006  |  Rev. 0  |  04/08/2026  |  ESTAQUEAMENTO - PRÉDIO E BASE DOS REATORES R-5700001 &amp; R-5700002</t>
  </si>
  <si>
    <t xml:space="preserve">E1-BR1</t>
  </si>
  <si>
    <t xml:space="preserve">E2-BR1</t>
  </si>
  <si>
    <t xml:space="preserve">E3-BR1</t>
  </si>
  <si>
    <t xml:space="preserve">E4-BR1</t>
  </si>
  <si>
    <t xml:space="preserve">E5-BR1</t>
  </si>
  <si>
    <t xml:space="preserve">E6-BR1</t>
  </si>
  <si>
    <t xml:space="preserve">E1-BR2</t>
  </si>
  <si>
    <t xml:space="preserve">E2-BR2</t>
  </si>
  <si>
    <t xml:space="preserve">E3-BR2</t>
  </si>
  <si>
    <t xml:space="preserve">E4-BR2</t>
  </si>
  <si>
    <t xml:space="preserve">E5-BR2</t>
  </si>
  <si>
    <t xml:space="preserve">E6-BR2</t>
  </si>
  <si>
    <t xml:space="preserve">E1-PRE</t>
  </si>
  <si>
    <t xml:space="preserve">E2-PRE</t>
  </si>
  <si>
    <t xml:space="preserve">E3-PRE</t>
  </si>
  <si>
    <t xml:space="preserve">E4-PRE</t>
  </si>
  <si>
    <t xml:space="preserve">E5-PRE</t>
  </si>
  <si>
    <t xml:space="preserve">E6-PRE</t>
  </si>
  <si>
    <t xml:space="preserve">E7-PRE</t>
  </si>
  <si>
    <t xml:space="preserve">E8-PRE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</si>
</sst>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0"/>
    <numFmt numFmtId="166" formatCode="General"/>
    <numFmt numFmtId="167" formatCode="0%"/>
    <numFmt numFmtId="168" formatCode="0"/>
    <numFmt numFmtId="169" formatCode="#,##0.00"/>
    <numFmt numFmtId="170" formatCode="dd/mm/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D9E2F3"/>
        <bgColor rgb="FFD6DCE4"/>
      </patternFill>
    </fill>
    <fill>
      <patternFill patternType="solid">
        <fgColor rgb="FFFFF2CC"/>
        <bgColor rgb="FFF2F2F2"/>
      </patternFill>
    </fill>
    <fill>
      <patternFill patternType="solid">
        <fgColor rgb="FF2E5C8A"/>
        <bgColor rgb="FF4472C4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4472C4"/>
        <bgColor rgb="FF2E5C8A"/>
      </patternFill>
    </fill>
    <fill>
      <patternFill patternType="solid">
        <fgColor rgb="FFD6DCE4"/>
        <bgColor rgb="FFD9E2F3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 diagonalUp="false" diagonalDown="false"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808080"/>
      </top>
      <bottom style="medium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b val="1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9"/>
      </font>
      <fill>
        <patternFill>
          <bgColor rgb="FFFFEB9C"/>
        </patternFill>
      </fill>
    </dxf>
    <dxf>
      <font>
        <name val="Arial"/>
        <charset val="1"/>
        <family val="0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30"/>
    <col collapsed="false" customWidth="true" hidden="false" outlineLevel="0" max="9" min="9" style="0" width="3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  <c r="C6" s="5" t="n">
        <v>714955.434</v>
      </c>
    </row>
    <row r="7" customFormat="false" ht="15" hidden="false" customHeight="false" outlineLevel="0" collapsed="false">
      <c r="A7" s="4" t="s">
        <v>5</v>
      </c>
      <c r="C7" s="5" t="n">
        <v>7488954.39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30" hidden="false" customHeight="true" outlineLevel="0" collapsed="false">
      <c r="A12" s="6" t="s">
        <v>9</v>
      </c>
      <c r="B12" s="6" t="s">
        <v>10</v>
      </c>
      <c r="C12" s="6" t="s">
        <v>11</v>
      </c>
      <c r="D12" s="6" t="s">
        <v>12</v>
      </c>
      <c r="E12" s="6" t="s">
        <v>13</v>
      </c>
      <c r="F12" s="6" t="s">
        <v>14</v>
      </c>
      <c r="G12" s="6" t="s">
        <v>15</v>
      </c>
      <c r="H12" s="6" t="s">
        <v>16</v>
      </c>
      <c r="I12" s="6" t="s">
        <v>17</v>
      </c>
    </row>
    <row r="13" customFormat="false" ht="15" hidden="false" customHeight="false" outlineLevel="0" collapsed="false">
      <c r="A13" s="7" t="s">
        <v>18</v>
      </c>
      <c r="B13" s="7" t="s">
        <v>19</v>
      </c>
      <c r="C13" s="7" t="s">
        <v>20</v>
      </c>
      <c r="D13" s="8" t="s">
        <v>21</v>
      </c>
      <c r="E13" s="8" t="n">
        <v>64</v>
      </c>
      <c r="F13" s="8" t="s">
        <v>22</v>
      </c>
      <c r="G13" s="8" t="n">
        <v>13.1</v>
      </c>
      <c r="H13" s="7" t="s">
        <v>23</v>
      </c>
      <c r="I13" s="9" t="s">
        <v>24</v>
      </c>
    </row>
    <row r="14" customFormat="false" ht="23.85" hidden="false" customHeight="false" outlineLevel="0" collapsed="false">
      <c r="A14" s="7" t="s">
        <v>25</v>
      </c>
      <c r="B14" s="7" t="s">
        <v>26</v>
      </c>
      <c r="C14" s="7" t="s">
        <v>27</v>
      </c>
      <c r="D14" s="8" t="s">
        <v>28</v>
      </c>
      <c r="E14" s="8" t="n">
        <v>16</v>
      </c>
      <c r="F14" s="8" t="s">
        <v>29</v>
      </c>
      <c r="G14" s="8" t="n">
        <v>8.75</v>
      </c>
      <c r="H14" s="7" t="s">
        <v>30</v>
      </c>
      <c r="I14" s="9" t="s">
        <v>31</v>
      </c>
    </row>
    <row r="15" customFormat="false" ht="23.85" hidden="false" customHeight="false" outlineLevel="0" collapsed="false">
      <c r="A15" s="7" t="s">
        <v>25</v>
      </c>
      <c r="B15" s="7" t="s">
        <v>32</v>
      </c>
      <c r="C15" s="7" t="s">
        <v>33</v>
      </c>
      <c r="D15" s="8" t="s">
        <v>21</v>
      </c>
      <c r="E15" s="8" t="n">
        <v>20</v>
      </c>
      <c r="F15" s="8" t="s">
        <v>29</v>
      </c>
      <c r="G15" s="8" t="n">
        <v>8.75</v>
      </c>
      <c r="H15" s="7" t="s">
        <v>30</v>
      </c>
      <c r="I15" s="9" t="s">
        <v>31</v>
      </c>
    </row>
    <row r="16" customFormat="false" ht="23.85" hidden="false" customHeight="false" outlineLevel="0" collapsed="false">
      <c r="A16" s="7" t="s">
        <v>34</v>
      </c>
      <c r="B16" s="7" t="s">
        <v>35</v>
      </c>
      <c r="C16" s="7" t="s">
        <v>36</v>
      </c>
      <c r="D16" s="8" t="s">
        <v>21</v>
      </c>
      <c r="E16" s="8" t="n">
        <v>96</v>
      </c>
      <c r="F16" s="8" t="s">
        <v>37</v>
      </c>
      <c r="G16" s="8" t="n">
        <v>18</v>
      </c>
      <c r="H16" s="7" t="s">
        <v>38</v>
      </c>
      <c r="I16" s="9" t="s">
        <v>39</v>
      </c>
    </row>
    <row r="17" customFormat="false" ht="15" hidden="false" customHeight="false" outlineLevel="0" collapsed="false">
      <c r="A17" s="7" t="s">
        <v>40</v>
      </c>
      <c r="B17" s="7" t="s">
        <v>41</v>
      </c>
      <c r="C17" s="7" t="s">
        <v>42</v>
      </c>
      <c r="D17" s="8" t="s">
        <v>21</v>
      </c>
      <c r="E17" s="8" t="n">
        <v>6</v>
      </c>
      <c r="F17" s="8" t="s">
        <v>43</v>
      </c>
      <c r="G17" s="8" t="n">
        <v>12</v>
      </c>
      <c r="H17" s="7" t="s">
        <v>44</v>
      </c>
      <c r="I17" s="9" t="s">
        <v>24</v>
      </c>
    </row>
    <row r="18" customFormat="false" ht="15" hidden="false" customHeight="false" outlineLevel="0" collapsed="false">
      <c r="A18" s="7" t="s">
        <v>40</v>
      </c>
      <c r="B18" s="7" t="s">
        <v>45</v>
      </c>
      <c r="C18" s="7" t="s">
        <v>46</v>
      </c>
      <c r="D18" s="8" t="s">
        <v>21</v>
      </c>
      <c r="E18" s="8" t="n">
        <v>6</v>
      </c>
      <c r="F18" s="8" t="s">
        <v>43</v>
      </c>
      <c r="G18" s="8" t="n">
        <v>12</v>
      </c>
      <c r="H18" s="7" t="s">
        <v>44</v>
      </c>
      <c r="I18" s="9" t="s">
        <v>24</v>
      </c>
    </row>
    <row r="19" customFormat="false" ht="15" hidden="false" customHeight="false" outlineLevel="0" collapsed="false">
      <c r="A19" s="7" t="s">
        <v>40</v>
      </c>
      <c r="B19" s="7" t="s">
        <v>47</v>
      </c>
      <c r="C19" s="7" t="s">
        <v>48</v>
      </c>
      <c r="D19" s="8" t="s">
        <v>21</v>
      </c>
      <c r="E19" s="8" t="n">
        <v>8</v>
      </c>
      <c r="F19" s="8" t="s">
        <v>49</v>
      </c>
      <c r="G19" s="8" t="n">
        <v>12</v>
      </c>
      <c r="H19" s="7" t="s">
        <v>44</v>
      </c>
      <c r="I19" s="9" t="s">
        <v>24</v>
      </c>
    </row>
    <row r="20" customFormat="false" ht="15" hidden="false" customHeight="false" outlineLevel="0" collapsed="false">
      <c r="A20" s="10" t="s">
        <v>50</v>
      </c>
      <c r="B20" s="11"/>
      <c r="C20" s="11"/>
      <c r="D20" s="11"/>
      <c r="E20" s="12" t="n">
        <f aca="false">SUM(E13:E19)</f>
        <v>216</v>
      </c>
      <c r="F20" s="11"/>
      <c r="G20" s="11"/>
      <c r="H20" s="11"/>
      <c r="I20" s="11"/>
    </row>
    <row r="22" customFormat="false" ht="15" hidden="false" customHeight="false" outlineLevel="0" collapsed="false">
      <c r="A22" s="3" t="s">
        <v>51</v>
      </c>
    </row>
    <row r="23" customFormat="false" ht="30" hidden="false" customHeight="true" outlineLevel="0" collapsed="false">
      <c r="A23" s="6" t="s">
        <v>9</v>
      </c>
      <c r="B23" s="6" t="s">
        <v>52</v>
      </c>
      <c r="C23" s="6" t="s">
        <v>53</v>
      </c>
      <c r="D23" s="6" t="s">
        <v>54</v>
      </c>
      <c r="E23" s="6" t="s">
        <v>55</v>
      </c>
      <c r="F23" s="6" t="s">
        <v>56</v>
      </c>
      <c r="G23" s="6" t="s">
        <v>57</v>
      </c>
    </row>
    <row r="24" customFormat="false" ht="15" hidden="false" customHeight="false" outlineLevel="0" collapsed="false">
      <c r="A24" s="7" t="s">
        <v>18</v>
      </c>
      <c r="B24" s="8" t="n">
        <f aca="false">COUNTA('Casa dos compressores'!B9:B72)</f>
        <v>64</v>
      </c>
      <c r="C24" s="8" t="n">
        <f aca="false">COUNTIF('Casa dos compressores'!L9:L72,"CONCLUÍDO")</f>
        <v>0</v>
      </c>
      <c r="D24" s="8" t="n">
        <f aca="false">COUNTIF('Casa dos compressores'!N9:N72,"CONCLUÍDO")</f>
        <v>0</v>
      </c>
      <c r="E24" s="8" t="n">
        <f aca="false">COUNTIF('Casa dos compressores'!P9:P72,"CONCLUÍDO")</f>
        <v>0</v>
      </c>
      <c r="F24" s="8" t="n">
        <f aca="false">COUNTIF('Casa dos compressores'!R9:R72,"CONCLUÍDO")</f>
        <v>0</v>
      </c>
      <c r="G24" s="13" t="n">
        <f aca="false">IFERROR(AVERAGE('Casa dos compressores'!T9:T72),0)</f>
        <v>0</v>
      </c>
    </row>
    <row r="25" customFormat="false" ht="15" hidden="false" customHeight="false" outlineLevel="0" collapsed="false">
      <c r="A25" s="7" t="s">
        <v>25</v>
      </c>
      <c r="B25" s="8" t="n">
        <f aca="false">COUNTA(Fornos!B9:B44)</f>
        <v>36</v>
      </c>
      <c r="C25" s="8" t="n">
        <f aca="false">COUNTIF(Fornos!L9:L44,"CONCLUÍDO")</f>
        <v>0</v>
      </c>
      <c r="D25" s="8" t="n">
        <f aca="false">COUNTIF(Fornos!N9:N44,"CONCLUÍDO")</f>
        <v>0</v>
      </c>
      <c r="E25" s="8" t="n">
        <f aca="false">COUNTIF(Fornos!P9:P44,"CONCLUÍDO")</f>
        <v>0</v>
      </c>
      <c r="F25" s="8" t="n">
        <f aca="false">COUNTIF(Fornos!R9:R44,"CONCLUÍDO")</f>
        <v>0</v>
      </c>
      <c r="G25" s="13" t="n">
        <f aca="false">IFERROR(AVERAGE(Fornos!T9:T44),0)</f>
        <v>0</v>
      </c>
    </row>
    <row r="26" customFormat="false" ht="15" hidden="false" customHeight="false" outlineLevel="0" collapsed="false">
      <c r="A26" s="7" t="s">
        <v>34</v>
      </c>
      <c r="B26" s="8" t="n">
        <f aca="false">COUNTA(Torre!B9:B104)</f>
        <v>96</v>
      </c>
      <c r="C26" s="8" t="n">
        <f aca="false">COUNTIF(Torre!L9:L104,"CONCLUÍDO")</f>
        <v>0</v>
      </c>
      <c r="D26" s="8" t="n">
        <f aca="false">COUNTIF(Torre!N9:N104,"CONCLUÍDO")</f>
        <v>0</v>
      </c>
      <c r="E26" s="8" t="n">
        <f aca="false">COUNTIF(Torre!P9:P104,"CONCLUÍDO")</f>
        <v>0</v>
      </c>
      <c r="F26" s="8" t="n">
        <f aca="false">COUNTIF(Torre!R9:R104,"CONCLUÍDO")</f>
        <v>0</v>
      </c>
      <c r="G26" s="13" t="n">
        <f aca="false">IFERROR(AVERAGE(Torre!T9:T104),0)</f>
        <v>0</v>
      </c>
    </row>
    <row r="27" customFormat="false" ht="15" hidden="false" customHeight="false" outlineLevel="0" collapsed="false">
      <c r="A27" s="7" t="s">
        <v>40</v>
      </c>
      <c r="B27" s="8" t="n">
        <f aca="false">COUNTA(Reatores!B9:B28)</f>
        <v>20</v>
      </c>
      <c r="C27" s="8" t="n">
        <f aca="false">COUNTIF(Reatores!L9:L28,"CONCLUÍDO")</f>
        <v>0</v>
      </c>
      <c r="D27" s="8" t="n">
        <f aca="false">COUNTIF(Reatores!N9:N28,"CONCLUÍDO")</f>
        <v>0</v>
      </c>
      <c r="E27" s="8" t="n">
        <f aca="false">COUNTIF(Reatores!P9:P28,"CONCLUÍDO")</f>
        <v>0</v>
      </c>
      <c r="F27" s="8" t="n">
        <f aca="false">COUNTIF(Reatores!R9:R28,"CONCLUÍDO")</f>
        <v>0</v>
      </c>
      <c r="G27" s="13" t="n">
        <f aca="false">IFERROR(AVERAGE(Reatores!T9:T28),0)</f>
        <v>0</v>
      </c>
    </row>
    <row r="28" customFormat="false" ht="15" hidden="false" customHeight="false" outlineLevel="0" collapsed="false">
      <c r="A28" s="10" t="s">
        <v>58</v>
      </c>
      <c r="B28" s="12" t="n">
        <f aca="false">SUM(B24:B27)</f>
        <v>216</v>
      </c>
      <c r="C28" s="12" t="n">
        <f aca="false">SUM(C24:C27)</f>
        <v>0</v>
      </c>
      <c r="D28" s="12" t="n">
        <f aca="false">SUM(D24:D27)</f>
        <v>0</v>
      </c>
      <c r="E28" s="12" t="n">
        <f aca="false">SUM(E24:E27)</f>
        <v>0</v>
      </c>
      <c r="F28" s="12" t="n">
        <f aca="false">SUM(F24:F27)</f>
        <v>0</v>
      </c>
      <c r="G28" s="14" t="n">
        <f aca="false">IFERROR(SUM(C28,D28,E28,F28)/(4*B28),0)</f>
        <v>0</v>
      </c>
    </row>
    <row r="30" customFormat="false" ht="15" hidden="false" customHeight="false" outlineLevel="0" collapsed="false">
      <c r="A30" s="3" t="s">
        <v>59</v>
      </c>
    </row>
    <row r="31" customFormat="false" ht="15" hidden="false" customHeight="false" outlineLevel="0" collapsed="false">
      <c r="A31" s="15" t="s">
        <v>60</v>
      </c>
      <c r="B31" s="15"/>
      <c r="C31" s="15"/>
      <c r="D31" s="15"/>
      <c r="E31" s="15"/>
      <c r="F31" s="15"/>
      <c r="G31" s="15"/>
      <c r="H31" s="15"/>
      <c r="I31" s="15"/>
    </row>
    <row r="32" customFormat="false" ht="15" hidden="false" customHeight="false" outlineLevel="0" collapsed="false">
      <c r="A32" s="16" t="s">
        <v>61</v>
      </c>
      <c r="B32" s="16"/>
      <c r="C32" s="16"/>
      <c r="D32" s="16"/>
      <c r="E32" s="16"/>
      <c r="F32" s="16"/>
      <c r="G32" s="16"/>
      <c r="H32" s="16"/>
      <c r="I32" s="16"/>
    </row>
    <row r="33" customFormat="false" ht="15" hidden="false" customHeight="false" outlineLevel="0" collapsed="false">
      <c r="A33" s="16" t="s">
        <v>62</v>
      </c>
      <c r="B33" s="16"/>
      <c r="C33" s="16"/>
      <c r="D33" s="16"/>
      <c r="E33" s="16"/>
      <c r="F33" s="16"/>
      <c r="G33" s="16"/>
      <c r="H33" s="16"/>
      <c r="I33" s="16"/>
    </row>
    <row r="34" customFormat="false" ht="15" hidden="false" customHeight="false" outlineLevel="0" collapsed="false">
      <c r="A34" s="16" t="s">
        <v>63</v>
      </c>
      <c r="B34" s="16"/>
      <c r="C34" s="16"/>
      <c r="D34" s="16"/>
      <c r="E34" s="16"/>
      <c r="F34" s="16"/>
      <c r="G34" s="16"/>
      <c r="H34" s="16"/>
      <c r="I34" s="16"/>
    </row>
    <row r="36" customFormat="false" ht="15" hidden="false" customHeight="false" outlineLevel="0" collapsed="false">
      <c r="A36" s="3" t="s">
        <v>64</v>
      </c>
    </row>
    <row r="37" customFormat="false" ht="27.75" hidden="false" customHeight="true" outlineLevel="0" collapsed="false">
      <c r="A37" s="6" t="s">
        <v>65</v>
      </c>
      <c r="B37" s="6" t="s">
        <v>53</v>
      </c>
      <c r="C37" s="6" t="s">
        <v>66</v>
      </c>
      <c r="D37" s="6" t="s">
        <v>54</v>
      </c>
      <c r="E37" s="6" t="s">
        <v>66</v>
      </c>
      <c r="F37" s="6" t="s">
        <v>55</v>
      </c>
      <c r="G37" s="6" t="s">
        <v>66</v>
      </c>
      <c r="H37" s="6" t="s">
        <v>56</v>
      </c>
      <c r="I37" s="6" t="s">
        <v>66</v>
      </c>
    </row>
    <row r="38" customFormat="false" ht="15" hidden="false" customHeight="false" outlineLevel="0" collapsed="false">
      <c r="A38" s="8" t="s">
        <v>67</v>
      </c>
      <c r="B38" s="17" t="s">
        <v>68</v>
      </c>
      <c r="C38" s="17" t="s">
        <v>69</v>
      </c>
      <c r="D38" s="17" t="s">
        <v>68</v>
      </c>
      <c r="E38" s="17" t="s">
        <v>70</v>
      </c>
      <c r="F38" s="17" t="s">
        <v>71</v>
      </c>
      <c r="G38" s="17"/>
      <c r="H38" s="17" t="s">
        <v>72</v>
      </c>
      <c r="I38" s="17"/>
    </row>
    <row r="40" customFormat="false" ht="15" hidden="false" customHeight="false" outlineLevel="0" collapsed="false">
      <c r="A40" s="3" t="s">
        <v>73</v>
      </c>
    </row>
    <row r="41" customFormat="false" ht="25.5" hidden="false" customHeight="true" outlineLevel="0" collapsed="false">
      <c r="A41" s="18" t="s">
        <v>74</v>
      </c>
      <c r="B41" s="18"/>
      <c r="C41" s="18"/>
      <c r="D41" s="18"/>
      <c r="E41" s="18"/>
      <c r="F41" s="18"/>
      <c r="G41" s="18"/>
      <c r="H41" s="18"/>
      <c r="I41" s="18"/>
    </row>
    <row r="42" customFormat="false" ht="39.75" hidden="false" customHeight="true" outlineLevel="0" collapsed="false">
      <c r="A42" s="18" t="s">
        <v>75</v>
      </c>
      <c r="B42" s="18"/>
      <c r="C42" s="18"/>
      <c r="D42" s="18"/>
      <c r="E42" s="18"/>
      <c r="F42" s="18"/>
      <c r="G42" s="18"/>
      <c r="H42" s="18"/>
      <c r="I42" s="18"/>
    </row>
    <row r="43" customFormat="false" ht="39.75" hidden="false" customHeight="true" outlineLevel="0" collapsed="false">
      <c r="A43" s="18" t="s">
        <v>76</v>
      </c>
      <c r="B43" s="18"/>
      <c r="C43" s="18"/>
      <c r="D43" s="18"/>
      <c r="E43" s="18"/>
      <c r="F43" s="18"/>
      <c r="G43" s="18"/>
      <c r="H43" s="18"/>
      <c r="I43" s="18"/>
    </row>
    <row r="44" customFormat="false" ht="39.75" hidden="false" customHeight="true" outlineLevel="0" collapsed="false">
      <c r="A44" s="18" t="s">
        <v>77</v>
      </c>
      <c r="B44" s="18"/>
      <c r="C44" s="18"/>
      <c r="D44" s="18"/>
      <c r="E44" s="18"/>
      <c r="F44" s="18"/>
      <c r="G44" s="18"/>
      <c r="H44" s="18"/>
      <c r="I44" s="18"/>
    </row>
    <row r="45" customFormat="false" ht="39.75" hidden="false" customHeight="true" outlineLevel="0" collapsed="false">
      <c r="A45" s="18" t="s">
        <v>78</v>
      </c>
      <c r="B45" s="18"/>
      <c r="C45" s="18"/>
      <c r="D45" s="18"/>
      <c r="E45" s="18"/>
      <c r="F45" s="18"/>
      <c r="G45" s="18"/>
      <c r="H45" s="18"/>
      <c r="I45" s="18"/>
    </row>
  </sheetData>
  <mergeCells count="11">
    <mergeCell ref="A1:I1"/>
    <mergeCell ref="A2:I2"/>
    <mergeCell ref="A31:I31"/>
    <mergeCell ref="A32:I32"/>
    <mergeCell ref="A33:I33"/>
    <mergeCell ref="A34:I34"/>
    <mergeCell ref="A41:I41"/>
    <mergeCell ref="A42:I42"/>
    <mergeCell ref="A43:I43"/>
    <mergeCell ref="A44:I44"/>
    <mergeCell ref="A45:I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7" min="6" style="0" width="17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5"/>
    <col collapsed="false" customWidth="true" hidden="false" outlineLevel="0" max="15" min="15" style="0" width="11"/>
    <col collapsed="false" customWidth="true" hidden="false" outlineLevel="0" max="16" min="16" style="0" width="15"/>
    <col collapsed="false" customWidth="true" hidden="false" outlineLevel="0" max="17" min="17" style="0" width="11"/>
    <col collapsed="false" customWidth="true" hidden="false" outlineLevel="0" max="18" min="18" style="0" width="15"/>
    <col collapsed="false" customWidth="true" hidden="false" outlineLevel="0" max="19" min="19" style="0" width="11"/>
    <col collapsed="false" customWidth="true" hidden="false" outlineLevel="0" max="20" min="20" style="0" width="10"/>
    <col collapsed="false" customWidth="true" hidden="false" outlineLevel="0" max="21" min="21" style="0" width="34"/>
  </cols>
  <sheetData>
    <row r="1" customFormat="false" ht="27.75" hidden="false" customHeight="true" outlineLevel="0" collapsed="false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false" outlineLevel="0" collapsed="false">
      <c r="A2" s="19" t="s">
        <v>80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customFormat="false" ht="15" hidden="false" customHeight="false" outlineLevel="0" collapsed="false">
      <c r="A3" s="20" t="s">
        <v>81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customFormat="false" ht="15" hidden="false" customHeight="false" outlineLevel="0" collapsed="false">
      <c r="A4" s="20" t="s">
        <v>82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6" customFormat="false" ht="19.5" hidden="false" customHeight="true" outlineLevel="0" collapsed="false">
      <c r="A6" s="21" t="s">
        <v>83</v>
      </c>
      <c r="B6" s="21" t="s">
        <v>84</v>
      </c>
      <c r="C6" s="21" t="s">
        <v>10</v>
      </c>
      <c r="D6" s="22" t="s">
        <v>85</v>
      </c>
      <c r="E6" s="22"/>
      <c r="F6" s="22"/>
      <c r="G6" s="22"/>
      <c r="H6" s="21" t="s">
        <v>86</v>
      </c>
      <c r="I6" s="22" t="s">
        <v>87</v>
      </c>
      <c r="J6" s="22"/>
      <c r="K6" s="22"/>
      <c r="L6" s="22" t="s">
        <v>88</v>
      </c>
      <c r="M6" s="22"/>
      <c r="N6" s="22"/>
      <c r="O6" s="22"/>
      <c r="P6" s="22"/>
      <c r="Q6" s="22"/>
      <c r="R6" s="22"/>
      <c r="S6" s="22"/>
      <c r="T6" s="21" t="s">
        <v>89</v>
      </c>
      <c r="U6" s="21" t="s">
        <v>90</v>
      </c>
    </row>
    <row r="7" customFormat="false" ht="19.5" hidden="false" customHeight="true" outlineLevel="0" collapsed="false">
      <c r="A7" s="21"/>
      <c r="B7" s="21"/>
      <c r="C7" s="21"/>
      <c r="D7" s="21" t="s">
        <v>91</v>
      </c>
      <c r="E7" s="21" t="s">
        <v>92</v>
      </c>
      <c r="F7" s="21" t="s">
        <v>93</v>
      </c>
      <c r="G7" s="21" t="s">
        <v>94</v>
      </c>
      <c r="H7" s="21"/>
      <c r="I7" s="21" t="s">
        <v>12</v>
      </c>
      <c r="J7" s="21" t="s">
        <v>95</v>
      </c>
      <c r="K7" s="21" t="s">
        <v>96</v>
      </c>
      <c r="L7" s="23" t="s">
        <v>53</v>
      </c>
      <c r="M7" s="23"/>
      <c r="N7" s="23" t="s">
        <v>54</v>
      </c>
      <c r="O7" s="23"/>
      <c r="P7" s="23" t="s">
        <v>55</v>
      </c>
      <c r="Q7" s="23"/>
      <c r="R7" s="23" t="s">
        <v>56</v>
      </c>
      <c r="S7" s="23"/>
      <c r="T7" s="21"/>
      <c r="U7" s="21"/>
    </row>
    <row r="8" customFormat="false" ht="25.5" hidden="false" customHeight="true" outlineLevel="0" collapsed="false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4" t="s">
        <v>97</v>
      </c>
      <c r="M8" s="24" t="s">
        <v>66</v>
      </c>
      <c r="N8" s="24" t="s">
        <v>97</v>
      </c>
      <c r="O8" s="24" t="s">
        <v>66</v>
      </c>
      <c r="P8" s="24" t="s">
        <v>97</v>
      </c>
      <c r="Q8" s="24" t="s">
        <v>66</v>
      </c>
      <c r="R8" s="24" t="s">
        <v>97</v>
      </c>
      <c r="S8" s="24" t="s">
        <v>66</v>
      </c>
      <c r="T8" s="21"/>
      <c r="U8" s="21"/>
    </row>
    <row r="9" customFormat="false" ht="15" hidden="false" customHeight="false" outlineLevel="0" collapsed="false">
      <c r="A9" s="25" t="n">
        <v>1</v>
      </c>
      <c r="B9" s="26" t="s">
        <v>67</v>
      </c>
      <c r="C9" s="27" t="s">
        <v>19</v>
      </c>
      <c r="D9" s="28" t="n">
        <v>4944.211</v>
      </c>
      <c r="E9" s="28" t="n">
        <v>3237.624</v>
      </c>
      <c r="F9" s="28" t="n">
        <v>719899.645</v>
      </c>
      <c r="G9" s="28" t="n">
        <v>7492192.014</v>
      </c>
      <c r="H9" s="29" t="str">
        <f aca="false">IF(AND(ABS(D9+Resumo!$C$6-F9)&lt;=0.01,ABS(E9+Resumo!$C$7-G9)&lt;=0.01),"OK","VERIFICAR")</f>
        <v>OK</v>
      </c>
      <c r="I9" s="29" t="s">
        <v>21</v>
      </c>
      <c r="J9" s="29" t="s">
        <v>22</v>
      </c>
      <c r="K9" s="30" t="n">
        <v>13.1</v>
      </c>
      <c r="L9" s="31" t="s">
        <v>72</v>
      </c>
      <c r="M9" s="32"/>
      <c r="N9" s="31" t="s">
        <v>72</v>
      </c>
      <c r="O9" s="32"/>
      <c r="P9" s="31" t="s">
        <v>72</v>
      </c>
      <c r="Q9" s="32"/>
      <c r="R9" s="31" t="s">
        <v>72</v>
      </c>
      <c r="S9" s="32"/>
      <c r="T9" s="33" t="n">
        <f aca="false">(COUNTIF(L9,"CONCLUÍDO")+COUNTIF(N9,"CONCLUÍDO")+COUNTIF(P9,"CONCLUÍDO")+COUNTIF(R9,"CONCLUÍDO"))/4</f>
        <v>0</v>
      </c>
      <c r="U9" s="34"/>
    </row>
    <row r="10" customFormat="false" ht="15" hidden="false" customHeight="false" outlineLevel="0" collapsed="false">
      <c r="A10" s="35" t="n">
        <v>2</v>
      </c>
      <c r="B10" s="36" t="s">
        <v>98</v>
      </c>
      <c r="C10" s="37" t="s">
        <v>19</v>
      </c>
      <c r="D10" s="38" t="n">
        <v>4945.711</v>
      </c>
      <c r="E10" s="38" t="n">
        <v>3237.624</v>
      </c>
      <c r="F10" s="38" t="n">
        <v>719901.145</v>
      </c>
      <c r="G10" s="38" t="n">
        <v>7492192.014</v>
      </c>
      <c r="H10" s="39" t="str">
        <f aca="false">IF(AND(ABS(D10+Resumo!$C$6-F10)&lt;=0.01,ABS(E10+Resumo!$C$7-G10)&lt;=0.01),"OK","VERIFICAR")</f>
        <v>OK</v>
      </c>
      <c r="I10" s="39" t="s">
        <v>21</v>
      </c>
      <c r="J10" s="39" t="s">
        <v>22</v>
      </c>
      <c r="K10" s="40" t="n">
        <v>13.1</v>
      </c>
      <c r="L10" s="31" t="s">
        <v>72</v>
      </c>
      <c r="M10" s="32"/>
      <c r="N10" s="31" t="s">
        <v>72</v>
      </c>
      <c r="O10" s="32"/>
      <c r="P10" s="31" t="s">
        <v>72</v>
      </c>
      <c r="Q10" s="32"/>
      <c r="R10" s="31" t="s">
        <v>72</v>
      </c>
      <c r="S10" s="32"/>
      <c r="T10" s="41" t="n">
        <f aca="false">(COUNTIF(L10,"CONCLUÍDO")+COUNTIF(N10,"CONCLUÍDO")+COUNTIF(P10,"CONCLUÍDO")+COUNTIF(R10,"CONCLUÍDO"))/4</f>
        <v>0</v>
      </c>
      <c r="U10" s="34"/>
    </row>
    <row r="11" customFormat="false" ht="15" hidden="false" customHeight="false" outlineLevel="0" collapsed="false">
      <c r="A11" s="25" t="n">
        <v>3</v>
      </c>
      <c r="B11" s="26" t="s">
        <v>99</v>
      </c>
      <c r="C11" s="27" t="s">
        <v>19</v>
      </c>
      <c r="D11" s="28" t="n">
        <v>4944.211</v>
      </c>
      <c r="E11" s="28" t="n">
        <v>3236.124</v>
      </c>
      <c r="F11" s="28" t="n">
        <v>719899.645</v>
      </c>
      <c r="G11" s="28" t="n">
        <v>7492190.514</v>
      </c>
      <c r="H11" s="29" t="str">
        <f aca="false">IF(AND(ABS(D11+Resumo!$C$6-F11)&lt;=0.01,ABS(E11+Resumo!$C$7-G11)&lt;=0.01),"OK","VERIFICAR")</f>
        <v>OK</v>
      </c>
      <c r="I11" s="29" t="s">
        <v>21</v>
      </c>
      <c r="J11" s="29" t="s">
        <v>22</v>
      </c>
      <c r="K11" s="30" t="n">
        <v>13.1</v>
      </c>
      <c r="L11" s="31" t="s">
        <v>72</v>
      </c>
      <c r="M11" s="32"/>
      <c r="N11" s="31" t="s">
        <v>72</v>
      </c>
      <c r="O11" s="32"/>
      <c r="P11" s="31" t="s">
        <v>72</v>
      </c>
      <c r="Q11" s="32"/>
      <c r="R11" s="31" t="s">
        <v>72</v>
      </c>
      <c r="S11" s="32"/>
      <c r="T11" s="33" t="n">
        <f aca="false">(COUNTIF(L11,"CONCLUÍDO")+COUNTIF(N11,"CONCLUÍDO")+COUNTIF(P11,"CONCLUÍDO")+COUNTIF(R11,"CONCLUÍDO"))/4</f>
        <v>0</v>
      </c>
      <c r="U11" s="34"/>
    </row>
    <row r="12" customFormat="false" ht="15" hidden="false" customHeight="false" outlineLevel="0" collapsed="false">
      <c r="A12" s="35" t="n">
        <v>4</v>
      </c>
      <c r="B12" s="36" t="s">
        <v>100</v>
      </c>
      <c r="C12" s="37" t="s">
        <v>19</v>
      </c>
      <c r="D12" s="38" t="n">
        <v>4945.711</v>
      </c>
      <c r="E12" s="38" t="n">
        <v>3236.124</v>
      </c>
      <c r="F12" s="38" t="n">
        <v>719901.145</v>
      </c>
      <c r="G12" s="38" t="n">
        <v>7492190.514</v>
      </c>
      <c r="H12" s="39" t="str">
        <f aca="false">IF(AND(ABS(D12+Resumo!$C$6-F12)&lt;=0.01,ABS(E12+Resumo!$C$7-G12)&lt;=0.01),"OK","VERIFICAR")</f>
        <v>OK</v>
      </c>
      <c r="I12" s="39" t="s">
        <v>21</v>
      </c>
      <c r="J12" s="39" t="s">
        <v>22</v>
      </c>
      <c r="K12" s="40" t="n">
        <v>13.1</v>
      </c>
      <c r="L12" s="31" t="s">
        <v>72</v>
      </c>
      <c r="M12" s="32"/>
      <c r="N12" s="31" t="s">
        <v>72</v>
      </c>
      <c r="O12" s="32"/>
      <c r="P12" s="31" t="s">
        <v>72</v>
      </c>
      <c r="Q12" s="32"/>
      <c r="R12" s="31" t="s">
        <v>72</v>
      </c>
      <c r="S12" s="32"/>
      <c r="T12" s="41" t="n">
        <f aca="false">(COUNTIF(L12,"CONCLUÍDO")+COUNTIF(N12,"CONCLUÍDO")+COUNTIF(P12,"CONCLUÍDO")+COUNTIF(R12,"CONCLUÍDO"))/4</f>
        <v>0</v>
      </c>
      <c r="U12" s="34"/>
    </row>
    <row r="13" customFormat="false" ht="15" hidden="false" customHeight="false" outlineLevel="0" collapsed="false">
      <c r="A13" s="25" t="n">
        <v>5</v>
      </c>
      <c r="B13" s="26" t="s">
        <v>101</v>
      </c>
      <c r="C13" s="27" t="s">
        <v>19</v>
      </c>
      <c r="D13" s="28" t="n">
        <v>4956.211</v>
      </c>
      <c r="E13" s="28" t="n">
        <v>3237.624</v>
      </c>
      <c r="F13" s="28" t="n">
        <v>719911.645</v>
      </c>
      <c r="G13" s="28" t="n">
        <v>7492192.014</v>
      </c>
      <c r="H13" s="29" t="str">
        <f aca="false">IF(AND(ABS(D13+Resumo!$C$6-F13)&lt;=0.01,ABS(E13+Resumo!$C$7-G13)&lt;=0.01),"OK","VERIFICAR")</f>
        <v>OK</v>
      </c>
      <c r="I13" s="29" t="s">
        <v>21</v>
      </c>
      <c r="J13" s="29" t="s">
        <v>22</v>
      </c>
      <c r="K13" s="30" t="n">
        <v>13.1</v>
      </c>
      <c r="L13" s="31" t="s">
        <v>72</v>
      </c>
      <c r="M13" s="32"/>
      <c r="N13" s="31" t="s">
        <v>72</v>
      </c>
      <c r="O13" s="32"/>
      <c r="P13" s="31" t="s">
        <v>72</v>
      </c>
      <c r="Q13" s="32"/>
      <c r="R13" s="31" t="s">
        <v>72</v>
      </c>
      <c r="S13" s="32"/>
      <c r="T13" s="33" t="n">
        <f aca="false">(COUNTIF(L13,"CONCLUÍDO")+COUNTIF(N13,"CONCLUÍDO")+COUNTIF(P13,"CONCLUÍDO")+COUNTIF(R13,"CONCLUÍDO"))/4</f>
        <v>0</v>
      </c>
      <c r="U13" s="34"/>
    </row>
    <row r="14" customFormat="false" ht="15" hidden="false" customHeight="false" outlineLevel="0" collapsed="false">
      <c r="A14" s="35" t="n">
        <v>6</v>
      </c>
      <c r="B14" s="36" t="s">
        <v>102</v>
      </c>
      <c r="C14" s="37" t="s">
        <v>19</v>
      </c>
      <c r="D14" s="38" t="n">
        <v>4957.711</v>
      </c>
      <c r="E14" s="38" t="n">
        <v>3237.626</v>
      </c>
      <c r="F14" s="38" t="n">
        <v>719913.145</v>
      </c>
      <c r="G14" s="38" t="n">
        <v>7492192.016</v>
      </c>
      <c r="H14" s="39" t="str">
        <f aca="false">IF(AND(ABS(D14+Resumo!$C$6-F14)&lt;=0.01,ABS(E14+Resumo!$C$7-G14)&lt;=0.01),"OK","VERIFICAR")</f>
        <v>OK</v>
      </c>
      <c r="I14" s="39" t="s">
        <v>21</v>
      </c>
      <c r="J14" s="39" t="s">
        <v>22</v>
      </c>
      <c r="K14" s="40" t="n">
        <v>13.1</v>
      </c>
      <c r="L14" s="31" t="s">
        <v>72</v>
      </c>
      <c r="M14" s="32"/>
      <c r="N14" s="31" t="s">
        <v>72</v>
      </c>
      <c r="O14" s="32"/>
      <c r="P14" s="31" t="s">
        <v>72</v>
      </c>
      <c r="Q14" s="32"/>
      <c r="R14" s="31" t="s">
        <v>72</v>
      </c>
      <c r="S14" s="32"/>
      <c r="T14" s="41" t="n">
        <f aca="false">(COUNTIF(L14,"CONCLUÍDO")+COUNTIF(N14,"CONCLUÍDO")+COUNTIF(P14,"CONCLUÍDO")+COUNTIF(R14,"CONCLUÍDO"))/4</f>
        <v>0</v>
      </c>
      <c r="U14" s="34"/>
    </row>
    <row r="15" customFormat="false" ht="15" hidden="false" customHeight="false" outlineLevel="0" collapsed="false">
      <c r="A15" s="25" t="n">
        <v>7</v>
      </c>
      <c r="B15" s="26" t="s">
        <v>103</v>
      </c>
      <c r="C15" s="27" t="s">
        <v>19</v>
      </c>
      <c r="D15" s="28" t="n">
        <v>4956.211</v>
      </c>
      <c r="E15" s="28" t="n">
        <v>3236.124</v>
      </c>
      <c r="F15" s="28" t="n">
        <v>719911.645</v>
      </c>
      <c r="G15" s="28" t="n">
        <v>7492190.514</v>
      </c>
      <c r="H15" s="29" t="str">
        <f aca="false">IF(AND(ABS(D15+Resumo!$C$6-F15)&lt;=0.01,ABS(E15+Resumo!$C$7-G15)&lt;=0.01),"OK","VERIFICAR")</f>
        <v>OK</v>
      </c>
      <c r="I15" s="29" t="s">
        <v>21</v>
      </c>
      <c r="J15" s="29" t="s">
        <v>22</v>
      </c>
      <c r="K15" s="30" t="n">
        <v>13.1</v>
      </c>
      <c r="L15" s="31" t="s">
        <v>72</v>
      </c>
      <c r="M15" s="32"/>
      <c r="N15" s="31" t="s">
        <v>72</v>
      </c>
      <c r="O15" s="32"/>
      <c r="P15" s="31" t="s">
        <v>72</v>
      </c>
      <c r="Q15" s="32"/>
      <c r="R15" s="31" t="s">
        <v>72</v>
      </c>
      <c r="S15" s="32"/>
      <c r="T15" s="33" t="n">
        <f aca="false">(COUNTIF(L15,"CONCLUÍDO")+COUNTIF(N15,"CONCLUÍDO")+COUNTIF(P15,"CONCLUÍDO")+COUNTIF(R15,"CONCLUÍDO"))/4</f>
        <v>0</v>
      </c>
      <c r="U15" s="34"/>
    </row>
    <row r="16" customFormat="false" ht="15" hidden="false" customHeight="false" outlineLevel="0" collapsed="false">
      <c r="A16" s="35" t="n">
        <v>8</v>
      </c>
      <c r="B16" s="36" t="s">
        <v>104</v>
      </c>
      <c r="C16" s="37" t="s">
        <v>19</v>
      </c>
      <c r="D16" s="38" t="n">
        <v>4957.711</v>
      </c>
      <c r="E16" s="38" t="n">
        <v>3236.124</v>
      </c>
      <c r="F16" s="38" t="n">
        <v>719913.145</v>
      </c>
      <c r="G16" s="38" t="n">
        <v>7492190.514</v>
      </c>
      <c r="H16" s="39" t="str">
        <f aca="false">IF(AND(ABS(D16+Resumo!$C$6-F16)&lt;=0.01,ABS(E16+Resumo!$C$7-G16)&lt;=0.01),"OK","VERIFICAR")</f>
        <v>OK</v>
      </c>
      <c r="I16" s="39" t="s">
        <v>21</v>
      </c>
      <c r="J16" s="39" t="s">
        <v>22</v>
      </c>
      <c r="K16" s="40" t="n">
        <v>13.1</v>
      </c>
      <c r="L16" s="31" t="s">
        <v>72</v>
      </c>
      <c r="M16" s="32"/>
      <c r="N16" s="31" t="s">
        <v>72</v>
      </c>
      <c r="O16" s="32"/>
      <c r="P16" s="31" t="s">
        <v>72</v>
      </c>
      <c r="Q16" s="32"/>
      <c r="R16" s="31" t="s">
        <v>72</v>
      </c>
      <c r="S16" s="32"/>
      <c r="T16" s="41" t="n">
        <f aca="false">(COUNTIF(L16,"CONCLUÍDO")+COUNTIF(N16,"CONCLUÍDO")+COUNTIF(P16,"CONCLUÍDO")+COUNTIF(R16,"CONCLUÍDO"))/4</f>
        <v>0</v>
      </c>
      <c r="U16" s="34"/>
    </row>
    <row r="17" customFormat="false" ht="15" hidden="false" customHeight="false" outlineLevel="0" collapsed="false">
      <c r="A17" s="25" t="n">
        <v>9</v>
      </c>
      <c r="B17" s="26" t="s">
        <v>105</v>
      </c>
      <c r="C17" s="27" t="s">
        <v>19</v>
      </c>
      <c r="D17" s="28" t="n">
        <v>4966.211</v>
      </c>
      <c r="E17" s="28" t="n">
        <v>3237.626</v>
      </c>
      <c r="F17" s="28" t="n">
        <v>719921.645</v>
      </c>
      <c r="G17" s="28" t="n">
        <v>7492192.016</v>
      </c>
      <c r="H17" s="29" t="str">
        <f aca="false">IF(AND(ABS(D17+Resumo!$C$6-F17)&lt;=0.01,ABS(E17+Resumo!$C$7-G17)&lt;=0.01),"OK","VERIFICAR")</f>
        <v>OK</v>
      </c>
      <c r="I17" s="29" t="s">
        <v>21</v>
      </c>
      <c r="J17" s="29" t="s">
        <v>22</v>
      </c>
      <c r="K17" s="30" t="n">
        <v>13.1</v>
      </c>
      <c r="L17" s="31" t="s">
        <v>72</v>
      </c>
      <c r="M17" s="32"/>
      <c r="N17" s="31" t="s">
        <v>72</v>
      </c>
      <c r="O17" s="32"/>
      <c r="P17" s="31" t="s">
        <v>72</v>
      </c>
      <c r="Q17" s="32"/>
      <c r="R17" s="31" t="s">
        <v>72</v>
      </c>
      <c r="S17" s="32"/>
      <c r="T17" s="33" t="n">
        <f aca="false">(COUNTIF(L17,"CONCLUÍDO")+COUNTIF(N17,"CONCLUÍDO")+COUNTIF(P17,"CONCLUÍDO")+COUNTIF(R17,"CONCLUÍDO"))/4</f>
        <v>0</v>
      </c>
      <c r="U17" s="34"/>
    </row>
    <row r="18" customFormat="false" ht="15" hidden="false" customHeight="false" outlineLevel="0" collapsed="false">
      <c r="A18" s="35" t="n">
        <v>10</v>
      </c>
      <c r="B18" s="36" t="s">
        <v>106</v>
      </c>
      <c r="C18" s="37" t="s">
        <v>19</v>
      </c>
      <c r="D18" s="38" t="n">
        <v>4967.711</v>
      </c>
      <c r="E18" s="38" t="n">
        <v>3237.626</v>
      </c>
      <c r="F18" s="38" t="n">
        <v>719923.145</v>
      </c>
      <c r="G18" s="38" t="n">
        <v>7492192.016</v>
      </c>
      <c r="H18" s="39" t="str">
        <f aca="false">IF(AND(ABS(D18+Resumo!$C$6-F18)&lt;=0.01,ABS(E18+Resumo!$C$7-G18)&lt;=0.01),"OK","VERIFICAR")</f>
        <v>OK</v>
      </c>
      <c r="I18" s="39" t="s">
        <v>21</v>
      </c>
      <c r="J18" s="39" t="s">
        <v>22</v>
      </c>
      <c r="K18" s="40" t="n">
        <v>13.1</v>
      </c>
      <c r="L18" s="31" t="s">
        <v>72</v>
      </c>
      <c r="M18" s="32"/>
      <c r="N18" s="31" t="s">
        <v>72</v>
      </c>
      <c r="O18" s="32"/>
      <c r="P18" s="31" t="s">
        <v>72</v>
      </c>
      <c r="Q18" s="32"/>
      <c r="R18" s="31" t="s">
        <v>72</v>
      </c>
      <c r="S18" s="32"/>
      <c r="T18" s="41" t="n">
        <f aca="false">(COUNTIF(L18,"CONCLUÍDO")+COUNTIF(N18,"CONCLUÍDO")+COUNTIF(P18,"CONCLUÍDO")+COUNTIF(R18,"CONCLUÍDO"))/4</f>
        <v>0</v>
      </c>
      <c r="U18" s="34"/>
    </row>
    <row r="19" customFormat="false" ht="15" hidden="false" customHeight="false" outlineLevel="0" collapsed="false">
      <c r="A19" s="25" t="n">
        <v>11</v>
      </c>
      <c r="B19" s="26" t="s">
        <v>107</v>
      </c>
      <c r="C19" s="27" t="s">
        <v>19</v>
      </c>
      <c r="D19" s="28" t="n">
        <v>4966.211</v>
      </c>
      <c r="E19" s="28" t="n">
        <v>3236.124</v>
      </c>
      <c r="F19" s="28" t="n">
        <v>719921.645</v>
      </c>
      <c r="G19" s="28" t="n">
        <v>7492190.514</v>
      </c>
      <c r="H19" s="29" t="str">
        <f aca="false">IF(AND(ABS(D19+Resumo!$C$6-F19)&lt;=0.01,ABS(E19+Resumo!$C$7-G19)&lt;=0.01),"OK","VERIFICAR")</f>
        <v>OK</v>
      </c>
      <c r="I19" s="29" t="s">
        <v>21</v>
      </c>
      <c r="J19" s="29" t="s">
        <v>22</v>
      </c>
      <c r="K19" s="30" t="n">
        <v>13.1</v>
      </c>
      <c r="L19" s="31" t="s">
        <v>72</v>
      </c>
      <c r="M19" s="32"/>
      <c r="N19" s="31" t="s">
        <v>72</v>
      </c>
      <c r="O19" s="32"/>
      <c r="P19" s="31" t="s">
        <v>72</v>
      </c>
      <c r="Q19" s="32"/>
      <c r="R19" s="31" t="s">
        <v>72</v>
      </c>
      <c r="S19" s="32"/>
      <c r="T19" s="33" t="n">
        <f aca="false">(COUNTIF(L19,"CONCLUÍDO")+COUNTIF(N19,"CONCLUÍDO")+COUNTIF(P19,"CONCLUÍDO")+COUNTIF(R19,"CONCLUÍDO"))/4</f>
        <v>0</v>
      </c>
      <c r="U19" s="34"/>
    </row>
    <row r="20" customFormat="false" ht="15" hidden="false" customHeight="false" outlineLevel="0" collapsed="false">
      <c r="A20" s="35" t="n">
        <v>12</v>
      </c>
      <c r="B20" s="36" t="s">
        <v>108</v>
      </c>
      <c r="C20" s="37" t="s">
        <v>19</v>
      </c>
      <c r="D20" s="38" t="n">
        <v>4967.711</v>
      </c>
      <c r="E20" s="38" t="n">
        <v>3236.124</v>
      </c>
      <c r="F20" s="38" t="n">
        <v>719923.145</v>
      </c>
      <c r="G20" s="38" t="n">
        <v>7492190.514</v>
      </c>
      <c r="H20" s="39" t="str">
        <f aca="false">IF(AND(ABS(D20+Resumo!$C$6-F20)&lt;=0.01,ABS(E20+Resumo!$C$7-G20)&lt;=0.01),"OK","VERIFICAR")</f>
        <v>OK</v>
      </c>
      <c r="I20" s="39" t="s">
        <v>21</v>
      </c>
      <c r="J20" s="39" t="s">
        <v>22</v>
      </c>
      <c r="K20" s="40" t="n">
        <v>13.1</v>
      </c>
      <c r="L20" s="31" t="s">
        <v>72</v>
      </c>
      <c r="M20" s="32"/>
      <c r="N20" s="31" t="s">
        <v>72</v>
      </c>
      <c r="O20" s="32"/>
      <c r="P20" s="31" t="s">
        <v>72</v>
      </c>
      <c r="Q20" s="32"/>
      <c r="R20" s="31" t="s">
        <v>72</v>
      </c>
      <c r="S20" s="32"/>
      <c r="T20" s="41" t="n">
        <f aca="false">(COUNTIF(L20,"CONCLUÍDO")+COUNTIF(N20,"CONCLUÍDO")+COUNTIF(P20,"CONCLUÍDO")+COUNTIF(R20,"CONCLUÍDO"))/4</f>
        <v>0</v>
      </c>
      <c r="U20" s="34"/>
    </row>
    <row r="21" customFormat="false" ht="15" hidden="false" customHeight="false" outlineLevel="0" collapsed="false">
      <c r="A21" s="25" t="n">
        <v>13</v>
      </c>
      <c r="B21" s="26" t="s">
        <v>109</v>
      </c>
      <c r="C21" s="27" t="s">
        <v>19</v>
      </c>
      <c r="D21" s="28" t="n">
        <v>4976.211</v>
      </c>
      <c r="E21" s="28" t="n">
        <v>3237.626</v>
      </c>
      <c r="F21" s="28" t="n">
        <v>719931.645</v>
      </c>
      <c r="G21" s="28" t="n">
        <v>7492192.016</v>
      </c>
      <c r="H21" s="29" t="str">
        <f aca="false">IF(AND(ABS(D21+Resumo!$C$6-F21)&lt;=0.01,ABS(E21+Resumo!$C$7-G21)&lt;=0.01),"OK","VERIFICAR")</f>
        <v>OK</v>
      </c>
      <c r="I21" s="29" t="s">
        <v>21</v>
      </c>
      <c r="J21" s="29" t="s">
        <v>22</v>
      </c>
      <c r="K21" s="30" t="n">
        <v>13.1</v>
      </c>
      <c r="L21" s="31" t="s">
        <v>72</v>
      </c>
      <c r="M21" s="32"/>
      <c r="N21" s="31" t="s">
        <v>72</v>
      </c>
      <c r="O21" s="32"/>
      <c r="P21" s="31" t="s">
        <v>72</v>
      </c>
      <c r="Q21" s="32"/>
      <c r="R21" s="31" t="s">
        <v>72</v>
      </c>
      <c r="S21" s="32"/>
      <c r="T21" s="33" t="n">
        <f aca="false">(COUNTIF(L21,"CONCLUÍDO")+COUNTIF(N21,"CONCLUÍDO")+COUNTIF(P21,"CONCLUÍDO")+COUNTIF(R21,"CONCLUÍDO"))/4</f>
        <v>0</v>
      </c>
      <c r="U21" s="34"/>
    </row>
    <row r="22" customFormat="false" ht="15" hidden="false" customHeight="false" outlineLevel="0" collapsed="false">
      <c r="A22" s="35" t="n">
        <v>14</v>
      </c>
      <c r="B22" s="36" t="s">
        <v>110</v>
      </c>
      <c r="C22" s="37" t="s">
        <v>19</v>
      </c>
      <c r="D22" s="38" t="n">
        <v>4977.711</v>
      </c>
      <c r="E22" s="38" t="n">
        <v>3237.626</v>
      </c>
      <c r="F22" s="38" t="n">
        <v>719933.145</v>
      </c>
      <c r="G22" s="38" t="n">
        <v>7492192.016</v>
      </c>
      <c r="H22" s="39" t="str">
        <f aca="false">IF(AND(ABS(D22+Resumo!$C$6-F22)&lt;=0.01,ABS(E22+Resumo!$C$7-G22)&lt;=0.01),"OK","VERIFICAR")</f>
        <v>OK</v>
      </c>
      <c r="I22" s="39" t="s">
        <v>21</v>
      </c>
      <c r="J22" s="39" t="s">
        <v>22</v>
      </c>
      <c r="K22" s="40" t="n">
        <v>13.1</v>
      </c>
      <c r="L22" s="31" t="s">
        <v>72</v>
      </c>
      <c r="M22" s="32"/>
      <c r="N22" s="31" t="s">
        <v>72</v>
      </c>
      <c r="O22" s="32"/>
      <c r="P22" s="31" t="s">
        <v>72</v>
      </c>
      <c r="Q22" s="32"/>
      <c r="R22" s="31" t="s">
        <v>72</v>
      </c>
      <c r="S22" s="32"/>
      <c r="T22" s="41" t="n">
        <f aca="false">(COUNTIF(L22,"CONCLUÍDO")+COUNTIF(N22,"CONCLUÍDO")+COUNTIF(P22,"CONCLUÍDO")+COUNTIF(R22,"CONCLUÍDO"))/4</f>
        <v>0</v>
      </c>
      <c r="U22" s="34"/>
    </row>
    <row r="23" customFormat="false" ht="15" hidden="false" customHeight="false" outlineLevel="0" collapsed="false">
      <c r="A23" s="25" t="n">
        <v>15</v>
      </c>
      <c r="B23" s="26" t="s">
        <v>111</v>
      </c>
      <c r="C23" s="27" t="s">
        <v>19</v>
      </c>
      <c r="D23" s="28" t="n">
        <v>4976.211</v>
      </c>
      <c r="E23" s="28" t="n">
        <v>3236.124</v>
      </c>
      <c r="F23" s="28" t="n">
        <v>719931.645</v>
      </c>
      <c r="G23" s="28" t="n">
        <v>7492190.514</v>
      </c>
      <c r="H23" s="29" t="str">
        <f aca="false">IF(AND(ABS(D23+Resumo!$C$6-F23)&lt;=0.01,ABS(E23+Resumo!$C$7-G23)&lt;=0.01),"OK","VERIFICAR")</f>
        <v>OK</v>
      </c>
      <c r="I23" s="29" t="s">
        <v>21</v>
      </c>
      <c r="J23" s="29" t="s">
        <v>22</v>
      </c>
      <c r="K23" s="30" t="n">
        <v>13.1</v>
      </c>
      <c r="L23" s="31" t="s">
        <v>72</v>
      </c>
      <c r="M23" s="32"/>
      <c r="N23" s="31" t="s">
        <v>72</v>
      </c>
      <c r="O23" s="32"/>
      <c r="P23" s="31" t="s">
        <v>72</v>
      </c>
      <c r="Q23" s="32"/>
      <c r="R23" s="31" t="s">
        <v>72</v>
      </c>
      <c r="S23" s="32"/>
      <c r="T23" s="33" t="n">
        <f aca="false">(COUNTIF(L23,"CONCLUÍDO")+COUNTIF(N23,"CONCLUÍDO")+COUNTIF(P23,"CONCLUÍDO")+COUNTIF(R23,"CONCLUÍDO"))/4</f>
        <v>0</v>
      </c>
      <c r="U23" s="34"/>
    </row>
    <row r="24" customFormat="false" ht="15" hidden="false" customHeight="false" outlineLevel="0" collapsed="false">
      <c r="A24" s="35" t="n">
        <v>16</v>
      </c>
      <c r="B24" s="36" t="s">
        <v>112</v>
      </c>
      <c r="C24" s="37" t="s">
        <v>19</v>
      </c>
      <c r="D24" s="38" t="n">
        <v>4977.711</v>
      </c>
      <c r="E24" s="38" t="n">
        <v>3236.124</v>
      </c>
      <c r="F24" s="38" t="n">
        <v>719933.145</v>
      </c>
      <c r="G24" s="38" t="n">
        <v>7492190.514</v>
      </c>
      <c r="H24" s="39" t="str">
        <f aca="false">IF(AND(ABS(D24+Resumo!$C$6-F24)&lt;=0.01,ABS(E24+Resumo!$C$7-G24)&lt;=0.01),"OK","VERIFICAR")</f>
        <v>OK</v>
      </c>
      <c r="I24" s="39" t="s">
        <v>21</v>
      </c>
      <c r="J24" s="39" t="s">
        <v>22</v>
      </c>
      <c r="K24" s="40" t="n">
        <v>13.1</v>
      </c>
      <c r="L24" s="31" t="s">
        <v>72</v>
      </c>
      <c r="M24" s="32"/>
      <c r="N24" s="31" t="s">
        <v>72</v>
      </c>
      <c r="O24" s="32"/>
      <c r="P24" s="31" t="s">
        <v>72</v>
      </c>
      <c r="Q24" s="32"/>
      <c r="R24" s="31" t="s">
        <v>72</v>
      </c>
      <c r="S24" s="32"/>
      <c r="T24" s="41" t="n">
        <f aca="false">(COUNTIF(L24,"CONCLUÍDO")+COUNTIF(N24,"CONCLUÍDO")+COUNTIF(P24,"CONCLUÍDO")+COUNTIF(R24,"CONCLUÍDO"))/4</f>
        <v>0</v>
      </c>
      <c r="U24" s="34"/>
    </row>
    <row r="25" customFormat="false" ht="15" hidden="false" customHeight="false" outlineLevel="0" collapsed="false">
      <c r="A25" s="25" t="n">
        <v>17</v>
      </c>
      <c r="B25" s="26" t="s">
        <v>113</v>
      </c>
      <c r="C25" s="27" t="s">
        <v>19</v>
      </c>
      <c r="D25" s="28" t="n">
        <v>4986.211</v>
      </c>
      <c r="E25" s="28" t="n">
        <v>3237.626</v>
      </c>
      <c r="F25" s="28" t="n">
        <v>719941.645</v>
      </c>
      <c r="G25" s="28" t="n">
        <v>7492192.016</v>
      </c>
      <c r="H25" s="29" t="str">
        <f aca="false">IF(AND(ABS(D25+Resumo!$C$6-F25)&lt;=0.01,ABS(E25+Resumo!$C$7-G25)&lt;=0.01),"OK","VERIFICAR")</f>
        <v>OK</v>
      </c>
      <c r="I25" s="29" t="s">
        <v>21</v>
      </c>
      <c r="J25" s="29" t="s">
        <v>22</v>
      </c>
      <c r="K25" s="30" t="n">
        <v>13.1</v>
      </c>
      <c r="L25" s="31" t="s">
        <v>72</v>
      </c>
      <c r="M25" s="32"/>
      <c r="N25" s="31" t="s">
        <v>72</v>
      </c>
      <c r="O25" s="32"/>
      <c r="P25" s="31" t="s">
        <v>72</v>
      </c>
      <c r="Q25" s="32"/>
      <c r="R25" s="31" t="s">
        <v>72</v>
      </c>
      <c r="S25" s="32"/>
      <c r="T25" s="33" t="n">
        <f aca="false">(COUNTIF(L25,"CONCLUÍDO")+COUNTIF(N25,"CONCLUÍDO")+COUNTIF(P25,"CONCLUÍDO")+COUNTIF(R25,"CONCLUÍDO"))/4</f>
        <v>0</v>
      </c>
      <c r="U25" s="34"/>
    </row>
    <row r="26" customFormat="false" ht="15" hidden="false" customHeight="false" outlineLevel="0" collapsed="false">
      <c r="A26" s="35" t="n">
        <v>18</v>
      </c>
      <c r="B26" s="36" t="s">
        <v>114</v>
      </c>
      <c r="C26" s="37" t="s">
        <v>19</v>
      </c>
      <c r="D26" s="38" t="n">
        <v>4987.711</v>
      </c>
      <c r="E26" s="38" t="n">
        <v>3237.626</v>
      </c>
      <c r="F26" s="38" t="n">
        <v>719943.145</v>
      </c>
      <c r="G26" s="38" t="n">
        <v>7492192.016</v>
      </c>
      <c r="H26" s="39" t="str">
        <f aca="false">IF(AND(ABS(D26+Resumo!$C$6-F26)&lt;=0.01,ABS(E26+Resumo!$C$7-G26)&lt;=0.01),"OK","VERIFICAR")</f>
        <v>OK</v>
      </c>
      <c r="I26" s="39" t="s">
        <v>21</v>
      </c>
      <c r="J26" s="39" t="s">
        <v>22</v>
      </c>
      <c r="K26" s="40" t="n">
        <v>13.1</v>
      </c>
      <c r="L26" s="31" t="s">
        <v>72</v>
      </c>
      <c r="M26" s="32"/>
      <c r="N26" s="31" t="s">
        <v>72</v>
      </c>
      <c r="O26" s="32"/>
      <c r="P26" s="31" t="s">
        <v>72</v>
      </c>
      <c r="Q26" s="32"/>
      <c r="R26" s="31" t="s">
        <v>72</v>
      </c>
      <c r="S26" s="32"/>
      <c r="T26" s="41" t="n">
        <f aca="false">(COUNTIF(L26,"CONCLUÍDO")+COUNTIF(N26,"CONCLUÍDO")+COUNTIF(P26,"CONCLUÍDO")+COUNTIF(R26,"CONCLUÍDO"))/4</f>
        <v>0</v>
      </c>
      <c r="U26" s="34"/>
    </row>
    <row r="27" customFormat="false" ht="15" hidden="false" customHeight="false" outlineLevel="0" collapsed="false">
      <c r="A27" s="25" t="n">
        <v>19</v>
      </c>
      <c r="B27" s="26" t="s">
        <v>115</v>
      </c>
      <c r="C27" s="27" t="s">
        <v>19</v>
      </c>
      <c r="D27" s="28" t="n">
        <v>4986.061</v>
      </c>
      <c r="E27" s="28" t="n">
        <v>3236.124</v>
      </c>
      <c r="F27" s="28" t="n">
        <v>719941.495</v>
      </c>
      <c r="G27" s="28" t="n">
        <v>7492190.514</v>
      </c>
      <c r="H27" s="29" t="str">
        <f aca="false">IF(AND(ABS(D27+Resumo!$C$6-F27)&lt;=0.01,ABS(E27+Resumo!$C$7-G27)&lt;=0.01),"OK","VERIFICAR")</f>
        <v>OK</v>
      </c>
      <c r="I27" s="29" t="s">
        <v>21</v>
      </c>
      <c r="J27" s="29" t="s">
        <v>22</v>
      </c>
      <c r="K27" s="30" t="n">
        <v>13.1</v>
      </c>
      <c r="L27" s="31" t="s">
        <v>72</v>
      </c>
      <c r="M27" s="32"/>
      <c r="N27" s="31" t="s">
        <v>72</v>
      </c>
      <c r="O27" s="32"/>
      <c r="P27" s="31" t="s">
        <v>72</v>
      </c>
      <c r="Q27" s="32"/>
      <c r="R27" s="31" t="s">
        <v>72</v>
      </c>
      <c r="S27" s="32"/>
      <c r="T27" s="33" t="n">
        <f aca="false">(COUNTIF(L27,"CONCLUÍDO")+COUNTIF(N27,"CONCLUÍDO")+COUNTIF(P27,"CONCLUÍDO")+COUNTIF(R27,"CONCLUÍDO"))/4</f>
        <v>0</v>
      </c>
      <c r="U27" s="34"/>
    </row>
    <row r="28" customFormat="false" ht="15" hidden="false" customHeight="false" outlineLevel="0" collapsed="false">
      <c r="A28" s="35" t="n">
        <v>20</v>
      </c>
      <c r="B28" s="36" t="s">
        <v>116</v>
      </c>
      <c r="C28" s="37" t="s">
        <v>19</v>
      </c>
      <c r="D28" s="38" t="n">
        <v>4987.711</v>
      </c>
      <c r="E28" s="38" t="n">
        <v>3236.124</v>
      </c>
      <c r="F28" s="38" t="n">
        <v>719943.145</v>
      </c>
      <c r="G28" s="38" t="n">
        <v>7492190.514</v>
      </c>
      <c r="H28" s="39" t="str">
        <f aca="false">IF(AND(ABS(D28+Resumo!$C$6-F28)&lt;=0.01,ABS(E28+Resumo!$C$7-G28)&lt;=0.01),"OK","VERIFICAR")</f>
        <v>OK</v>
      </c>
      <c r="I28" s="39" t="s">
        <v>21</v>
      </c>
      <c r="J28" s="39" t="s">
        <v>22</v>
      </c>
      <c r="K28" s="40" t="n">
        <v>13.1</v>
      </c>
      <c r="L28" s="31" t="s">
        <v>72</v>
      </c>
      <c r="M28" s="32"/>
      <c r="N28" s="31" t="s">
        <v>72</v>
      </c>
      <c r="O28" s="32"/>
      <c r="P28" s="31" t="s">
        <v>72</v>
      </c>
      <c r="Q28" s="32"/>
      <c r="R28" s="31" t="s">
        <v>72</v>
      </c>
      <c r="S28" s="32"/>
      <c r="T28" s="41" t="n">
        <f aca="false">(COUNTIF(L28,"CONCLUÍDO")+COUNTIF(N28,"CONCLUÍDO")+COUNTIF(P28,"CONCLUÍDO")+COUNTIF(R28,"CONCLUÍDO"))/4</f>
        <v>0</v>
      </c>
      <c r="U28" s="34"/>
    </row>
    <row r="29" customFormat="false" ht="15" hidden="false" customHeight="false" outlineLevel="0" collapsed="false">
      <c r="A29" s="25" t="n">
        <v>21</v>
      </c>
      <c r="B29" s="26" t="s">
        <v>117</v>
      </c>
      <c r="C29" s="27" t="s">
        <v>19</v>
      </c>
      <c r="D29" s="28" t="n">
        <v>4996.211</v>
      </c>
      <c r="E29" s="28" t="n">
        <v>3237.626</v>
      </c>
      <c r="F29" s="28" t="n">
        <v>719951.645</v>
      </c>
      <c r="G29" s="28" t="n">
        <v>7492192.016</v>
      </c>
      <c r="H29" s="29" t="str">
        <f aca="false">IF(AND(ABS(D29+Resumo!$C$6-F29)&lt;=0.01,ABS(E29+Resumo!$C$7-G29)&lt;=0.01),"OK","VERIFICAR")</f>
        <v>OK</v>
      </c>
      <c r="I29" s="29" t="s">
        <v>21</v>
      </c>
      <c r="J29" s="29" t="s">
        <v>22</v>
      </c>
      <c r="K29" s="30" t="n">
        <v>13.1</v>
      </c>
      <c r="L29" s="31" t="s">
        <v>72</v>
      </c>
      <c r="M29" s="32"/>
      <c r="N29" s="31" t="s">
        <v>72</v>
      </c>
      <c r="O29" s="32"/>
      <c r="P29" s="31" t="s">
        <v>72</v>
      </c>
      <c r="Q29" s="32"/>
      <c r="R29" s="31" t="s">
        <v>72</v>
      </c>
      <c r="S29" s="32"/>
      <c r="T29" s="33" t="n">
        <f aca="false">(COUNTIF(L29,"CONCLUÍDO")+COUNTIF(N29,"CONCLUÍDO")+COUNTIF(P29,"CONCLUÍDO")+COUNTIF(R29,"CONCLUÍDO"))/4</f>
        <v>0</v>
      </c>
      <c r="U29" s="34"/>
    </row>
    <row r="30" customFormat="false" ht="15" hidden="false" customHeight="false" outlineLevel="0" collapsed="false">
      <c r="A30" s="35" t="n">
        <v>22</v>
      </c>
      <c r="B30" s="36" t="s">
        <v>118</v>
      </c>
      <c r="C30" s="37" t="s">
        <v>19</v>
      </c>
      <c r="D30" s="38" t="n">
        <v>4997.711</v>
      </c>
      <c r="E30" s="38" t="n">
        <v>3237.626</v>
      </c>
      <c r="F30" s="38" t="n">
        <v>719953.145</v>
      </c>
      <c r="G30" s="38" t="n">
        <v>7492192.016</v>
      </c>
      <c r="H30" s="39" t="str">
        <f aca="false">IF(AND(ABS(D30+Resumo!$C$6-F30)&lt;=0.01,ABS(E30+Resumo!$C$7-G30)&lt;=0.01),"OK","VERIFICAR")</f>
        <v>OK</v>
      </c>
      <c r="I30" s="39" t="s">
        <v>21</v>
      </c>
      <c r="J30" s="39" t="s">
        <v>22</v>
      </c>
      <c r="K30" s="40" t="n">
        <v>13.1</v>
      </c>
      <c r="L30" s="31" t="s">
        <v>72</v>
      </c>
      <c r="M30" s="32"/>
      <c r="N30" s="31" t="s">
        <v>72</v>
      </c>
      <c r="O30" s="32"/>
      <c r="P30" s="31" t="s">
        <v>72</v>
      </c>
      <c r="Q30" s="32"/>
      <c r="R30" s="31" t="s">
        <v>72</v>
      </c>
      <c r="S30" s="32"/>
      <c r="T30" s="41" t="n">
        <f aca="false">(COUNTIF(L30,"CONCLUÍDO")+COUNTIF(N30,"CONCLUÍDO")+COUNTIF(P30,"CONCLUÍDO")+COUNTIF(R30,"CONCLUÍDO"))/4</f>
        <v>0</v>
      </c>
      <c r="U30" s="34"/>
    </row>
    <row r="31" customFormat="false" ht="15" hidden="false" customHeight="false" outlineLevel="0" collapsed="false">
      <c r="A31" s="25" t="n">
        <v>23</v>
      </c>
      <c r="B31" s="26" t="s">
        <v>119</v>
      </c>
      <c r="C31" s="27" t="s">
        <v>19</v>
      </c>
      <c r="D31" s="28" t="n">
        <v>4996.211</v>
      </c>
      <c r="E31" s="28" t="n">
        <v>3236.124</v>
      </c>
      <c r="F31" s="28" t="n">
        <v>719951.645</v>
      </c>
      <c r="G31" s="28" t="n">
        <v>7492190.514</v>
      </c>
      <c r="H31" s="29" t="str">
        <f aca="false">IF(AND(ABS(D31+Resumo!$C$6-F31)&lt;=0.01,ABS(E31+Resumo!$C$7-G31)&lt;=0.01),"OK","VERIFICAR")</f>
        <v>OK</v>
      </c>
      <c r="I31" s="29" t="s">
        <v>21</v>
      </c>
      <c r="J31" s="29" t="s">
        <v>22</v>
      </c>
      <c r="K31" s="30" t="n">
        <v>13.1</v>
      </c>
      <c r="L31" s="31" t="s">
        <v>72</v>
      </c>
      <c r="M31" s="32"/>
      <c r="N31" s="31" t="s">
        <v>72</v>
      </c>
      <c r="O31" s="32"/>
      <c r="P31" s="31" t="s">
        <v>72</v>
      </c>
      <c r="Q31" s="32"/>
      <c r="R31" s="31" t="s">
        <v>72</v>
      </c>
      <c r="S31" s="32"/>
      <c r="T31" s="33" t="n">
        <f aca="false">(COUNTIF(L31,"CONCLUÍDO")+COUNTIF(N31,"CONCLUÍDO")+COUNTIF(P31,"CONCLUÍDO")+COUNTIF(R31,"CONCLUÍDO"))/4</f>
        <v>0</v>
      </c>
      <c r="U31" s="34"/>
    </row>
    <row r="32" customFormat="false" ht="15" hidden="false" customHeight="false" outlineLevel="0" collapsed="false">
      <c r="A32" s="35" t="n">
        <v>24</v>
      </c>
      <c r="B32" s="36" t="s">
        <v>120</v>
      </c>
      <c r="C32" s="37" t="s">
        <v>19</v>
      </c>
      <c r="D32" s="38" t="n">
        <v>4997.711</v>
      </c>
      <c r="E32" s="38" t="n">
        <v>3236.124</v>
      </c>
      <c r="F32" s="38" t="n">
        <v>719953.145</v>
      </c>
      <c r="G32" s="38" t="n">
        <v>7492190.514</v>
      </c>
      <c r="H32" s="39" t="str">
        <f aca="false">IF(AND(ABS(D32+Resumo!$C$6-F32)&lt;=0.01,ABS(E32+Resumo!$C$7-G32)&lt;=0.01),"OK","VERIFICAR")</f>
        <v>OK</v>
      </c>
      <c r="I32" s="39" t="s">
        <v>21</v>
      </c>
      <c r="J32" s="39" t="s">
        <v>22</v>
      </c>
      <c r="K32" s="40" t="n">
        <v>13.1</v>
      </c>
      <c r="L32" s="31" t="s">
        <v>72</v>
      </c>
      <c r="M32" s="32"/>
      <c r="N32" s="31" t="s">
        <v>72</v>
      </c>
      <c r="O32" s="32"/>
      <c r="P32" s="31" t="s">
        <v>72</v>
      </c>
      <c r="Q32" s="32"/>
      <c r="R32" s="31" t="s">
        <v>72</v>
      </c>
      <c r="S32" s="32"/>
      <c r="T32" s="41" t="n">
        <f aca="false">(COUNTIF(L32,"CONCLUÍDO")+COUNTIF(N32,"CONCLUÍDO")+COUNTIF(P32,"CONCLUÍDO")+COUNTIF(R32,"CONCLUÍDO"))/4</f>
        <v>0</v>
      </c>
      <c r="U32" s="34"/>
    </row>
    <row r="33" customFormat="false" ht="15" hidden="false" customHeight="false" outlineLevel="0" collapsed="false">
      <c r="A33" s="25" t="n">
        <v>25</v>
      </c>
      <c r="B33" s="26" t="s">
        <v>121</v>
      </c>
      <c r="C33" s="27" t="s">
        <v>19</v>
      </c>
      <c r="D33" s="28" t="n">
        <v>5006.211</v>
      </c>
      <c r="E33" s="28" t="n">
        <v>3237.626</v>
      </c>
      <c r="F33" s="28" t="n">
        <v>719961.645</v>
      </c>
      <c r="G33" s="28" t="n">
        <v>7492192.016</v>
      </c>
      <c r="H33" s="29" t="str">
        <f aca="false">IF(AND(ABS(D33+Resumo!$C$6-F33)&lt;=0.01,ABS(E33+Resumo!$C$7-G33)&lt;=0.01),"OK","VERIFICAR")</f>
        <v>OK</v>
      </c>
      <c r="I33" s="29" t="s">
        <v>21</v>
      </c>
      <c r="J33" s="29" t="s">
        <v>22</v>
      </c>
      <c r="K33" s="30" t="n">
        <v>13.1</v>
      </c>
      <c r="L33" s="31" t="s">
        <v>72</v>
      </c>
      <c r="M33" s="32"/>
      <c r="N33" s="31" t="s">
        <v>72</v>
      </c>
      <c r="O33" s="32"/>
      <c r="P33" s="31" t="s">
        <v>72</v>
      </c>
      <c r="Q33" s="32"/>
      <c r="R33" s="31" t="s">
        <v>72</v>
      </c>
      <c r="S33" s="32"/>
      <c r="T33" s="33" t="n">
        <f aca="false">(COUNTIF(L33,"CONCLUÍDO")+COUNTIF(N33,"CONCLUÍDO")+COUNTIF(P33,"CONCLUÍDO")+COUNTIF(R33,"CONCLUÍDO"))/4</f>
        <v>0</v>
      </c>
      <c r="U33" s="34"/>
    </row>
    <row r="34" customFormat="false" ht="15" hidden="false" customHeight="false" outlineLevel="0" collapsed="false">
      <c r="A34" s="35" t="n">
        <v>26</v>
      </c>
      <c r="B34" s="36" t="s">
        <v>122</v>
      </c>
      <c r="C34" s="37" t="s">
        <v>19</v>
      </c>
      <c r="D34" s="38" t="n">
        <v>5007.711</v>
      </c>
      <c r="E34" s="38" t="n">
        <v>3237.626</v>
      </c>
      <c r="F34" s="38" t="n">
        <v>719963.145</v>
      </c>
      <c r="G34" s="38" t="n">
        <v>7492192.016</v>
      </c>
      <c r="H34" s="39" t="str">
        <f aca="false">IF(AND(ABS(D34+Resumo!$C$6-F34)&lt;=0.01,ABS(E34+Resumo!$C$7-G34)&lt;=0.01),"OK","VERIFICAR")</f>
        <v>OK</v>
      </c>
      <c r="I34" s="39" t="s">
        <v>21</v>
      </c>
      <c r="J34" s="39" t="s">
        <v>22</v>
      </c>
      <c r="K34" s="40" t="n">
        <v>13.1</v>
      </c>
      <c r="L34" s="31" t="s">
        <v>72</v>
      </c>
      <c r="M34" s="32"/>
      <c r="N34" s="31" t="s">
        <v>72</v>
      </c>
      <c r="O34" s="32"/>
      <c r="P34" s="31" t="s">
        <v>72</v>
      </c>
      <c r="Q34" s="32"/>
      <c r="R34" s="31" t="s">
        <v>72</v>
      </c>
      <c r="S34" s="32"/>
      <c r="T34" s="41" t="n">
        <f aca="false">(COUNTIF(L34,"CONCLUÍDO")+COUNTIF(N34,"CONCLUÍDO")+COUNTIF(P34,"CONCLUÍDO")+COUNTIF(R34,"CONCLUÍDO"))/4</f>
        <v>0</v>
      </c>
      <c r="U34" s="34"/>
    </row>
    <row r="35" customFormat="false" ht="15" hidden="false" customHeight="false" outlineLevel="0" collapsed="false">
      <c r="A35" s="25" t="n">
        <v>27</v>
      </c>
      <c r="B35" s="26" t="s">
        <v>123</v>
      </c>
      <c r="C35" s="27" t="s">
        <v>19</v>
      </c>
      <c r="D35" s="28" t="n">
        <v>5006.211</v>
      </c>
      <c r="E35" s="28" t="n">
        <v>3236.124</v>
      </c>
      <c r="F35" s="28" t="n">
        <v>719961.645</v>
      </c>
      <c r="G35" s="28" t="n">
        <v>7492190.514</v>
      </c>
      <c r="H35" s="29" t="str">
        <f aca="false">IF(AND(ABS(D35+Resumo!$C$6-F35)&lt;=0.01,ABS(E35+Resumo!$C$7-G35)&lt;=0.01),"OK","VERIFICAR")</f>
        <v>OK</v>
      </c>
      <c r="I35" s="29" t="s">
        <v>21</v>
      </c>
      <c r="J35" s="29" t="s">
        <v>22</v>
      </c>
      <c r="K35" s="30" t="n">
        <v>13.1</v>
      </c>
      <c r="L35" s="31" t="s">
        <v>72</v>
      </c>
      <c r="M35" s="32"/>
      <c r="N35" s="31" t="s">
        <v>72</v>
      </c>
      <c r="O35" s="32"/>
      <c r="P35" s="31" t="s">
        <v>72</v>
      </c>
      <c r="Q35" s="32"/>
      <c r="R35" s="31" t="s">
        <v>72</v>
      </c>
      <c r="S35" s="32"/>
      <c r="T35" s="33" t="n">
        <f aca="false">(COUNTIF(L35,"CONCLUÍDO")+COUNTIF(N35,"CONCLUÍDO")+COUNTIF(P35,"CONCLUÍDO")+COUNTIF(R35,"CONCLUÍDO"))/4</f>
        <v>0</v>
      </c>
      <c r="U35" s="34"/>
    </row>
    <row r="36" customFormat="false" ht="15" hidden="false" customHeight="false" outlineLevel="0" collapsed="false">
      <c r="A36" s="35" t="n">
        <v>28</v>
      </c>
      <c r="B36" s="36" t="s">
        <v>124</v>
      </c>
      <c r="C36" s="37" t="s">
        <v>19</v>
      </c>
      <c r="D36" s="38" t="n">
        <v>5007.711</v>
      </c>
      <c r="E36" s="38" t="n">
        <v>3236.124</v>
      </c>
      <c r="F36" s="38" t="n">
        <v>719963.145</v>
      </c>
      <c r="G36" s="38" t="n">
        <v>7492190.514</v>
      </c>
      <c r="H36" s="39" t="str">
        <f aca="false">IF(AND(ABS(D36+Resumo!$C$6-F36)&lt;=0.01,ABS(E36+Resumo!$C$7-G36)&lt;=0.01),"OK","VERIFICAR")</f>
        <v>OK</v>
      </c>
      <c r="I36" s="39" t="s">
        <v>21</v>
      </c>
      <c r="J36" s="39" t="s">
        <v>22</v>
      </c>
      <c r="K36" s="40" t="n">
        <v>13.1</v>
      </c>
      <c r="L36" s="31" t="s">
        <v>72</v>
      </c>
      <c r="M36" s="32"/>
      <c r="N36" s="31" t="s">
        <v>72</v>
      </c>
      <c r="O36" s="32"/>
      <c r="P36" s="31" t="s">
        <v>72</v>
      </c>
      <c r="Q36" s="32"/>
      <c r="R36" s="31" t="s">
        <v>72</v>
      </c>
      <c r="S36" s="32"/>
      <c r="T36" s="41" t="n">
        <f aca="false">(COUNTIF(L36,"CONCLUÍDO")+COUNTIF(N36,"CONCLUÍDO")+COUNTIF(P36,"CONCLUÍDO")+COUNTIF(R36,"CONCLUÍDO"))/4</f>
        <v>0</v>
      </c>
      <c r="U36" s="34"/>
    </row>
    <row r="37" customFormat="false" ht="15" hidden="false" customHeight="false" outlineLevel="0" collapsed="false">
      <c r="A37" s="25" t="n">
        <v>29</v>
      </c>
      <c r="B37" s="26" t="s">
        <v>125</v>
      </c>
      <c r="C37" s="27" t="s">
        <v>19</v>
      </c>
      <c r="D37" s="28" t="n">
        <v>5018.211</v>
      </c>
      <c r="E37" s="28" t="n">
        <v>3237.626</v>
      </c>
      <c r="F37" s="28" t="n">
        <v>719973.645</v>
      </c>
      <c r="G37" s="28" t="n">
        <v>7492192.016</v>
      </c>
      <c r="H37" s="29" t="str">
        <f aca="false">IF(AND(ABS(D37+Resumo!$C$6-F37)&lt;=0.01,ABS(E37+Resumo!$C$7-G37)&lt;=0.01),"OK","VERIFICAR")</f>
        <v>OK</v>
      </c>
      <c r="I37" s="29" t="s">
        <v>21</v>
      </c>
      <c r="J37" s="29" t="s">
        <v>22</v>
      </c>
      <c r="K37" s="30" t="n">
        <v>13.1</v>
      </c>
      <c r="L37" s="31" t="s">
        <v>72</v>
      </c>
      <c r="M37" s="32"/>
      <c r="N37" s="31" t="s">
        <v>72</v>
      </c>
      <c r="O37" s="32"/>
      <c r="P37" s="31" t="s">
        <v>72</v>
      </c>
      <c r="Q37" s="32"/>
      <c r="R37" s="31" t="s">
        <v>72</v>
      </c>
      <c r="S37" s="32"/>
      <c r="T37" s="33" t="n">
        <f aca="false">(COUNTIF(L37,"CONCLUÍDO")+COUNTIF(N37,"CONCLUÍDO")+COUNTIF(P37,"CONCLUÍDO")+COUNTIF(R37,"CONCLUÍDO"))/4</f>
        <v>0</v>
      </c>
      <c r="U37" s="34"/>
    </row>
    <row r="38" customFormat="false" ht="15" hidden="false" customHeight="false" outlineLevel="0" collapsed="false">
      <c r="A38" s="35" t="n">
        <v>30</v>
      </c>
      <c r="B38" s="36" t="s">
        <v>126</v>
      </c>
      <c r="C38" s="37" t="s">
        <v>19</v>
      </c>
      <c r="D38" s="38" t="n">
        <v>5019.711</v>
      </c>
      <c r="E38" s="38" t="n">
        <v>3237.624</v>
      </c>
      <c r="F38" s="38" t="n">
        <v>719975.145</v>
      </c>
      <c r="G38" s="38" t="n">
        <v>7492192.014</v>
      </c>
      <c r="H38" s="39" t="str">
        <f aca="false">IF(AND(ABS(D38+Resumo!$C$6-F38)&lt;=0.01,ABS(E38+Resumo!$C$7-G38)&lt;=0.01),"OK","VERIFICAR")</f>
        <v>OK</v>
      </c>
      <c r="I38" s="39" t="s">
        <v>21</v>
      </c>
      <c r="J38" s="39" t="s">
        <v>22</v>
      </c>
      <c r="K38" s="40" t="n">
        <v>13.1</v>
      </c>
      <c r="L38" s="31" t="s">
        <v>72</v>
      </c>
      <c r="M38" s="32"/>
      <c r="N38" s="31" t="s">
        <v>72</v>
      </c>
      <c r="O38" s="32"/>
      <c r="P38" s="31" t="s">
        <v>72</v>
      </c>
      <c r="Q38" s="32"/>
      <c r="R38" s="31" t="s">
        <v>72</v>
      </c>
      <c r="S38" s="32"/>
      <c r="T38" s="41" t="n">
        <f aca="false">(COUNTIF(L38,"CONCLUÍDO")+COUNTIF(N38,"CONCLUÍDO")+COUNTIF(P38,"CONCLUÍDO")+COUNTIF(R38,"CONCLUÍDO"))/4</f>
        <v>0</v>
      </c>
      <c r="U38" s="34"/>
    </row>
    <row r="39" customFormat="false" ht="15" hidden="false" customHeight="false" outlineLevel="0" collapsed="false">
      <c r="A39" s="25" t="n">
        <v>31</v>
      </c>
      <c r="B39" s="26" t="s">
        <v>127</v>
      </c>
      <c r="C39" s="27" t="s">
        <v>19</v>
      </c>
      <c r="D39" s="28" t="n">
        <v>5018.211</v>
      </c>
      <c r="E39" s="28" t="n">
        <v>3236.124</v>
      </c>
      <c r="F39" s="28" t="n">
        <v>719973.645</v>
      </c>
      <c r="G39" s="28" t="n">
        <v>7492190.514</v>
      </c>
      <c r="H39" s="29" t="str">
        <f aca="false">IF(AND(ABS(D39+Resumo!$C$6-F39)&lt;=0.01,ABS(E39+Resumo!$C$7-G39)&lt;=0.01),"OK","VERIFICAR")</f>
        <v>OK</v>
      </c>
      <c r="I39" s="29" t="s">
        <v>21</v>
      </c>
      <c r="J39" s="29" t="s">
        <v>22</v>
      </c>
      <c r="K39" s="30" t="n">
        <v>13.1</v>
      </c>
      <c r="L39" s="31" t="s">
        <v>72</v>
      </c>
      <c r="M39" s="32"/>
      <c r="N39" s="31" t="s">
        <v>72</v>
      </c>
      <c r="O39" s="32"/>
      <c r="P39" s="31" t="s">
        <v>72</v>
      </c>
      <c r="Q39" s="32"/>
      <c r="R39" s="31" t="s">
        <v>72</v>
      </c>
      <c r="S39" s="32"/>
      <c r="T39" s="33" t="n">
        <f aca="false">(COUNTIF(L39,"CONCLUÍDO")+COUNTIF(N39,"CONCLUÍDO")+COUNTIF(P39,"CONCLUÍDO")+COUNTIF(R39,"CONCLUÍDO"))/4</f>
        <v>0</v>
      </c>
      <c r="U39" s="34"/>
    </row>
    <row r="40" customFormat="false" ht="15" hidden="false" customHeight="false" outlineLevel="0" collapsed="false">
      <c r="A40" s="35" t="n">
        <v>32</v>
      </c>
      <c r="B40" s="36" t="s">
        <v>128</v>
      </c>
      <c r="C40" s="37" t="s">
        <v>19</v>
      </c>
      <c r="D40" s="38" t="n">
        <v>5019.711</v>
      </c>
      <c r="E40" s="38" t="n">
        <v>3236.124</v>
      </c>
      <c r="F40" s="38" t="n">
        <v>719975.145</v>
      </c>
      <c r="G40" s="38" t="n">
        <v>7492190.514</v>
      </c>
      <c r="H40" s="39" t="str">
        <f aca="false">IF(AND(ABS(D40+Resumo!$C$6-F40)&lt;=0.01,ABS(E40+Resumo!$C$7-G40)&lt;=0.01),"OK","VERIFICAR")</f>
        <v>OK</v>
      </c>
      <c r="I40" s="39" t="s">
        <v>21</v>
      </c>
      <c r="J40" s="39" t="s">
        <v>22</v>
      </c>
      <c r="K40" s="40" t="n">
        <v>13.1</v>
      </c>
      <c r="L40" s="31" t="s">
        <v>72</v>
      </c>
      <c r="M40" s="32"/>
      <c r="N40" s="31" t="s">
        <v>72</v>
      </c>
      <c r="O40" s="32"/>
      <c r="P40" s="31" t="s">
        <v>72</v>
      </c>
      <c r="Q40" s="32"/>
      <c r="R40" s="31" t="s">
        <v>72</v>
      </c>
      <c r="S40" s="32"/>
      <c r="T40" s="41" t="n">
        <f aca="false">(COUNTIF(L40,"CONCLUÍDO")+COUNTIF(N40,"CONCLUÍDO")+COUNTIF(P40,"CONCLUÍDO")+COUNTIF(R40,"CONCLUÍDO"))/4</f>
        <v>0</v>
      </c>
      <c r="U40" s="34"/>
    </row>
    <row r="41" customFormat="false" ht="15" hidden="false" customHeight="false" outlineLevel="0" collapsed="false">
      <c r="A41" s="25" t="n">
        <v>33</v>
      </c>
      <c r="B41" s="26" t="s">
        <v>129</v>
      </c>
      <c r="C41" s="27" t="s">
        <v>19</v>
      </c>
      <c r="D41" s="28" t="n">
        <v>4944.211</v>
      </c>
      <c r="E41" s="28" t="n">
        <v>3220.624</v>
      </c>
      <c r="F41" s="28" t="n">
        <v>719899.645</v>
      </c>
      <c r="G41" s="28" t="n">
        <v>7492175.014</v>
      </c>
      <c r="H41" s="29" t="str">
        <f aca="false">IF(AND(ABS(D41+Resumo!$C$6-F41)&lt;=0.01,ABS(E41+Resumo!$C$7-G41)&lt;=0.01),"OK","VERIFICAR")</f>
        <v>OK</v>
      </c>
      <c r="I41" s="29" t="s">
        <v>21</v>
      </c>
      <c r="J41" s="29" t="s">
        <v>22</v>
      </c>
      <c r="K41" s="30" t="n">
        <v>13.1</v>
      </c>
      <c r="L41" s="31" t="s">
        <v>72</v>
      </c>
      <c r="M41" s="32"/>
      <c r="N41" s="31" t="s">
        <v>72</v>
      </c>
      <c r="O41" s="32"/>
      <c r="P41" s="31" t="s">
        <v>72</v>
      </c>
      <c r="Q41" s="32"/>
      <c r="R41" s="31" t="s">
        <v>72</v>
      </c>
      <c r="S41" s="32"/>
      <c r="T41" s="33" t="n">
        <f aca="false">(COUNTIF(L41,"CONCLUÍDO")+COUNTIF(N41,"CONCLUÍDO")+COUNTIF(P41,"CONCLUÍDO")+COUNTIF(R41,"CONCLUÍDO"))/4</f>
        <v>0</v>
      </c>
      <c r="U41" s="34"/>
    </row>
    <row r="42" customFormat="false" ht="15" hidden="false" customHeight="false" outlineLevel="0" collapsed="false">
      <c r="A42" s="35" t="n">
        <v>34</v>
      </c>
      <c r="B42" s="36" t="s">
        <v>130</v>
      </c>
      <c r="C42" s="37" t="s">
        <v>19</v>
      </c>
      <c r="D42" s="38" t="n">
        <v>4945.711</v>
      </c>
      <c r="E42" s="38" t="n">
        <v>3220.624</v>
      </c>
      <c r="F42" s="38" t="n">
        <v>719901.145</v>
      </c>
      <c r="G42" s="38" t="n">
        <v>7492175.014</v>
      </c>
      <c r="H42" s="39" t="str">
        <f aca="false">IF(AND(ABS(D42+Resumo!$C$6-F42)&lt;=0.01,ABS(E42+Resumo!$C$7-G42)&lt;=0.01),"OK","VERIFICAR")</f>
        <v>OK</v>
      </c>
      <c r="I42" s="39" t="s">
        <v>21</v>
      </c>
      <c r="J42" s="39" t="s">
        <v>22</v>
      </c>
      <c r="K42" s="40" t="n">
        <v>13.1</v>
      </c>
      <c r="L42" s="31" t="s">
        <v>72</v>
      </c>
      <c r="M42" s="32"/>
      <c r="N42" s="31" t="s">
        <v>72</v>
      </c>
      <c r="O42" s="32"/>
      <c r="P42" s="31" t="s">
        <v>72</v>
      </c>
      <c r="Q42" s="32"/>
      <c r="R42" s="31" t="s">
        <v>72</v>
      </c>
      <c r="S42" s="32"/>
      <c r="T42" s="41" t="n">
        <f aca="false">(COUNTIF(L42,"CONCLUÍDO")+COUNTIF(N42,"CONCLUÍDO")+COUNTIF(P42,"CONCLUÍDO")+COUNTIF(R42,"CONCLUÍDO"))/4</f>
        <v>0</v>
      </c>
      <c r="U42" s="34"/>
    </row>
    <row r="43" customFormat="false" ht="15" hidden="false" customHeight="false" outlineLevel="0" collapsed="false">
      <c r="A43" s="25" t="n">
        <v>35</v>
      </c>
      <c r="B43" s="26" t="s">
        <v>131</v>
      </c>
      <c r="C43" s="27" t="s">
        <v>19</v>
      </c>
      <c r="D43" s="28" t="n">
        <v>4944.211</v>
      </c>
      <c r="E43" s="28" t="n">
        <v>3219.124</v>
      </c>
      <c r="F43" s="28" t="n">
        <v>719899.645</v>
      </c>
      <c r="G43" s="28" t="n">
        <v>7492173.514</v>
      </c>
      <c r="H43" s="29" t="str">
        <f aca="false">IF(AND(ABS(D43+Resumo!$C$6-F43)&lt;=0.01,ABS(E43+Resumo!$C$7-G43)&lt;=0.01),"OK","VERIFICAR")</f>
        <v>OK</v>
      </c>
      <c r="I43" s="29" t="s">
        <v>21</v>
      </c>
      <c r="J43" s="29" t="s">
        <v>22</v>
      </c>
      <c r="K43" s="30" t="n">
        <v>13.1</v>
      </c>
      <c r="L43" s="31" t="s">
        <v>72</v>
      </c>
      <c r="M43" s="32"/>
      <c r="N43" s="31" t="s">
        <v>72</v>
      </c>
      <c r="O43" s="32"/>
      <c r="P43" s="31" t="s">
        <v>72</v>
      </c>
      <c r="Q43" s="32"/>
      <c r="R43" s="31" t="s">
        <v>72</v>
      </c>
      <c r="S43" s="32"/>
      <c r="T43" s="33" t="n">
        <f aca="false">(COUNTIF(L43,"CONCLUÍDO")+COUNTIF(N43,"CONCLUÍDO")+COUNTIF(P43,"CONCLUÍDO")+COUNTIF(R43,"CONCLUÍDO"))/4</f>
        <v>0</v>
      </c>
      <c r="U43" s="34"/>
    </row>
    <row r="44" customFormat="false" ht="15" hidden="false" customHeight="false" outlineLevel="0" collapsed="false">
      <c r="A44" s="35" t="n">
        <v>36</v>
      </c>
      <c r="B44" s="36" t="s">
        <v>132</v>
      </c>
      <c r="C44" s="37" t="s">
        <v>19</v>
      </c>
      <c r="D44" s="38" t="n">
        <v>4945.711</v>
      </c>
      <c r="E44" s="38" t="n">
        <v>3219.124</v>
      </c>
      <c r="F44" s="38" t="n">
        <v>719901.145</v>
      </c>
      <c r="G44" s="38" t="n">
        <v>7492173.514</v>
      </c>
      <c r="H44" s="39" t="str">
        <f aca="false">IF(AND(ABS(D44+Resumo!$C$6-F44)&lt;=0.01,ABS(E44+Resumo!$C$7-G44)&lt;=0.01),"OK","VERIFICAR")</f>
        <v>OK</v>
      </c>
      <c r="I44" s="39" t="s">
        <v>21</v>
      </c>
      <c r="J44" s="39" t="s">
        <v>22</v>
      </c>
      <c r="K44" s="40" t="n">
        <v>13.1</v>
      </c>
      <c r="L44" s="31" t="s">
        <v>72</v>
      </c>
      <c r="M44" s="32"/>
      <c r="N44" s="31" t="s">
        <v>72</v>
      </c>
      <c r="O44" s="32"/>
      <c r="P44" s="31" t="s">
        <v>72</v>
      </c>
      <c r="Q44" s="32"/>
      <c r="R44" s="31" t="s">
        <v>72</v>
      </c>
      <c r="S44" s="32"/>
      <c r="T44" s="41" t="n">
        <f aca="false">(COUNTIF(L44,"CONCLUÍDO")+COUNTIF(N44,"CONCLUÍDO")+COUNTIF(P44,"CONCLUÍDO")+COUNTIF(R44,"CONCLUÍDO"))/4</f>
        <v>0</v>
      </c>
      <c r="U44" s="34"/>
    </row>
    <row r="45" customFormat="false" ht="15" hidden="false" customHeight="false" outlineLevel="0" collapsed="false">
      <c r="A45" s="25" t="n">
        <v>37</v>
      </c>
      <c r="B45" s="26" t="s">
        <v>133</v>
      </c>
      <c r="C45" s="27" t="s">
        <v>19</v>
      </c>
      <c r="D45" s="28" t="n">
        <v>4956.211</v>
      </c>
      <c r="E45" s="28" t="n">
        <v>3220.624</v>
      </c>
      <c r="F45" s="28" t="n">
        <v>719911.645</v>
      </c>
      <c r="G45" s="28" t="n">
        <v>7492175.014</v>
      </c>
      <c r="H45" s="29" t="str">
        <f aca="false">IF(AND(ABS(D45+Resumo!$C$6-F45)&lt;=0.01,ABS(E45+Resumo!$C$7-G45)&lt;=0.01),"OK","VERIFICAR")</f>
        <v>OK</v>
      </c>
      <c r="I45" s="29" t="s">
        <v>21</v>
      </c>
      <c r="J45" s="29" t="s">
        <v>22</v>
      </c>
      <c r="K45" s="30" t="n">
        <v>13.1</v>
      </c>
      <c r="L45" s="31" t="s">
        <v>72</v>
      </c>
      <c r="M45" s="32"/>
      <c r="N45" s="31" t="s">
        <v>72</v>
      </c>
      <c r="O45" s="32"/>
      <c r="P45" s="31" t="s">
        <v>72</v>
      </c>
      <c r="Q45" s="32"/>
      <c r="R45" s="31" t="s">
        <v>72</v>
      </c>
      <c r="S45" s="32"/>
      <c r="T45" s="33" t="n">
        <f aca="false">(COUNTIF(L45,"CONCLUÍDO")+COUNTIF(N45,"CONCLUÍDO")+COUNTIF(P45,"CONCLUÍDO")+COUNTIF(R45,"CONCLUÍDO"))/4</f>
        <v>0</v>
      </c>
      <c r="U45" s="34"/>
    </row>
    <row r="46" customFormat="false" ht="15" hidden="false" customHeight="false" outlineLevel="0" collapsed="false">
      <c r="A46" s="35" t="n">
        <v>38</v>
      </c>
      <c r="B46" s="36" t="s">
        <v>134</v>
      </c>
      <c r="C46" s="37" t="s">
        <v>19</v>
      </c>
      <c r="D46" s="38" t="n">
        <v>4957.711</v>
      </c>
      <c r="E46" s="38" t="n">
        <v>3220.624</v>
      </c>
      <c r="F46" s="38" t="n">
        <v>719913.145</v>
      </c>
      <c r="G46" s="38" t="n">
        <v>7492175.014</v>
      </c>
      <c r="H46" s="39" t="str">
        <f aca="false">IF(AND(ABS(D46+Resumo!$C$6-F46)&lt;=0.01,ABS(E46+Resumo!$C$7-G46)&lt;=0.01),"OK","VERIFICAR")</f>
        <v>OK</v>
      </c>
      <c r="I46" s="39" t="s">
        <v>21</v>
      </c>
      <c r="J46" s="39" t="s">
        <v>22</v>
      </c>
      <c r="K46" s="40" t="n">
        <v>13.1</v>
      </c>
      <c r="L46" s="31" t="s">
        <v>72</v>
      </c>
      <c r="M46" s="32"/>
      <c r="N46" s="31" t="s">
        <v>72</v>
      </c>
      <c r="O46" s="32"/>
      <c r="P46" s="31" t="s">
        <v>72</v>
      </c>
      <c r="Q46" s="32"/>
      <c r="R46" s="31" t="s">
        <v>72</v>
      </c>
      <c r="S46" s="32"/>
      <c r="T46" s="41" t="n">
        <f aca="false">(COUNTIF(L46,"CONCLUÍDO")+COUNTIF(N46,"CONCLUÍDO")+COUNTIF(P46,"CONCLUÍDO")+COUNTIF(R46,"CONCLUÍDO"))/4</f>
        <v>0</v>
      </c>
      <c r="U46" s="34"/>
    </row>
    <row r="47" customFormat="false" ht="15" hidden="false" customHeight="false" outlineLevel="0" collapsed="false">
      <c r="A47" s="25" t="n">
        <v>39</v>
      </c>
      <c r="B47" s="26" t="s">
        <v>135</v>
      </c>
      <c r="C47" s="27" t="s">
        <v>19</v>
      </c>
      <c r="D47" s="28" t="n">
        <v>4956.211</v>
      </c>
      <c r="E47" s="28" t="n">
        <v>3219.124</v>
      </c>
      <c r="F47" s="28" t="n">
        <v>719911.645</v>
      </c>
      <c r="G47" s="28" t="n">
        <v>7492173.514</v>
      </c>
      <c r="H47" s="29" t="str">
        <f aca="false">IF(AND(ABS(D47+Resumo!$C$6-F47)&lt;=0.01,ABS(E47+Resumo!$C$7-G47)&lt;=0.01),"OK","VERIFICAR")</f>
        <v>OK</v>
      </c>
      <c r="I47" s="29" t="s">
        <v>21</v>
      </c>
      <c r="J47" s="29" t="s">
        <v>22</v>
      </c>
      <c r="K47" s="30" t="n">
        <v>13.1</v>
      </c>
      <c r="L47" s="31" t="s">
        <v>72</v>
      </c>
      <c r="M47" s="32"/>
      <c r="N47" s="31" t="s">
        <v>72</v>
      </c>
      <c r="O47" s="32"/>
      <c r="P47" s="31" t="s">
        <v>72</v>
      </c>
      <c r="Q47" s="32"/>
      <c r="R47" s="31" t="s">
        <v>72</v>
      </c>
      <c r="S47" s="32"/>
      <c r="T47" s="33" t="n">
        <f aca="false">(COUNTIF(L47,"CONCLUÍDO")+COUNTIF(N47,"CONCLUÍDO")+COUNTIF(P47,"CONCLUÍDO")+COUNTIF(R47,"CONCLUÍDO"))/4</f>
        <v>0</v>
      </c>
      <c r="U47" s="34"/>
    </row>
    <row r="48" customFormat="false" ht="15" hidden="false" customHeight="false" outlineLevel="0" collapsed="false">
      <c r="A48" s="35" t="n">
        <v>40</v>
      </c>
      <c r="B48" s="36" t="s">
        <v>136</v>
      </c>
      <c r="C48" s="37" t="s">
        <v>19</v>
      </c>
      <c r="D48" s="38" t="n">
        <v>4957.711</v>
      </c>
      <c r="E48" s="38" t="n">
        <v>3219.124</v>
      </c>
      <c r="F48" s="38" t="n">
        <v>719913.145</v>
      </c>
      <c r="G48" s="38" t="n">
        <v>7492173.514</v>
      </c>
      <c r="H48" s="39" t="str">
        <f aca="false">IF(AND(ABS(D48+Resumo!$C$6-F48)&lt;=0.01,ABS(E48+Resumo!$C$7-G48)&lt;=0.01),"OK","VERIFICAR")</f>
        <v>OK</v>
      </c>
      <c r="I48" s="39" t="s">
        <v>21</v>
      </c>
      <c r="J48" s="39" t="s">
        <v>22</v>
      </c>
      <c r="K48" s="40" t="n">
        <v>13.1</v>
      </c>
      <c r="L48" s="31" t="s">
        <v>72</v>
      </c>
      <c r="M48" s="32"/>
      <c r="N48" s="31" t="s">
        <v>72</v>
      </c>
      <c r="O48" s="32"/>
      <c r="P48" s="31" t="s">
        <v>72</v>
      </c>
      <c r="Q48" s="32"/>
      <c r="R48" s="31" t="s">
        <v>72</v>
      </c>
      <c r="S48" s="32"/>
      <c r="T48" s="41" t="n">
        <f aca="false">(COUNTIF(L48,"CONCLUÍDO")+COUNTIF(N48,"CONCLUÍDO")+COUNTIF(P48,"CONCLUÍDO")+COUNTIF(R48,"CONCLUÍDO"))/4</f>
        <v>0</v>
      </c>
      <c r="U48" s="34"/>
    </row>
    <row r="49" customFormat="false" ht="15" hidden="false" customHeight="false" outlineLevel="0" collapsed="false">
      <c r="A49" s="25" t="n">
        <v>41</v>
      </c>
      <c r="B49" s="26" t="s">
        <v>137</v>
      </c>
      <c r="C49" s="27" t="s">
        <v>19</v>
      </c>
      <c r="D49" s="28" t="n">
        <v>4966.211</v>
      </c>
      <c r="E49" s="28" t="n">
        <v>3220.624</v>
      </c>
      <c r="F49" s="28" t="n">
        <v>719921.645</v>
      </c>
      <c r="G49" s="28" t="n">
        <v>7492175.014</v>
      </c>
      <c r="H49" s="29" t="str">
        <f aca="false">IF(AND(ABS(D49+Resumo!$C$6-F49)&lt;=0.01,ABS(E49+Resumo!$C$7-G49)&lt;=0.01),"OK","VERIFICAR")</f>
        <v>OK</v>
      </c>
      <c r="I49" s="29" t="s">
        <v>21</v>
      </c>
      <c r="J49" s="29" t="s">
        <v>22</v>
      </c>
      <c r="K49" s="30" t="n">
        <v>13.1</v>
      </c>
      <c r="L49" s="31" t="s">
        <v>72</v>
      </c>
      <c r="M49" s="32"/>
      <c r="N49" s="31" t="s">
        <v>72</v>
      </c>
      <c r="O49" s="32"/>
      <c r="P49" s="31" t="s">
        <v>72</v>
      </c>
      <c r="Q49" s="32"/>
      <c r="R49" s="31" t="s">
        <v>72</v>
      </c>
      <c r="S49" s="32"/>
      <c r="T49" s="33" t="n">
        <f aca="false">(COUNTIF(L49,"CONCLUÍDO")+COUNTIF(N49,"CONCLUÍDO")+COUNTIF(P49,"CONCLUÍDO")+COUNTIF(R49,"CONCLUÍDO"))/4</f>
        <v>0</v>
      </c>
      <c r="U49" s="34"/>
    </row>
    <row r="50" customFormat="false" ht="15" hidden="false" customHeight="false" outlineLevel="0" collapsed="false">
      <c r="A50" s="35" t="n">
        <v>42</v>
      </c>
      <c r="B50" s="36" t="s">
        <v>138</v>
      </c>
      <c r="C50" s="37" t="s">
        <v>19</v>
      </c>
      <c r="D50" s="38" t="n">
        <v>4967.711</v>
      </c>
      <c r="E50" s="38" t="n">
        <v>3220.624</v>
      </c>
      <c r="F50" s="38" t="n">
        <v>719923.145</v>
      </c>
      <c r="G50" s="38" t="n">
        <v>7492175.014</v>
      </c>
      <c r="H50" s="39" t="str">
        <f aca="false">IF(AND(ABS(D50+Resumo!$C$6-F50)&lt;=0.01,ABS(E50+Resumo!$C$7-G50)&lt;=0.01),"OK","VERIFICAR")</f>
        <v>OK</v>
      </c>
      <c r="I50" s="39" t="s">
        <v>21</v>
      </c>
      <c r="J50" s="39" t="s">
        <v>22</v>
      </c>
      <c r="K50" s="40" t="n">
        <v>13.1</v>
      </c>
      <c r="L50" s="31" t="s">
        <v>72</v>
      </c>
      <c r="M50" s="32"/>
      <c r="N50" s="31" t="s">
        <v>72</v>
      </c>
      <c r="O50" s="32"/>
      <c r="P50" s="31" t="s">
        <v>72</v>
      </c>
      <c r="Q50" s="32"/>
      <c r="R50" s="31" t="s">
        <v>72</v>
      </c>
      <c r="S50" s="32"/>
      <c r="T50" s="41" t="n">
        <f aca="false">(COUNTIF(L50,"CONCLUÍDO")+COUNTIF(N50,"CONCLUÍDO")+COUNTIF(P50,"CONCLUÍDO")+COUNTIF(R50,"CONCLUÍDO"))/4</f>
        <v>0</v>
      </c>
      <c r="U50" s="34"/>
    </row>
    <row r="51" customFormat="false" ht="15" hidden="false" customHeight="false" outlineLevel="0" collapsed="false">
      <c r="A51" s="25" t="n">
        <v>43</v>
      </c>
      <c r="B51" s="26" t="s">
        <v>139</v>
      </c>
      <c r="C51" s="27" t="s">
        <v>19</v>
      </c>
      <c r="D51" s="28" t="n">
        <v>4966.211</v>
      </c>
      <c r="E51" s="28" t="n">
        <v>3219.124</v>
      </c>
      <c r="F51" s="28" t="n">
        <v>719921.645</v>
      </c>
      <c r="G51" s="28" t="n">
        <v>7492173.514</v>
      </c>
      <c r="H51" s="29" t="str">
        <f aca="false">IF(AND(ABS(D51+Resumo!$C$6-F51)&lt;=0.01,ABS(E51+Resumo!$C$7-G51)&lt;=0.01),"OK","VERIFICAR")</f>
        <v>OK</v>
      </c>
      <c r="I51" s="29" t="s">
        <v>21</v>
      </c>
      <c r="J51" s="29" t="s">
        <v>22</v>
      </c>
      <c r="K51" s="30" t="n">
        <v>13.1</v>
      </c>
      <c r="L51" s="31" t="s">
        <v>72</v>
      </c>
      <c r="M51" s="32"/>
      <c r="N51" s="31" t="s">
        <v>72</v>
      </c>
      <c r="O51" s="32"/>
      <c r="P51" s="31" t="s">
        <v>72</v>
      </c>
      <c r="Q51" s="32"/>
      <c r="R51" s="31" t="s">
        <v>72</v>
      </c>
      <c r="S51" s="32"/>
      <c r="T51" s="33" t="n">
        <f aca="false">(COUNTIF(L51,"CONCLUÍDO")+COUNTIF(N51,"CONCLUÍDO")+COUNTIF(P51,"CONCLUÍDO")+COUNTIF(R51,"CONCLUÍDO"))/4</f>
        <v>0</v>
      </c>
      <c r="U51" s="34"/>
    </row>
    <row r="52" customFormat="false" ht="15" hidden="false" customHeight="false" outlineLevel="0" collapsed="false">
      <c r="A52" s="35" t="n">
        <v>44</v>
      </c>
      <c r="B52" s="36" t="s">
        <v>140</v>
      </c>
      <c r="C52" s="37" t="s">
        <v>19</v>
      </c>
      <c r="D52" s="38" t="n">
        <v>4967.711</v>
      </c>
      <c r="E52" s="38" t="n">
        <v>3219.124</v>
      </c>
      <c r="F52" s="38" t="n">
        <v>719923.145</v>
      </c>
      <c r="G52" s="38" t="n">
        <v>7492173.514</v>
      </c>
      <c r="H52" s="39" t="str">
        <f aca="false">IF(AND(ABS(D52+Resumo!$C$6-F52)&lt;=0.01,ABS(E52+Resumo!$C$7-G52)&lt;=0.01),"OK","VERIFICAR")</f>
        <v>OK</v>
      </c>
      <c r="I52" s="39" t="s">
        <v>21</v>
      </c>
      <c r="J52" s="39" t="s">
        <v>22</v>
      </c>
      <c r="K52" s="40" t="n">
        <v>13.1</v>
      </c>
      <c r="L52" s="31" t="s">
        <v>72</v>
      </c>
      <c r="M52" s="32"/>
      <c r="N52" s="31" t="s">
        <v>72</v>
      </c>
      <c r="O52" s="32"/>
      <c r="P52" s="31" t="s">
        <v>72</v>
      </c>
      <c r="Q52" s="32"/>
      <c r="R52" s="31" t="s">
        <v>72</v>
      </c>
      <c r="S52" s="32"/>
      <c r="T52" s="41" t="n">
        <f aca="false">(COUNTIF(L52,"CONCLUÍDO")+COUNTIF(N52,"CONCLUÍDO")+COUNTIF(P52,"CONCLUÍDO")+COUNTIF(R52,"CONCLUÍDO"))/4</f>
        <v>0</v>
      </c>
      <c r="U52" s="34"/>
    </row>
    <row r="53" customFormat="false" ht="15" hidden="false" customHeight="false" outlineLevel="0" collapsed="false">
      <c r="A53" s="25" t="n">
        <v>45</v>
      </c>
      <c r="B53" s="26" t="s">
        <v>141</v>
      </c>
      <c r="C53" s="27" t="s">
        <v>19</v>
      </c>
      <c r="D53" s="28" t="n">
        <v>4976.211</v>
      </c>
      <c r="E53" s="28" t="n">
        <v>3220.624</v>
      </c>
      <c r="F53" s="28" t="n">
        <v>719931.645</v>
      </c>
      <c r="G53" s="28" t="n">
        <v>7492175.014</v>
      </c>
      <c r="H53" s="29" t="str">
        <f aca="false">IF(AND(ABS(D53+Resumo!$C$6-F53)&lt;=0.01,ABS(E53+Resumo!$C$7-G53)&lt;=0.01),"OK","VERIFICAR")</f>
        <v>OK</v>
      </c>
      <c r="I53" s="29" t="s">
        <v>21</v>
      </c>
      <c r="J53" s="29" t="s">
        <v>22</v>
      </c>
      <c r="K53" s="30" t="n">
        <v>13.1</v>
      </c>
      <c r="L53" s="31" t="s">
        <v>72</v>
      </c>
      <c r="M53" s="32"/>
      <c r="N53" s="31" t="s">
        <v>72</v>
      </c>
      <c r="O53" s="32"/>
      <c r="P53" s="31" t="s">
        <v>72</v>
      </c>
      <c r="Q53" s="32"/>
      <c r="R53" s="31" t="s">
        <v>72</v>
      </c>
      <c r="S53" s="32"/>
      <c r="T53" s="33" t="n">
        <f aca="false">(COUNTIF(L53,"CONCLUÍDO")+COUNTIF(N53,"CONCLUÍDO")+COUNTIF(P53,"CONCLUÍDO")+COUNTIF(R53,"CONCLUÍDO"))/4</f>
        <v>0</v>
      </c>
      <c r="U53" s="34"/>
    </row>
    <row r="54" customFormat="false" ht="15" hidden="false" customHeight="false" outlineLevel="0" collapsed="false">
      <c r="A54" s="35" t="n">
        <v>46</v>
      </c>
      <c r="B54" s="36" t="s">
        <v>142</v>
      </c>
      <c r="C54" s="37" t="s">
        <v>19</v>
      </c>
      <c r="D54" s="38" t="n">
        <v>4977.711</v>
      </c>
      <c r="E54" s="38" t="n">
        <v>3220.624</v>
      </c>
      <c r="F54" s="38" t="n">
        <v>719933.145</v>
      </c>
      <c r="G54" s="38" t="n">
        <v>7492175.014</v>
      </c>
      <c r="H54" s="39" t="str">
        <f aca="false">IF(AND(ABS(D54+Resumo!$C$6-F54)&lt;=0.01,ABS(E54+Resumo!$C$7-G54)&lt;=0.01),"OK","VERIFICAR")</f>
        <v>OK</v>
      </c>
      <c r="I54" s="39" t="s">
        <v>21</v>
      </c>
      <c r="J54" s="39" t="s">
        <v>22</v>
      </c>
      <c r="K54" s="40" t="n">
        <v>13.1</v>
      </c>
      <c r="L54" s="31" t="s">
        <v>72</v>
      </c>
      <c r="M54" s="32"/>
      <c r="N54" s="31" t="s">
        <v>72</v>
      </c>
      <c r="O54" s="32"/>
      <c r="P54" s="31" t="s">
        <v>72</v>
      </c>
      <c r="Q54" s="32"/>
      <c r="R54" s="31" t="s">
        <v>72</v>
      </c>
      <c r="S54" s="32"/>
      <c r="T54" s="41" t="n">
        <f aca="false">(COUNTIF(L54,"CONCLUÍDO")+COUNTIF(N54,"CONCLUÍDO")+COUNTIF(P54,"CONCLUÍDO")+COUNTIF(R54,"CONCLUÍDO"))/4</f>
        <v>0</v>
      </c>
      <c r="U54" s="34"/>
    </row>
    <row r="55" customFormat="false" ht="15" hidden="false" customHeight="false" outlineLevel="0" collapsed="false">
      <c r="A55" s="25" t="n">
        <v>47</v>
      </c>
      <c r="B55" s="26" t="s">
        <v>143</v>
      </c>
      <c r="C55" s="27" t="s">
        <v>19</v>
      </c>
      <c r="D55" s="28" t="n">
        <v>4976.211</v>
      </c>
      <c r="E55" s="28" t="n">
        <v>3219.124</v>
      </c>
      <c r="F55" s="28" t="n">
        <v>719931.645</v>
      </c>
      <c r="G55" s="28" t="n">
        <v>7492173.514</v>
      </c>
      <c r="H55" s="29" t="str">
        <f aca="false">IF(AND(ABS(D55+Resumo!$C$6-F55)&lt;=0.01,ABS(E55+Resumo!$C$7-G55)&lt;=0.01),"OK","VERIFICAR")</f>
        <v>OK</v>
      </c>
      <c r="I55" s="29" t="s">
        <v>21</v>
      </c>
      <c r="J55" s="29" t="s">
        <v>22</v>
      </c>
      <c r="K55" s="30" t="n">
        <v>13.1</v>
      </c>
      <c r="L55" s="31" t="s">
        <v>72</v>
      </c>
      <c r="M55" s="32"/>
      <c r="N55" s="31" t="s">
        <v>72</v>
      </c>
      <c r="O55" s="32"/>
      <c r="P55" s="31" t="s">
        <v>72</v>
      </c>
      <c r="Q55" s="32"/>
      <c r="R55" s="31" t="s">
        <v>72</v>
      </c>
      <c r="S55" s="32"/>
      <c r="T55" s="33" t="n">
        <f aca="false">(COUNTIF(L55,"CONCLUÍDO")+COUNTIF(N55,"CONCLUÍDO")+COUNTIF(P55,"CONCLUÍDO")+COUNTIF(R55,"CONCLUÍDO"))/4</f>
        <v>0</v>
      </c>
      <c r="U55" s="34"/>
    </row>
    <row r="56" customFormat="false" ht="15" hidden="false" customHeight="false" outlineLevel="0" collapsed="false">
      <c r="A56" s="35" t="n">
        <v>48</v>
      </c>
      <c r="B56" s="36" t="s">
        <v>144</v>
      </c>
      <c r="C56" s="37" t="s">
        <v>19</v>
      </c>
      <c r="D56" s="38" t="n">
        <v>4977.711</v>
      </c>
      <c r="E56" s="38" t="n">
        <v>3219.11</v>
      </c>
      <c r="F56" s="38" t="n">
        <v>719933.145</v>
      </c>
      <c r="G56" s="38" t="n">
        <v>7492173.5</v>
      </c>
      <c r="H56" s="39" t="str">
        <f aca="false">IF(AND(ABS(D56+Resumo!$C$6-F56)&lt;=0.01,ABS(E56+Resumo!$C$7-G56)&lt;=0.01),"OK","VERIFICAR")</f>
        <v>OK</v>
      </c>
      <c r="I56" s="39" t="s">
        <v>21</v>
      </c>
      <c r="J56" s="39" t="s">
        <v>22</v>
      </c>
      <c r="K56" s="40" t="n">
        <v>13.1</v>
      </c>
      <c r="L56" s="31" t="s">
        <v>72</v>
      </c>
      <c r="M56" s="32"/>
      <c r="N56" s="31" t="s">
        <v>72</v>
      </c>
      <c r="O56" s="32"/>
      <c r="P56" s="31" t="s">
        <v>72</v>
      </c>
      <c r="Q56" s="32"/>
      <c r="R56" s="31" t="s">
        <v>72</v>
      </c>
      <c r="S56" s="32"/>
      <c r="T56" s="41" t="n">
        <f aca="false">(COUNTIF(L56,"CONCLUÍDO")+COUNTIF(N56,"CONCLUÍDO")+COUNTIF(P56,"CONCLUÍDO")+COUNTIF(R56,"CONCLUÍDO"))/4</f>
        <v>0</v>
      </c>
      <c r="U56" s="34"/>
    </row>
    <row r="57" customFormat="false" ht="15" hidden="false" customHeight="false" outlineLevel="0" collapsed="false">
      <c r="A57" s="25" t="n">
        <v>49</v>
      </c>
      <c r="B57" s="26" t="s">
        <v>145</v>
      </c>
      <c r="C57" s="27" t="s">
        <v>19</v>
      </c>
      <c r="D57" s="28" t="n">
        <v>4986.211</v>
      </c>
      <c r="E57" s="28" t="n">
        <v>3220.624</v>
      </c>
      <c r="F57" s="28" t="n">
        <v>719941.645</v>
      </c>
      <c r="G57" s="28" t="n">
        <v>7492175.014</v>
      </c>
      <c r="H57" s="29" t="str">
        <f aca="false">IF(AND(ABS(D57+Resumo!$C$6-F57)&lt;=0.01,ABS(E57+Resumo!$C$7-G57)&lt;=0.01),"OK","VERIFICAR")</f>
        <v>OK</v>
      </c>
      <c r="I57" s="29" t="s">
        <v>21</v>
      </c>
      <c r="J57" s="29" t="s">
        <v>22</v>
      </c>
      <c r="K57" s="30" t="n">
        <v>13.1</v>
      </c>
      <c r="L57" s="31" t="s">
        <v>72</v>
      </c>
      <c r="M57" s="32"/>
      <c r="N57" s="31" t="s">
        <v>72</v>
      </c>
      <c r="O57" s="32"/>
      <c r="P57" s="31" t="s">
        <v>72</v>
      </c>
      <c r="Q57" s="32"/>
      <c r="R57" s="31" t="s">
        <v>72</v>
      </c>
      <c r="S57" s="32"/>
      <c r="T57" s="33" t="n">
        <f aca="false">(COUNTIF(L57,"CONCLUÍDO")+COUNTIF(N57,"CONCLUÍDO")+COUNTIF(P57,"CONCLUÍDO")+COUNTIF(R57,"CONCLUÍDO"))/4</f>
        <v>0</v>
      </c>
      <c r="U57" s="34"/>
    </row>
    <row r="58" customFormat="false" ht="15" hidden="false" customHeight="false" outlineLevel="0" collapsed="false">
      <c r="A58" s="35" t="n">
        <v>50</v>
      </c>
      <c r="B58" s="36" t="s">
        <v>146</v>
      </c>
      <c r="C58" s="37" t="s">
        <v>19</v>
      </c>
      <c r="D58" s="38" t="n">
        <v>4987.711</v>
      </c>
      <c r="E58" s="38" t="n">
        <v>3220.624</v>
      </c>
      <c r="F58" s="38" t="n">
        <v>719943.145</v>
      </c>
      <c r="G58" s="38" t="n">
        <v>7492175.014</v>
      </c>
      <c r="H58" s="39" t="str">
        <f aca="false">IF(AND(ABS(D58+Resumo!$C$6-F58)&lt;=0.01,ABS(E58+Resumo!$C$7-G58)&lt;=0.01),"OK","VERIFICAR")</f>
        <v>OK</v>
      </c>
      <c r="I58" s="39" t="s">
        <v>21</v>
      </c>
      <c r="J58" s="39" t="s">
        <v>22</v>
      </c>
      <c r="K58" s="40" t="n">
        <v>13.1</v>
      </c>
      <c r="L58" s="31" t="s">
        <v>72</v>
      </c>
      <c r="M58" s="32"/>
      <c r="N58" s="31" t="s">
        <v>72</v>
      </c>
      <c r="O58" s="32"/>
      <c r="P58" s="31" t="s">
        <v>72</v>
      </c>
      <c r="Q58" s="32"/>
      <c r="R58" s="31" t="s">
        <v>72</v>
      </c>
      <c r="S58" s="32"/>
      <c r="T58" s="41" t="n">
        <f aca="false">(COUNTIF(L58,"CONCLUÍDO")+COUNTIF(N58,"CONCLUÍDO")+COUNTIF(P58,"CONCLUÍDO")+COUNTIF(R58,"CONCLUÍDO"))/4</f>
        <v>0</v>
      </c>
      <c r="U58" s="34"/>
    </row>
    <row r="59" customFormat="false" ht="15" hidden="false" customHeight="false" outlineLevel="0" collapsed="false">
      <c r="A59" s="25" t="n">
        <v>51</v>
      </c>
      <c r="B59" s="26" t="s">
        <v>147</v>
      </c>
      <c r="C59" s="27" t="s">
        <v>19</v>
      </c>
      <c r="D59" s="28" t="n">
        <v>4986.211</v>
      </c>
      <c r="E59" s="28" t="n">
        <v>3219.124</v>
      </c>
      <c r="F59" s="28" t="n">
        <v>719941.645</v>
      </c>
      <c r="G59" s="28" t="n">
        <v>7492173.514</v>
      </c>
      <c r="H59" s="29" t="str">
        <f aca="false">IF(AND(ABS(D59+Resumo!$C$6-F59)&lt;=0.01,ABS(E59+Resumo!$C$7-G59)&lt;=0.01),"OK","VERIFICAR")</f>
        <v>OK</v>
      </c>
      <c r="I59" s="29" t="s">
        <v>21</v>
      </c>
      <c r="J59" s="29" t="s">
        <v>22</v>
      </c>
      <c r="K59" s="30" t="n">
        <v>13.1</v>
      </c>
      <c r="L59" s="31" t="s">
        <v>72</v>
      </c>
      <c r="M59" s="32"/>
      <c r="N59" s="31" t="s">
        <v>72</v>
      </c>
      <c r="O59" s="32"/>
      <c r="P59" s="31" t="s">
        <v>72</v>
      </c>
      <c r="Q59" s="32"/>
      <c r="R59" s="31" t="s">
        <v>72</v>
      </c>
      <c r="S59" s="32"/>
      <c r="T59" s="33" t="n">
        <f aca="false">(COUNTIF(L59,"CONCLUÍDO")+COUNTIF(N59,"CONCLUÍDO")+COUNTIF(P59,"CONCLUÍDO")+COUNTIF(R59,"CONCLUÍDO"))/4</f>
        <v>0</v>
      </c>
      <c r="U59" s="34"/>
    </row>
    <row r="60" customFormat="false" ht="15" hidden="false" customHeight="false" outlineLevel="0" collapsed="false">
      <c r="A60" s="35" t="n">
        <v>52</v>
      </c>
      <c r="B60" s="36" t="s">
        <v>148</v>
      </c>
      <c r="C60" s="37" t="s">
        <v>19</v>
      </c>
      <c r="D60" s="38" t="n">
        <v>4987.711</v>
      </c>
      <c r="E60" s="38" t="n">
        <v>3219.124</v>
      </c>
      <c r="F60" s="38" t="n">
        <v>719943.145</v>
      </c>
      <c r="G60" s="38" t="n">
        <v>7492173.514</v>
      </c>
      <c r="H60" s="39" t="str">
        <f aca="false">IF(AND(ABS(D60+Resumo!$C$6-F60)&lt;=0.01,ABS(E60+Resumo!$C$7-G60)&lt;=0.01),"OK","VERIFICAR")</f>
        <v>OK</v>
      </c>
      <c r="I60" s="39" t="s">
        <v>21</v>
      </c>
      <c r="J60" s="39" t="s">
        <v>22</v>
      </c>
      <c r="K60" s="40" t="n">
        <v>13.1</v>
      </c>
      <c r="L60" s="31" t="s">
        <v>72</v>
      </c>
      <c r="M60" s="32"/>
      <c r="N60" s="31" t="s">
        <v>72</v>
      </c>
      <c r="O60" s="32"/>
      <c r="P60" s="31" t="s">
        <v>72</v>
      </c>
      <c r="Q60" s="32"/>
      <c r="R60" s="31" t="s">
        <v>72</v>
      </c>
      <c r="S60" s="32"/>
      <c r="T60" s="41" t="n">
        <f aca="false">(COUNTIF(L60,"CONCLUÍDO")+COUNTIF(N60,"CONCLUÍDO")+COUNTIF(P60,"CONCLUÍDO")+COUNTIF(R60,"CONCLUÍDO"))/4</f>
        <v>0</v>
      </c>
      <c r="U60" s="34"/>
    </row>
    <row r="61" customFormat="false" ht="15" hidden="false" customHeight="false" outlineLevel="0" collapsed="false">
      <c r="A61" s="25" t="n">
        <v>53</v>
      </c>
      <c r="B61" s="26" t="s">
        <v>149</v>
      </c>
      <c r="C61" s="27" t="s">
        <v>19</v>
      </c>
      <c r="D61" s="28" t="n">
        <v>4996.211</v>
      </c>
      <c r="E61" s="28" t="n">
        <v>3220.624</v>
      </c>
      <c r="F61" s="28" t="n">
        <v>719951.645</v>
      </c>
      <c r="G61" s="28" t="n">
        <v>7492175.014</v>
      </c>
      <c r="H61" s="29" t="str">
        <f aca="false">IF(AND(ABS(D61+Resumo!$C$6-F61)&lt;=0.01,ABS(E61+Resumo!$C$7-G61)&lt;=0.01),"OK","VERIFICAR")</f>
        <v>OK</v>
      </c>
      <c r="I61" s="29" t="s">
        <v>21</v>
      </c>
      <c r="J61" s="29" t="s">
        <v>22</v>
      </c>
      <c r="K61" s="30" t="n">
        <v>13.1</v>
      </c>
      <c r="L61" s="31" t="s">
        <v>72</v>
      </c>
      <c r="M61" s="32"/>
      <c r="N61" s="31" t="s">
        <v>72</v>
      </c>
      <c r="O61" s="32"/>
      <c r="P61" s="31" t="s">
        <v>72</v>
      </c>
      <c r="Q61" s="32"/>
      <c r="R61" s="31" t="s">
        <v>72</v>
      </c>
      <c r="S61" s="32"/>
      <c r="T61" s="33" t="n">
        <f aca="false">(COUNTIF(L61,"CONCLUÍDO")+COUNTIF(N61,"CONCLUÍDO")+COUNTIF(P61,"CONCLUÍDO")+COUNTIF(R61,"CONCLUÍDO"))/4</f>
        <v>0</v>
      </c>
      <c r="U61" s="34"/>
    </row>
    <row r="62" customFormat="false" ht="15" hidden="false" customHeight="false" outlineLevel="0" collapsed="false">
      <c r="A62" s="35" t="n">
        <v>54</v>
      </c>
      <c r="B62" s="36" t="s">
        <v>150</v>
      </c>
      <c r="C62" s="37" t="s">
        <v>19</v>
      </c>
      <c r="D62" s="38" t="n">
        <v>4997.711</v>
      </c>
      <c r="E62" s="38" t="n">
        <v>3220.624</v>
      </c>
      <c r="F62" s="38" t="n">
        <v>719953.145</v>
      </c>
      <c r="G62" s="38" t="n">
        <v>7492175.014</v>
      </c>
      <c r="H62" s="39" t="str">
        <f aca="false">IF(AND(ABS(D62+Resumo!$C$6-F62)&lt;=0.01,ABS(E62+Resumo!$C$7-G62)&lt;=0.01),"OK","VERIFICAR")</f>
        <v>OK</v>
      </c>
      <c r="I62" s="39" t="s">
        <v>21</v>
      </c>
      <c r="J62" s="39" t="s">
        <v>22</v>
      </c>
      <c r="K62" s="40" t="n">
        <v>13.1</v>
      </c>
      <c r="L62" s="31" t="s">
        <v>72</v>
      </c>
      <c r="M62" s="32"/>
      <c r="N62" s="31" t="s">
        <v>72</v>
      </c>
      <c r="O62" s="32"/>
      <c r="P62" s="31" t="s">
        <v>72</v>
      </c>
      <c r="Q62" s="32"/>
      <c r="R62" s="31" t="s">
        <v>72</v>
      </c>
      <c r="S62" s="32"/>
      <c r="T62" s="41" t="n">
        <f aca="false">(COUNTIF(L62,"CONCLUÍDO")+COUNTIF(N62,"CONCLUÍDO")+COUNTIF(P62,"CONCLUÍDO")+COUNTIF(R62,"CONCLUÍDO"))/4</f>
        <v>0</v>
      </c>
      <c r="U62" s="34"/>
    </row>
    <row r="63" customFormat="false" ht="15" hidden="false" customHeight="false" outlineLevel="0" collapsed="false">
      <c r="A63" s="25" t="n">
        <v>55</v>
      </c>
      <c r="B63" s="26" t="s">
        <v>151</v>
      </c>
      <c r="C63" s="27" t="s">
        <v>19</v>
      </c>
      <c r="D63" s="28" t="n">
        <v>4996.211</v>
      </c>
      <c r="E63" s="28" t="n">
        <v>3219.124</v>
      </c>
      <c r="F63" s="28" t="n">
        <v>719951.645</v>
      </c>
      <c r="G63" s="28" t="n">
        <v>7492173.514</v>
      </c>
      <c r="H63" s="29" t="str">
        <f aca="false">IF(AND(ABS(D63+Resumo!$C$6-F63)&lt;=0.01,ABS(E63+Resumo!$C$7-G63)&lt;=0.01),"OK","VERIFICAR")</f>
        <v>OK</v>
      </c>
      <c r="I63" s="29" t="s">
        <v>21</v>
      </c>
      <c r="J63" s="29" t="s">
        <v>22</v>
      </c>
      <c r="K63" s="30" t="n">
        <v>13.1</v>
      </c>
      <c r="L63" s="31" t="s">
        <v>72</v>
      </c>
      <c r="M63" s="32"/>
      <c r="N63" s="31" t="s">
        <v>72</v>
      </c>
      <c r="O63" s="32"/>
      <c r="P63" s="31" t="s">
        <v>72</v>
      </c>
      <c r="Q63" s="32"/>
      <c r="R63" s="31" t="s">
        <v>72</v>
      </c>
      <c r="S63" s="32"/>
      <c r="T63" s="33" t="n">
        <f aca="false">(COUNTIF(L63,"CONCLUÍDO")+COUNTIF(N63,"CONCLUÍDO")+COUNTIF(P63,"CONCLUÍDO")+COUNTIF(R63,"CONCLUÍDO"))/4</f>
        <v>0</v>
      </c>
      <c r="U63" s="34"/>
    </row>
    <row r="64" customFormat="false" ht="15" hidden="false" customHeight="false" outlineLevel="0" collapsed="false">
      <c r="A64" s="35" t="n">
        <v>56</v>
      </c>
      <c r="B64" s="36" t="s">
        <v>152</v>
      </c>
      <c r="C64" s="37" t="s">
        <v>19</v>
      </c>
      <c r="D64" s="38" t="n">
        <v>4997.711</v>
      </c>
      <c r="E64" s="38" t="n">
        <v>3219.124</v>
      </c>
      <c r="F64" s="38" t="n">
        <v>719953.145</v>
      </c>
      <c r="G64" s="38" t="n">
        <v>7492173.514</v>
      </c>
      <c r="H64" s="39" t="str">
        <f aca="false">IF(AND(ABS(D64+Resumo!$C$6-F64)&lt;=0.01,ABS(E64+Resumo!$C$7-G64)&lt;=0.01),"OK","VERIFICAR")</f>
        <v>OK</v>
      </c>
      <c r="I64" s="39" t="s">
        <v>21</v>
      </c>
      <c r="J64" s="39" t="s">
        <v>22</v>
      </c>
      <c r="K64" s="40" t="n">
        <v>13.1</v>
      </c>
      <c r="L64" s="31" t="s">
        <v>72</v>
      </c>
      <c r="M64" s="32"/>
      <c r="N64" s="31" t="s">
        <v>72</v>
      </c>
      <c r="O64" s="32"/>
      <c r="P64" s="31" t="s">
        <v>72</v>
      </c>
      <c r="Q64" s="32"/>
      <c r="R64" s="31" t="s">
        <v>72</v>
      </c>
      <c r="S64" s="32"/>
      <c r="T64" s="41" t="n">
        <f aca="false">(COUNTIF(L64,"CONCLUÍDO")+COUNTIF(N64,"CONCLUÍDO")+COUNTIF(P64,"CONCLUÍDO")+COUNTIF(R64,"CONCLUÍDO"))/4</f>
        <v>0</v>
      </c>
      <c r="U64" s="34"/>
    </row>
    <row r="65" customFormat="false" ht="15" hidden="false" customHeight="false" outlineLevel="0" collapsed="false">
      <c r="A65" s="25" t="n">
        <v>57</v>
      </c>
      <c r="B65" s="26" t="s">
        <v>153</v>
      </c>
      <c r="C65" s="27" t="s">
        <v>19</v>
      </c>
      <c r="D65" s="28" t="n">
        <v>5006.211</v>
      </c>
      <c r="E65" s="28" t="n">
        <v>3220.624</v>
      </c>
      <c r="F65" s="28" t="n">
        <v>719961.645</v>
      </c>
      <c r="G65" s="28" t="n">
        <v>7492175.014</v>
      </c>
      <c r="H65" s="29" t="str">
        <f aca="false">IF(AND(ABS(D65+Resumo!$C$6-F65)&lt;=0.01,ABS(E65+Resumo!$C$7-G65)&lt;=0.01),"OK","VERIFICAR")</f>
        <v>OK</v>
      </c>
      <c r="I65" s="29" t="s">
        <v>21</v>
      </c>
      <c r="J65" s="29" t="s">
        <v>22</v>
      </c>
      <c r="K65" s="30" t="n">
        <v>13.1</v>
      </c>
      <c r="L65" s="31" t="s">
        <v>72</v>
      </c>
      <c r="M65" s="32"/>
      <c r="N65" s="31" t="s">
        <v>72</v>
      </c>
      <c r="O65" s="32"/>
      <c r="P65" s="31" t="s">
        <v>72</v>
      </c>
      <c r="Q65" s="32"/>
      <c r="R65" s="31" t="s">
        <v>72</v>
      </c>
      <c r="S65" s="32"/>
      <c r="T65" s="33" t="n">
        <f aca="false">(COUNTIF(L65,"CONCLUÍDO")+COUNTIF(N65,"CONCLUÍDO")+COUNTIF(P65,"CONCLUÍDO")+COUNTIF(R65,"CONCLUÍDO"))/4</f>
        <v>0</v>
      </c>
      <c r="U65" s="34"/>
    </row>
    <row r="66" customFormat="false" ht="15" hidden="false" customHeight="false" outlineLevel="0" collapsed="false">
      <c r="A66" s="35" t="n">
        <v>58</v>
      </c>
      <c r="B66" s="36" t="s">
        <v>154</v>
      </c>
      <c r="C66" s="37" t="s">
        <v>19</v>
      </c>
      <c r="D66" s="38" t="n">
        <v>5007.711</v>
      </c>
      <c r="E66" s="38" t="n">
        <v>3220.624</v>
      </c>
      <c r="F66" s="38" t="n">
        <v>719963.145</v>
      </c>
      <c r="G66" s="38" t="n">
        <v>7492175.014</v>
      </c>
      <c r="H66" s="39" t="str">
        <f aca="false">IF(AND(ABS(D66+Resumo!$C$6-F66)&lt;=0.01,ABS(E66+Resumo!$C$7-G66)&lt;=0.01),"OK","VERIFICAR")</f>
        <v>OK</v>
      </c>
      <c r="I66" s="39" t="s">
        <v>21</v>
      </c>
      <c r="J66" s="39" t="s">
        <v>22</v>
      </c>
      <c r="K66" s="40" t="n">
        <v>13.1</v>
      </c>
      <c r="L66" s="31" t="s">
        <v>72</v>
      </c>
      <c r="M66" s="32"/>
      <c r="N66" s="31" t="s">
        <v>72</v>
      </c>
      <c r="O66" s="32"/>
      <c r="P66" s="31" t="s">
        <v>72</v>
      </c>
      <c r="Q66" s="32"/>
      <c r="R66" s="31" t="s">
        <v>72</v>
      </c>
      <c r="S66" s="32"/>
      <c r="T66" s="41" t="n">
        <f aca="false">(COUNTIF(L66,"CONCLUÍDO")+COUNTIF(N66,"CONCLUÍDO")+COUNTIF(P66,"CONCLUÍDO")+COUNTIF(R66,"CONCLUÍDO"))/4</f>
        <v>0</v>
      </c>
      <c r="U66" s="34"/>
    </row>
    <row r="67" customFormat="false" ht="15" hidden="false" customHeight="false" outlineLevel="0" collapsed="false">
      <c r="A67" s="25" t="n">
        <v>59</v>
      </c>
      <c r="B67" s="26" t="s">
        <v>155</v>
      </c>
      <c r="C67" s="27" t="s">
        <v>19</v>
      </c>
      <c r="D67" s="28" t="n">
        <v>5006.211</v>
      </c>
      <c r="E67" s="28" t="n">
        <v>3219.124</v>
      </c>
      <c r="F67" s="28" t="n">
        <v>719961.645</v>
      </c>
      <c r="G67" s="28" t="n">
        <v>7492173.514</v>
      </c>
      <c r="H67" s="29" t="str">
        <f aca="false">IF(AND(ABS(D67+Resumo!$C$6-F67)&lt;=0.01,ABS(E67+Resumo!$C$7-G67)&lt;=0.01),"OK","VERIFICAR")</f>
        <v>OK</v>
      </c>
      <c r="I67" s="29" t="s">
        <v>21</v>
      </c>
      <c r="J67" s="29" t="s">
        <v>22</v>
      </c>
      <c r="K67" s="30" t="n">
        <v>13.1</v>
      </c>
      <c r="L67" s="31" t="s">
        <v>72</v>
      </c>
      <c r="M67" s="32"/>
      <c r="N67" s="31" t="s">
        <v>72</v>
      </c>
      <c r="O67" s="32"/>
      <c r="P67" s="31" t="s">
        <v>72</v>
      </c>
      <c r="Q67" s="32"/>
      <c r="R67" s="31" t="s">
        <v>72</v>
      </c>
      <c r="S67" s="32"/>
      <c r="T67" s="33" t="n">
        <f aca="false">(COUNTIF(L67,"CONCLUÍDO")+COUNTIF(N67,"CONCLUÍDO")+COUNTIF(P67,"CONCLUÍDO")+COUNTIF(R67,"CONCLUÍDO"))/4</f>
        <v>0</v>
      </c>
      <c r="U67" s="34"/>
    </row>
    <row r="68" customFormat="false" ht="15" hidden="false" customHeight="false" outlineLevel="0" collapsed="false">
      <c r="A68" s="35" t="n">
        <v>60</v>
      </c>
      <c r="B68" s="36" t="s">
        <v>156</v>
      </c>
      <c r="C68" s="37" t="s">
        <v>19</v>
      </c>
      <c r="D68" s="38" t="n">
        <v>5007.711</v>
      </c>
      <c r="E68" s="38" t="n">
        <v>3219.124</v>
      </c>
      <c r="F68" s="38" t="n">
        <v>719963.145</v>
      </c>
      <c r="G68" s="38" t="n">
        <v>7492173.514</v>
      </c>
      <c r="H68" s="39" t="str">
        <f aca="false">IF(AND(ABS(D68+Resumo!$C$6-F68)&lt;=0.01,ABS(E68+Resumo!$C$7-G68)&lt;=0.01),"OK","VERIFICAR")</f>
        <v>OK</v>
      </c>
      <c r="I68" s="39" t="s">
        <v>21</v>
      </c>
      <c r="J68" s="39" t="s">
        <v>22</v>
      </c>
      <c r="K68" s="40" t="n">
        <v>13.1</v>
      </c>
      <c r="L68" s="31" t="s">
        <v>72</v>
      </c>
      <c r="M68" s="32"/>
      <c r="N68" s="31" t="s">
        <v>72</v>
      </c>
      <c r="O68" s="32"/>
      <c r="P68" s="31" t="s">
        <v>72</v>
      </c>
      <c r="Q68" s="32"/>
      <c r="R68" s="31" t="s">
        <v>72</v>
      </c>
      <c r="S68" s="32"/>
      <c r="T68" s="41" t="n">
        <f aca="false">(COUNTIF(L68,"CONCLUÍDO")+COUNTIF(N68,"CONCLUÍDO")+COUNTIF(P68,"CONCLUÍDO")+COUNTIF(R68,"CONCLUÍDO"))/4</f>
        <v>0</v>
      </c>
      <c r="U68" s="34"/>
    </row>
    <row r="69" customFormat="false" ht="15" hidden="false" customHeight="false" outlineLevel="0" collapsed="false">
      <c r="A69" s="25" t="n">
        <v>61</v>
      </c>
      <c r="B69" s="26" t="s">
        <v>157</v>
      </c>
      <c r="C69" s="27" t="s">
        <v>19</v>
      </c>
      <c r="D69" s="28" t="n">
        <v>5018.211</v>
      </c>
      <c r="E69" s="28" t="n">
        <v>3220.624</v>
      </c>
      <c r="F69" s="28" t="n">
        <v>719973.645</v>
      </c>
      <c r="G69" s="28" t="n">
        <v>7492175.014</v>
      </c>
      <c r="H69" s="29" t="str">
        <f aca="false">IF(AND(ABS(D69+Resumo!$C$6-F69)&lt;=0.01,ABS(E69+Resumo!$C$7-G69)&lt;=0.01),"OK","VERIFICAR")</f>
        <v>OK</v>
      </c>
      <c r="I69" s="29" t="s">
        <v>21</v>
      </c>
      <c r="J69" s="29" t="s">
        <v>22</v>
      </c>
      <c r="K69" s="30" t="n">
        <v>13.1</v>
      </c>
      <c r="L69" s="31" t="s">
        <v>72</v>
      </c>
      <c r="M69" s="32"/>
      <c r="N69" s="31" t="s">
        <v>72</v>
      </c>
      <c r="O69" s="32"/>
      <c r="P69" s="31" t="s">
        <v>72</v>
      </c>
      <c r="Q69" s="32"/>
      <c r="R69" s="31" t="s">
        <v>72</v>
      </c>
      <c r="S69" s="32"/>
      <c r="T69" s="33" t="n">
        <f aca="false">(COUNTIF(L69,"CONCLUÍDO")+COUNTIF(N69,"CONCLUÍDO")+COUNTIF(P69,"CONCLUÍDO")+COUNTIF(R69,"CONCLUÍDO"))/4</f>
        <v>0</v>
      </c>
      <c r="U69" s="34"/>
    </row>
    <row r="70" customFormat="false" ht="15" hidden="false" customHeight="false" outlineLevel="0" collapsed="false">
      <c r="A70" s="35" t="n">
        <v>62</v>
      </c>
      <c r="B70" s="36" t="s">
        <v>158</v>
      </c>
      <c r="C70" s="37" t="s">
        <v>19</v>
      </c>
      <c r="D70" s="38" t="n">
        <v>5019.711</v>
      </c>
      <c r="E70" s="38" t="n">
        <v>3220.624</v>
      </c>
      <c r="F70" s="38" t="n">
        <v>719975.145</v>
      </c>
      <c r="G70" s="38" t="n">
        <v>7492175.014</v>
      </c>
      <c r="H70" s="39" t="str">
        <f aca="false">IF(AND(ABS(D70+Resumo!$C$6-F70)&lt;=0.01,ABS(E70+Resumo!$C$7-G70)&lt;=0.01),"OK","VERIFICAR")</f>
        <v>OK</v>
      </c>
      <c r="I70" s="39" t="s">
        <v>21</v>
      </c>
      <c r="J70" s="39" t="s">
        <v>22</v>
      </c>
      <c r="K70" s="40" t="n">
        <v>13.1</v>
      </c>
      <c r="L70" s="31" t="s">
        <v>72</v>
      </c>
      <c r="M70" s="32"/>
      <c r="N70" s="31" t="s">
        <v>72</v>
      </c>
      <c r="O70" s="32"/>
      <c r="P70" s="31" t="s">
        <v>72</v>
      </c>
      <c r="Q70" s="32"/>
      <c r="R70" s="31" t="s">
        <v>72</v>
      </c>
      <c r="S70" s="32"/>
      <c r="T70" s="41" t="n">
        <f aca="false">(COUNTIF(L70,"CONCLUÍDO")+COUNTIF(N70,"CONCLUÍDO")+COUNTIF(P70,"CONCLUÍDO")+COUNTIF(R70,"CONCLUÍDO"))/4</f>
        <v>0</v>
      </c>
      <c r="U70" s="34"/>
    </row>
    <row r="71" customFormat="false" ht="15" hidden="false" customHeight="false" outlineLevel="0" collapsed="false">
      <c r="A71" s="25" t="n">
        <v>63</v>
      </c>
      <c r="B71" s="26" t="s">
        <v>159</v>
      </c>
      <c r="C71" s="27" t="s">
        <v>19</v>
      </c>
      <c r="D71" s="28" t="n">
        <v>5018.211</v>
      </c>
      <c r="E71" s="28" t="n">
        <v>3219.124</v>
      </c>
      <c r="F71" s="28" t="n">
        <v>719973.645</v>
      </c>
      <c r="G71" s="28" t="n">
        <v>7492173.514</v>
      </c>
      <c r="H71" s="29" t="str">
        <f aca="false">IF(AND(ABS(D71+Resumo!$C$6-F71)&lt;=0.01,ABS(E71+Resumo!$C$7-G71)&lt;=0.01),"OK","VERIFICAR")</f>
        <v>OK</v>
      </c>
      <c r="I71" s="29" t="s">
        <v>21</v>
      </c>
      <c r="J71" s="29" t="s">
        <v>22</v>
      </c>
      <c r="K71" s="30" t="n">
        <v>13.1</v>
      </c>
      <c r="L71" s="31" t="s">
        <v>72</v>
      </c>
      <c r="M71" s="32"/>
      <c r="N71" s="31" t="s">
        <v>72</v>
      </c>
      <c r="O71" s="32"/>
      <c r="P71" s="31" t="s">
        <v>72</v>
      </c>
      <c r="Q71" s="32"/>
      <c r="R71" s="31" t="s">
        <v>72</v>
      </c>
      <c r="S71" s="32"/>
      <c r="T71" s="33" t="n">
        <f aca="false">(COUNTIF(L71,"CONCLUÍDO")+COUNTIF(N71,"CONCLUÍDO")+COUNTIF(P71,"CONCLUÍDO")+COUNTIF(R71,"CONCLUÍDO"))/4</f>
        <v>0</v>
      </c>
      <c r="U71" s="34"/>
    </row>
    <row r="72" customFormat="false" ht="15" hidden="false" customHeight="false" outlineLevel="0" collapsed="false">
      <c r="A72" s="35" t="n">
        <v>64</v>
      </c>
      <c r="B72" s="36" t="s">
        <v>160</v>
      </c>
      <c r="C72" s="37" t="s">
        <v>19</v>
      </c>
      <c r="D72" s="38" t="n">
        <v>5019.711</v>
      </c>
      <c r="E72" s="38" t="n">
        <v>3219.124</v>
      </c>
      <c r="F72" s="38" t="n">
        <v>719975.145</v>
      </c>
      <c r="G72" s="38" t="n">
        <v>7492173.514</v>
      </c>
      <c r="H72" s="39" t="str">
        <f aca="false">IF(AND(ABS(D72+Resumo!$C$6-F72)&lt;=0.01,ABS(E72+Resumo!$C$7-G72)&lt;=0.01),"OK","VERIFICAR")</f>
        <v>OK</v>
      </c>
      <c r="I72" s="39" t="s">
        <v>21</v>
      </c>
      <c r="J72" s="39" t="s">
        <v>22</v>
      </c>
      <c r="K72" s="40" t="n">
        <v>13.1</v>
      </c>
      <c r="L72" s="31" t="s">
        <v>72</v>
      </c>
      <c r="M72" s="32"/>
      <c r="N72" s="31" t="s">
        <v>72</v>
      </c>
      <c r="O72" s="32"/>
      <c r="P72" s="31" t="s">
        <v>72</v>
      </c>
      <c r="Q72" s="32"/>
      <c r="R72" s="31" t="s">
        <v>72</v>
      </c>
      <c r="S72" s="32"/>
      <c r="T72" s="41" t="n">
        <f aca="false">(COUNTIF(L72,"CONCLUÍDO")+COUNTIF(N72,"CONCLUÍDO")+COUNTIF(P72,"CONCLUÍDO")+COUNTIF(R72,"CONCLUÍDO"))/4</f>
        <v>0</v>
      </c>
      <c r="U72" s="34"/>
    </row>
    <row r="73" customFormat="false" ht="15" hidden="false" customHeight="false" outlineLevel="0" collapsed="false">
      <c r="A73" s="42" t="s">
        <v>50</v>
      </c>
      <c r="B73" s="42"/>
      <c r="C73" s="42"/>
      <c r="D73" s="43" t="n">
        <f aca="false">COUNTA(B9:B72)</f>
        <v>64</v>
      </c>
      <c r="E73" s="44" t="s">
        <v>161</v>
      </c>
      <c r="F73" s="45"/>
      <c r="G73" s="45"/>
      <c r="H73" s="45"/>
      <c r="I73" s="45"/>
      <c r="J73" s="45"/>
      <c r="K73" s="45"/>
      <c r="L73" s="46" t="str">
        <f aca="false">COUNTIF(L9:L72,"CONCLUÍDO")&amp;" / "&amp;COUNTA(B9:B72)</f>
        <v>0 / 64</v>
      </c>
      <c r="M73" s="45"/>
      <c r="N73" s="46" t="str">
        <f aca="false">COUNTIF(N9:N72,"CONCLUÍDO")&amp;" / "&amp;COUNTA(B9:B72)</f>
        <v>0 / 64</v>
      </c>
      <c r="O73" s="45"/>
      <c r="P73" s="46" t="str">
        <f aca="false">COUNTIF(P9:P72,"CONCLUÍDO")&amp;" / "&amp;COUNTA(B9:B72)</f>
        <v>0 / 64</v>
      </c>
      <c r="Q73" s="45"/>
      <c r="R73" s="46" t="str">
        <f aca="false">COUNTIF(R9:R72,"CONCLUÍDO")&amp;" / "&amp;COUNTA(B9:B72)</f>
        <v>0 / 64</v>
      </c>
      <c r="S73" s="45"/>
      <c r="T73" s="47" t="n">
        <f aca="false">AVERAGE(T9:T72)</f>
        <v>0</v>
      </c>
      <c r="U73" s="45"/>
    </row>
  </sheetData>
  <autoFilter ref="A8:U72"/>
  <mergeCells count="25">
    <mergeCell ref="A1:U1"/>
    <mergeCell ref="A2:U2"/>
    <mergeCell ref="A3:U3"/>
    <mergeCell ref="A4:U4"/>
    <mergeCell ref="A6:A8"/>
    <mergeCell ref="B6:B8"/>
    <mergeCell ref="C6:C8"/>
    <mergeCell ref="D6:G6"/>
    <mergeCell ref="H6:H8"/>
    <mergeCell ref="I6:K6"/>
    <mergeCell ref="L6:S6"/>
    <mergeCell ref="T6:T8"/>
    <mergeCell ref="U6:U8"/>
    <mergeCell ref="D7:D8"/>
    <mergeCell ref="E7:E8"/>
    <mergeCell ref="F7:F8"/>
    <mergeCell ref="G7:G8"/>
    <mergeCell ref="I7:I8"/>
    <mergeCell ref="J7:J8"/>
    <mergeCell ref="K7:K8"/>
    <mergeCell ref="L7:M7"/>
    <mergeCell ref="N7:O7"/>
    <mergeCell ref="P7:Q7"/>
    <mergeCell ref="R7:S7"/>
    <mergeCell ref="A73:C73"/>
  </mergeCells>
  <conditionalFormatting sqref="L9:L72">
    <cfRule type="cellIs" priority="2" operator="equal" aboveAverage="0" equalAverage="0" bottom="0" percent="0" rank="0" text="" dxfId="9">
      <formula>"CONCLUÍDO"</formula>
    </cfRule>
    <cfRule type="cellIs" priority="3" operator="equal" aboveAverage="0" equalAverage="0" bottom="0" percent="0" rank="0" text="" dxfId="10">
      <formula>"EM ANDAMENTO"</formula>
    </cfRule>
    <cfRule type="cellIs" priority="4" operator="equal" aboveAverage="0" equalAverage="0" bottom="0" percent="0" rank="0" text="" dxfId="11">
      <formula>"NÃO INICIADO"</formula>
    </cfRule>
  </conditionalFormatting>
  <conditionalFormatting sqref="N9:N72">
    <cfRule type="cellIs" priority="5" operator="equal" aboveAverage="0" equalAverage="0" bottom="0" percent="0" rank="0" text="" dxfId="9">
      <formula>"CONCLUÍDO"</formula>
    </cfRule>
    <cfRule type="cellIs" priority="6" operator="equal" aboveAverage="0" equalAverage="0" bottom="0" percent="0" rank="0" text="" dxfId="10">
      <formula>"EM ANDAMENTO"</formula>
    </cfRule>
    <cfRule type="cellIs" priority="7" operator="equal" aboveAverage="0" equalAverage="0" bottom="0" percent="0" rank="0" text="" dxfId="11">
      <formula>"NÃO INICIADO"</formula>
    </cfRule>
  </conditionalFormatting>
  <conditionalFormatting sqref="P9:P72">
    <cfRule type="cellIs" priority="8" operator="equal" aboveAverage="0" equalAverage="0" bottom="0" percent="0" rank="0" text="" dxfId="9">
      <formula>"CONCLUÍDO"</formula>
    </cfRule>
    <cfRule type="cellIs" priority="9" operator="equal" aboveAverage="0" equalAverage="0" bottom="0" percent="0" rank="0" text="" dxfId="10">
      <formula>"EM ANDAMENTO"</formula>
    </cfRule>
    <cfRule type="cellIs" priority="10" operator="equal" aboveAverage="0" equalAverage="0" bottom="0" percent="0" rank="0" text="" dxfId="11">
      <formula>"NÃO INICIADO"</formula>
    </cfRule>
  </conditionalFormatting>
  <conditionalFormatting sqref="R9:R72">
    <cfRule type="cellIs" priority="11" operator="equal" aboveAverage="0" equalAverage="0" bottom="0" percent="0" rank="0" text="" dxfId="9">
      <formula>"CONCLUÍDO"</formula>
    </cfRule>
    <cfRule type="cellIs" priority="12" operator="equal" aboveAverage="0" equalAverage="0" bottom="0" percent="0" rank="0" text="" dxfId="10">
      <formula>"EM ANDAMENTO"</formula>
    </cfRule>
    <cfRule type="cellIs" priority="13" operator="equal" aboveAverage="0" equalAverage="0" bottom="0" percent="0" rank="0" text="" dxfId="11">
      <formula>"NÃO INICIADO"</formula>
    </cfRule>
  </conditionalFormatting>
  <conditionalFormatting sqref="H9:H72">
    <cfRule type="cellIs" priority="14" operator="equal" aboveAverage="0" equalAverage="0" bottom="0" percent="0" rank="0" text="" dxfId="12">
      <formula>"VERIFICAR"</formula>
    </cfRule>
  </conditionalFormatting>
  <dataValidations count="1">
    <dataValidation allowBlank="false" error="Selecione: NÃO INICIADO, EM ANDAMENTO, CONCLUÍDO ou N/A" errorStyle="stop" errorTitle="Status inválido" operator="between" prompt="Escolha o status da etapa" promptTitle="Status" showDropDown="false" showErrorMessage="false" showInputMessage="false" sqref="L9:L72 N9:N72 P9:P72 R9:R72" type="list">
      <formula1>"NÃO INICIADO,EM ANDAMENTO,CONCLUÍDO,N/A"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7" min="6" style="0" width="17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5"/>
    <col collapsed="false" customWidth="true" hidden="false" outlineLevel="0" max="15" min="15" style="0" width="11"/>
    <col collapsed="false" customWidth="true" hidden="false" outlineLevel="0" max="16" min="16" style="0" width="15"/>
    <col collapsed="false" customWidth="true" hidden="false" outlineLevel="0" max="17" min="17" style="0" width="11"/>
    <col collapsed="false" customWidth="true" hidden="false" outlineLevel="0" max="18" min="18" style="0" width="15"/>
    <col collapsed="false" customWidth="true" hidden="false" outlineLevel="0" max="19" min="19" style="0" width="11"/>
    <col collapsed="false" customWidth="true" hidden="false" outlineLevel="0" max="20" min="20" style="0" width="10"/>
    <col collapsed="false" customWidth="true" hidden="false" outlineLevel="0" max="21" min="21" style="0" width="34"/>
  </cols>
  <sheetData>
    <row r="1" customFormat="false" ht="27.75" hidden="false" customHeight="true" outlineLevel="0" collapsed="false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false" outlineLevel="0" collapsed="false">
      <c r="A2" s="19" t="s">
        <v>163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customFormat="false" ht="15" hidden="false" customHeight="false" outlineLevel="0" collapsed="false">
      <c r="A3" s="20" t="s">
        <v>81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customFormat="false" ht="15" hidden="false" customHeight="false" outlineLevel="0" collapsed="false">
      <c r="A4" s="20" t="s">
        <v>164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6" customFormat="false" ht="19.5" hidden="false" customHeight="true" outlineLevel="0" collapsed="false">
      <c r="A6" s="21" t="s">
        <v>83</v>
      </c>
      <c r="B6" s="21" t="s">
        <v>84</v>
      </c>
      <c r="C6" s="21" t="s">
        <v>10</v>
      </c>
      <c r="D6" s="22" t="s">
        <v>85</v>
      </c>
      <c r="E6" s="22"/>
      <c r="F6" s="22"/>
      <c r="G6" s="22"/>
      <c r="H6" s="21" t="s">
        <v>86</v>
      </c>
      <c r="I6" s="22" t="s">
        <v>87</v>
      </c>
      <c r="J6" s="22"/>
      <c r="K6" s="22"/>
      <c r="L6" s="22" t="s">
        <v>88</v>
      </c>
      <c r="M6" s="22"/>
      <c r="N6" s="22"/>
      <c r="O6" s="22"/>
      <c r="P6" s="22"/>
      <c r="Q6" s="22"/>
      <c r="R6" s="22"/>
      <c r="S6" s="22"/>
      <c r="T6" s="21" t="s">
        <v>89</v>
      </c>
      <c r="U6" s="21" t="s">
        <v>90</v>
      </c>
    </row>
    <row r="7" customFormat="false" ht="19.5" hidden="false" customHeight="true" outlineLevel="0" collapsed="false">
      <c r="A7" s="21"/>
      <c r="B7" s="21"/>
      <c r="C7" s="21"/>
      <c r="D7" s="21" t="s">
        <v>91</v>
      </c>
      <c r="E7" s="21" t="s">
        <v>92</v>
      </c>
      <c r="F7" s="21" t="s">
        <v>93</v>
      </c>
      <c r="G7" s="21" t="s">
        <v>94</v>
      </c>
      <c r="H7" s="21"/>
      <c r="I7" s="21" t="s">
        <v>12</v>
      </c>
      <c r="J7" s="21" t="s">
        <v>95</v>
      </c>
      <c r="K7" s="21" t="s">
        <v>96</v>
      </c>
      <c r="L7" s="23" t="s">
        <v>53</v>
      </c>
      <c r="M7" s="23"/>
      <c r="N7" s="23" t="s">
        <v>54</v>
      </c>
      <c r="O7" s="23"/>
      <c r="P7" s="23" t="s">
        <v>55</v>
      </c>
      <c r="Q7" s="23"/>
      <c r="R7" s="23" t="s">
        <v>56</v>
      </c>
      <c r="S7" s="23"/>
      <c r="T7" s="21"/>
      <c r="U7" s="21"/>
    </row>
    <row r="8" customFormat="false" ht="25.5" hidden="false" customHeight="true" outlineLevel="0" collapsed="false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4" t="s">
        <v>97</v>
      </c>
      <c r="M8" s="24" t="s">
        <v>66</v>
      </c>
      <c r="N8" s="24" t="s">
        <v>97</v>
      </c>
      <c r="O8" s="24" t="s">
        <v>66</v>
      </c>
      <c r="P8" s="24" t="s">
        <v>97</v>
      </c>
      <c r="Q8" s="24" t="s">
        <v>66</v>
      </c>
      <c r="R8" s="24" t="s">
        <v>97</v>
      </c>
      <c r="S8" s="24" t="s">
        <v>66</v>
      </c>
      <c r="T8" s="21"/>
      <c r="U8" s="21"/>
    </row>
    <row r="9" customFormat="false" ht="15" hidden="false" customHeight="false" outlineLevel="0" collapsed="false">
      <c r="A9" s="25" t="n">
        <v>1</v>
      </c>
      <c r="B9" s="26" t="s">
        <v>165</v>
      </c>
      <c r="C9" s="27" t="s">
        <v>26</v>
      </c>
      <c r="D9" s="28" t="n">
        <v>5051.087</v>
      </c>
      <c r="E9" s="28" t="n">
        <v>3171.048</v>
      </c>
      <c r="F9" s="28" t="n">
        <v>720006.521</v>
      </c>
      <c r="G9" s="28" t="n">
        <v>7492125.438</v>
      </c>
      <c r="H9" s="29" t="str">
        <f aca="false">IF(AND(ABS(D9+Resumo!$C$6-F9)&lt;=0.01,ABS(E9+Resumo!$C$7-G9)&lt;=0.01),"OK","VERIFICAR")</f>
        <v>OK</v>
      </c>
      <c r="I9" s="29" t="s">
        <v>28</v>
      </c>
      <c r="J9" s="29" t="s">
        <v>29</v>
      </c>
      <c r="K9" s="30" t="n">
        <v>8.75</v>
      </c>
      <c r="L9" s="31" t="s">
        <v>72</v>
      </c>
      <c r="M9" s="32"/>
      <c r="N9" s="31" t="s">
        <v>72</v>
      </c>
      <c r="O9" s="32"/>
      <c r="P9" s="31" t="s">
        <v>72</v>
      </c>
      <c r="Q9" s="32"/>
      <c r="R9" s="31" t="s">
        <v>72</v>
      </c>
      <c r="S9" s="32"/>
      <c r="T9" s="33" t="n">
        <f aca="false">(COUNTIF(L9,"CONCLUÍDO")+COUNTIF(N9,"CONCLUÍDO")+COUNTIF(P9,"CONCLUÍDO")+COUNTIF(R9,"CONCLUÍDO"))/4</f>
        <v>0</v>
      </c>
      <c r="U9" s="34"/>
    </row>
    <row r="10" customFormat="false" ht="15" hidden="false" customHeight="false" outlineLevel="0" collapsed="false">
      <c r="A10" s="35" t="n">
        <v>2</v>
      </c>
      <c r="B10" s="36" t="s">
        <v>166</v>
      </c>
      <c r="C10" s="37" t="s">
        <v>26</v>
      </c>
      <c r="D10" s="38" t="n">
        <v>5051.087</v>
      </c>
      <c r="E10" s="38" t="n">
        <v>3173.048</v>
      </c>
      <c r="F10" s="38" t="n">
        <v>720006.521</v>
      </c>
      <c r="G10" s="38" t="n">
        <v>7492127.438</v>
      </c>
      <c r="H10" s="39" t="str">
        <f aca="false">IF(AND(ABS(D10+Resumo!$C$6-F10)&lt;=0.01,ABS(E10+Resumo!$C$7-G10)&lt;=0.01),"OK","VERIFICAR")</f>
        <v>OK</v>
      </c>
      <c r="I10" s="39" t="s">
        <v>28</v>
      </c>
      <c r="J10" s="39" t="s">
        <v>29</v>
      </c>
      <c r="K10" s="40" t="n">
        <v>8.75</v>
      </c>
      <c r="L10" s="31" t="s">
        <v>72</v>
      </c>
      <c r="M10" s="32"/>
      <c r="N10" s="31" t="s">
        <v>72</v>
      </c>
      <c r="O10" s="32"/>
      <c r="P10" s="31" t="s">
        <v>72</v>
      </c>
      <c r="Q10" s="32"/>
      <c r="R10" s="31" t="s">
        <v>72</v>
      </c>
      <c r="S10" s="32"/>
      <c r="T10" s="41" t="n">
        <f aca="false">(COUNTIF(L10,"CONCLUÍDO")+COUNTIF(N10,"CONCLUÍDO")+COUNTIF(P10,"CONCLUÍDO")+COUNTIF(R10,"CONCLUÍDO"))/4</f>
        <v>0</v>
      </c>
      <c r="U10" s="34"/>
    </row>
    <row r="11" customFormat="false" ht="15" hidden="false" customHeight="false" outlineLevel="0" collapsed="false">
      <c r="A11" s="25" t="n">
        <v>3</v>
      </c>
      <c r="B11" s="26" t="s">
        <v>167</v>
      </c>
      <c r="C11" s="27" t="s">
        <v>26</v>
      </c>
      <c r="D11" s="28" t="n">
        <v>5051.087</v>
      </c>
      <c r="E11" s="28" t="n">
        <v>3174.548</v>
      </c>
      <c r="F11" s="28" t="n">
        <v>720006.521</v>
      </c>
      <c r="G11" s="28" t="n">
        <v>7492128.938</v>
      </c>
      <c r="H11" s="29" t="str">
        <f aca="false">IF(AND(ABS(D11+Resumo!$C$6-F11)&lt;=0.01,ABS(E11+Resumo!$C$7-G11)&lt;=0.01),"OK","VERIFICAR")</f>
        <v>OK</v>
      </c>
      <c r="I11" s="29" t="s">
        <v>28</v>
      </c>
      <c r="J11" s="29" t="s">
        <v>29</v>
      </c>
      <c r="K11" s="30" t="n">
        <v>8.75</v>
      </c>
      <c r="L11" s="31" t="s">
        <v>72</v>
      </c>
      <c r="M11" s="32"/>
      <c r="N11" s="31" t="s">
        <v>72</v>
      </c>
      <c r="O11" s="32"/>
      <c r="P11" s="31" t="s">
        <v>72</v>
      </c>
      <c r="Q11" s="32"/>
      <c r="R11" s="31" t="s">
        <v>72</v>
      </c>
      <c r="S11" s="32"/>
      <c r="T11" s="33" t="n">
        <f aca="false">(COUNTIF(L11,"CONCLUÍDO")+COUNTIF(N11,"CONCLUÍDO")+COUNTIF(P11,"CONCLUÍDO")+COUNTIF(R11,"CONCLUÍDO"))/4</f>
        <v>0</v>
      </c>
      <c r="U11" s="34"/>
    </row>
    <row r="12" customFormat="false" ht="15" hidden="false" customHeight="false" outlineLevel="0" collapsed="false">
      <c r="A12" s="35" t="n">
        <v>4</v>
      </c>
      <c r="B12" s="36" t="s">
        <v>168</v>
      </c>
      <c r="C12" s="37" t="s">
        <v>26</v>
      </c>
      <c r="D12" s="38" t="n">
        <v>5051.087</v>
      </c>
      <c r="E12" s="38" t="n">
        <v>3176.548</v>
      </c>
      <c r="F12" s="38" t="n">
        <v>720006.521</v>
      </c>
      <c r="G12" s="38" t="n">
        <v>7492130.938</v>
      </c>
      <c r="H12" s="39" t="str">
        <f aca="false">IF(AND(ABS(D12+Resumo!$C$6-F12)&lt;=0.01,ABS(E12+Resumo!$C$7-G12)&lt;=0.01),"OK","VERIFICAR")</f>
        <v>OK</v>
      </c>
      <c r="I12" s="39" t="s">
        <v>28</v>
      </c>
      <c r="J12" s="39" t="s">
        <v>29</v>
      </c>
      <c r="K12" s="40" t="n">
        <v>8.75</v>
      </c>
      <c r="L12" s="31" t="s">
        <v>72</v>
      </c>
      <c r="M12" s="32"/>
      <c r="N12" s="31" t="s">
        <v>72</v>
      </c>
      <c r="O12" s="32"/>
      <c r="P12" s="31" t="s">
        <v>72</v>
      </c>
      <c r="Q12" s="32"/>
      <c r="R12" s="31" t="s">
        <v>72</v>
      </c>
      <c r="S12" s="32"/>
      <c r="T12" s="41" t="n">
        <f aca="false">(COUNTIF(L12,"CONCLUÍDO")+COUNTIF(N12,"CONCLUÍDO")+COUNTIF(P12,"CONCLUÍDO")+COUNTIF(R12,"CONCLUÍDO"))/4</f>
        <v>0</v>
      </c>
      <c r="U12" s="34"/>
    </row>
    <row r="13" customFormat="false" ht="15" hidden="false" customHeight="false" outlineLevel="0" collapsed="false">
      <c r="A13" s="25" t="n">
        <v>5</v>
      </c>
      <c r="B13" s="26" t="s">
        <v>169</v>
      </c>
      <c r="C13" s="27" t="s">
        <v>26</v>
      </c>
      <c r="D13" s="28" t="n">
        <v>5051.087</v>
      </c>
      <c r="E13" s="28" t="n">
        <v>3178.322</v>
      </c>
      <c r="F13" s="28" t="n">
        <v>720006.521</v>
      </c>
      <c r="G13" s="28" t="n">
        <v>7492132.712</v>
      </c>
      <c r="H13" s="29" t="str">
        <f aca="false">IF(AND(ABS(D13+Resumo!$C$6-F13)&lt;=0.01,ABS(E13+Resumo!$C$7-G13)&lt;=0.01),"OK","VERIFICAR")</f>
        <v>OK</v>
      </c>
      <c r="I13" s="29" t="s">
        <v>28</v>
      </c>
      <c r="J13" s="29" t="s">
        <v>29</v>
      </c>
      <c r="K13" s="30" t="n">
        <v>8.75</v>
      </c>
      <c r="L13" s="31" t="s">
        <v>72</v>
      </c>
      <c r="M13" s="32"/>
      <c r="N13" s="31" t="s">
        <v>72</v>
      </c>
      <c r="O13" s="32"/>
      <c r="P13" s="31" t="s">
        <v>72</v>
      </c>
      <c r="Q13" s="32"/>
      <c r="R13" s="31" t="s">
        <v>72</v>
      </c>
      <c r="S13" s="32"/>
      <c r="T13" s="33" t="n">
        <f aca="false">(COUNTIF(L13,"CONCLUÍDO")+COUNTIF(N13,"CONCLUÍDO")+COUNTIF(P13,"CONCLUÍDO")+COUNTIF(R13,"CONCLUÍDO"))/4</f>
        <v>0</v>
      </c>
      <c r="U13" s="34"/>
    </row>
    <row r="14" customFormat="false" ht="15" hidden="false" customHeight="false" outlineLevel="0" collapsed="false">
      <c r="A14" s="35" t="n">
        <v>6</v>
      </c>
      <c r="B14" s="36" t="s">
        <v>170</v>
      </c>
      <c r="C14" s="37" t="s">
        <v>26</v>
      </c>
      <c r="D14" s="38" t="n">
        <v>5051.087</v>
      </c>
      <c r="E14" s="38" t="n">
        <v>3180.322</v>
      </c>
      <c r="F14" s="38" t="n">
        <v>720006.521</v>
      </c>
      <c r="G14" s="38" t="n">
        <v>7492134.712</v>
      </c>
      <c r="H14" s="39" t="str">
        <f aca="false">IF(AND(ABS(D14+Resumo!$C$6-F14)&lt;=0.01,ABS(E14+Resumo!$C$7-G14)&lt;=0.01),"OK","VERIFICAR")</f>
        <v>OK</v>
      </c>
      <c r="I14" s="39" t="s">
        <v>28</v>
      </c>
      <c r="J14" s="39" t="s">
        <v>29</v>
      </c>
      <c r="K14" s="40" t="n">
        <v>8.75</v>
      </c>
      <c r="L14" s="31" t="s">
        <v>72</v>
      </c>
      <c r="M14" s="32"/>
      <c r="N14" s="31" t="s">
        <v>72</v>
      </c>
      <c r="O14" s="32"/>
      <c r="P14" s="31" t="s">
        <v>72</v>
      </c>
      <c r="Q14" s="32"/>
      <c r="R14" s="31" t="s">
        <v>72</v>
      </c>
      <c r="S14" s="32"/>
      <c r="T14" s="41" t="n">
        <f aca="false">(COUNTIF(L14,"CONCLUÍDO")+COUNTIF(N14,"CONCLUÍDO")+COUNTIF(P14,"CONCLUÍDO")+COUNTIF(R14,"CONCLUÍDO"))/4</f>
        <v>0</v>
      </c>
      <c r="U14" s="34"/>
    </row>
    <row r="15" customFormat="false" ht="15" hidden="false" customHeight="false" outlineLevel="0" collapsed="false">
      <c r="A15" s="25" t="n">
        <v>7</v>
      </c>
      <c r="B15" s="26" t="s">
        <v>171</v>
      </c>
      <c r="C15" s="27" t="s">
        <v>26</v>
      </c>
      <c r="D15" s="28" t="n">
        <v>5051.087</v>
      </c>
      <c r="E15" s="28" t="n">
        <v>3181.822</v>
      </c>
      <c r="F15" s="28" t="n">
        <v>720006.521</v>
      </c>
      <c r="G15" s="28" t="n">
        <v>7492136.212</v>
      </c>
      <c r="H15" s="29" t="str">
        <f aca="false">IF(AND(ABS(D15+Resumo!$C$6-F15)&lt;=0.01,ABS(E15+Resumo!$C$7-G15)&lt;=0.01),"OK","VERIFICAR")</f>
        <v>OK</v>
      </c>
      <c r="I15" s="29" t="s">
        <v>28</v>
      </c>
      <c r="J15" s="29" t="s">
        <v>29</v>
      </c>
      <c r="K15" s="30" t="n">
        <v>8.75</v>
      </c>
      <c r="L15" s="31" t="s">
        <v>72</v>
      </c>
      <c r="M15" s="32"/>
      <c r="N15" s="31" t="s">
        <v>72</v>
      </c>
      <c r="O15" s="32"/>
      <c r="P15" s="31" t="s">
        <v>72</v>
      </c>
      <c r="Q15" s="32"/>
      <c r="R15" s="31" t="s">
        <v>72</v>
      </c>
      <c r="S15" s="32"/>
      <c r="T15" s="33" t="n">
        <f aca="false">(COUNTIF(L15,"CONCLUÍDO")+COUNTIF(N15,"CONCLUÍDO")+COUNTIF(P15,"CONCLUÍDO")+COUNTIF(R15,"CONCLUÍDO"))/4</f>
        <v>0</v>
      </c>
      <c r="U15" s="34"/>
    </row>
    <row r="16" customFormat="false" ht="15" hidden="false" customHeight="false" outlineLevel="0" collapsed="false">
      <c r="A16" s="35" t="n">
        <v>8</v>
      </c>
      <c r="B16" s="36" t="s">
        <v>172</v>
      </c>
      <c r="C16" s="37" t="s">
        <v>26</v>
      </c>
      <c r="D16" s="38" t="n">
        <v>5051.087</v>
      </c>
      <c r="E16" s="38" t="n">
        <v>3183.822</v>
      </c>
      <c r="F16" s="38" t="n">
        <v>720006.521</v>
      </c>
      <c r="G16" s="38" t="n">
        <v>7492138.212</v>
      </c>
      <c r="H16" s="39" t="str">
        <f aca="false">IF(AND(ABS(D16+Resumo!$C$6-F16)&lt;=0.01,ABS(E16+Resumo!$C$7-G16)&lt;=0.01),"OK","VERIFICAR")</f>
        <v>OK</v>
      </c>
      <c r="I16" s="39" t="s">
        <v>28</v>
      </c>
      <c r="J16" s="39" t="s">
        <v>29</v>
      </c>
      <c r="K16" s="40" t="n">
        <v>8.75</v>
      </c>
      <c r="L16" s="31" t="s">
        <v>72</v>
      </c>
      <c r="M16" s="32"/>
      <c r="N16" s="31" t="s">
        <v>72</v>
      </c>
      <c r="O16" s="32"/>
      <c r="P16" s="31" t="s">
        <v>72</v>
      </c>
      <c r="Q16" s="32"/>
      <c r="R16" s="31" t="s">
        <v>72</v>
      </c>
      <c r="S16" s="32"/>
      <c r="T16" s="41" t="n">
        <f aca="false">(COUNTIF(L16,"CONCLUÍDO")+COUNTIF(N16,"CONCLUÍDO")+COUNTIF(P16,"CONCLUÍDO")+COUNTIF(R16,"CONCLUÍDO"))/4</f>
        <v>0</v>
      </c>
      <c r="U16" s="34"/>
    </row>
    <row r="17" customFormat="false" ht="15" hidden="false" customHeight="false" outlineLevel="0" collapsed="false">
      <c r="A17" s="25" t="n">
        <v>9</v>
      </c>
      <c r="B17" s="26" t="s">
        <v>173</v>
      </c>
      <c r="C17" s="27" t="s">
        <v>26</v>
      </c>
      <c r="D17" s="28" t="n">
        <v>5054.671</v>
      </c>
      <c r="E17" s="28" t="n">
        <v>3171.048</v>
      </c>
      <c r="F17" s="28" t="n">
        <v>720010.105</v>
      </c>
      <c r="G17" s="28" t="n">
        <v>7492125.438</v>
      </c>
      <c r="H17" s="29" t="str">
        <f aca="false">IF(AND(ABS(D17+Resumo!$C$6-F17)&lt;=0.01,ABS(E17+Resumo!$C$7-G17)&lt;=0.01),"OK","VERIFICAR")</f>
        <v>OK</v>
      </c>
      <c r="I17" s="29" t="s">
        <v>28</v>
      </c>
      <c r="J17" s="29" t="s">
        <v>29</v>
      </c>
      <c r="K17" s="30" t="n">
        <v>8.75</v>
      </c>
      <c r="L17" s="31" t="s">
        <v>72</v>
      </c>
      <c r="M17" s="32"/>
      <c r="N17" s="31" t="s">
        <v>72</v>
      </c>
      <c r="O17" s="32"/>
      <c r="P17" s="31" t="s">
        <v>72</v>
      </c>
      <c r="Q17" s="32"/>
      <c r="R17" s="31" t="s">
        <v>72</v>
      </c>
      <c r="S17" s="32"/>
      <c r="T17" s="33" t="n">
        <f aca="false">(COUNTIF(L17,"CONCLUÍDO")+COUNTIF(N17,"CONCLUÍDO")+COUNTIF(P17,"CONCLUÍDO")+COUNTIF(R17,"CONCLUÍDO"))/4</f>
        <v>0</v>
      </c>
      <c r="U17" s="34"/>
    </row>
    <row r="18" customFormat="false" ht="15" hidden="false" customHeight="false" outlineLevel="0" collapsed="false">
      <c r="A18" s="35" t="n">
        <v>10</v>
      </c>
      <c r="B18" s="36" t="s">
        <v>174</v>
      </c>
      <c r="C18" s="37" t="s">
        <v>26</v>
      </c>
      <c r="D18" s="38" t="n">
        <v>5054.671</v>
      </c>
      <c r="E18" s="38" t="n">
        <v>3173.048</v>
      </c>
      <c r="F18" s="38" t="n">
        <v>720010.105</v>
      </c>
      <c r="G18" s="38" t="n">
        <v>7492127.438</v>
      </c>
      <c r="H18" s="39" t="str">
        <f aca="false">IF(AND(ABS(D18+Resumo!$C$6-F18)&lt;=0.01,ABS(E18+Resumo!$C$7-G18)&lt;=0.01),"OK","VERIFICAR")</f>
        <v>OK</v>
      </c>
      <c r="I18" s="39" t="s">
        <v>28</v>
      </c>
      <c r="J18" s="39" t="s">
        <v>29</v>
      </c>
      <c r="K18" s="40" t="n">
        <v>8.75</v>
      </c>
      <c r="L18" s="31" t="s">
        <v>72</v>
      </c>
      <c r="M18" s="32"/>
      <c r="N18" s="31" t="s">
        <v>72</v>
      </c>
      <c r="O18" s="32"/>
      <c r="P18" s="31" t="s">
        <v>72</v>
      </c>
      <c r="Q18" s="32"/>
      <c r="R18" s="31" t="s">
        <v>72</v>
      </c>
      <c r="S18" s="32"/>
      <c r="T18" s="41" t="n">
        <f aca="false">(COUNTIF(L18,"CONCLUÍDO")+COUNTIF(N18,"CONCLUÍDO")+COUNTIF(P18,"CONCLUÍDO")+COUNTIF(R18,"CONCLUÍDO"))/4</f>
        <v>0</v>
      </c>
      <c r="U18" s="34"/>
    </row>
    <row r="19" customFormat="false" ht="15" hidden="false" customHeight="false" outlineLevel="0" collapsed="false">
      <c r="A19" s="25" t="n">
        <v>11</v>
      </c>
      <c r="B19" s="26" t="s">
        <v>175</v>
      </c>
      <c r="C19" s="27" t="s">
        <v>26</v>
      </c>
      <c r="D19" s="28" t="n">
        <v>5054.671</v>
      </c>
      <c r="E19" s="28" t="n">
        <v>3174.548</v>
      </c>
      <c r="F19" s="28" t="n">
        <v>720010.105</v>
      </c>
      <c r="G19" s="28" t="n">
        <v>7492128.938</v>
      </c>
      <c r="H19" s="29" t="str">
        <f aca="false">IF(AND(ABS(D19+Resumo!$C$6-F19)&lt;=0.01,ABS(E19+Resumo!$C$7-G19)&lt;=0.01),"OK","VERIFICAR")</f>
        <v>OK</v>
      </c>
      <c r="I19" s="29" t="s">
        <v>28</v>
      </c>
      <c r="J19" s="29" t="s">
        <v>29</v>
      </c>
      <c r="K19" s="30" t="n">
        <v>8.75</v>
      </c>
      <c r="L19" s="31" t="s">
        <v>72</v>
      </c>
      <c r="M19" s="32"/>
      <c r="N19" s="31" t="s">
        <v>72</v>
      </c>
      <c r="O19" s="32"/>
      <c r="P19" s="31" t="s">
        <v>72</v>
      </c>
      <c r="Q19" s="32"/>
      <c r="R19" s="31" t="s">
        <v>72</v>
      </c>
      <c r="S19" s="32"/>
      <c r="T19" s="33" t="n">
        <f aca="false">(COUNTIF(L19,"CONCLUÍDO")+COUNTIF(N19,"CONCLUÍDO")+COUNTIF(P19,"CONCLUÍDO")+COUNTIF(R19,"CONCLUÍDO"))/4</f>
        <v>0</v>
      </c>
      <c r="U19" s="34"/>
    </row>
    <row r="20" customFormat="false" ht="15" hidden="false" customHeight="false" outlineLevel="0" collapsed="false">
      <c r="A20" s="35" t="n">
        <v>12</v>
      </c>
      <c r="B20" s="36" t="s">
        <v>176</v>
      </c>
      <c r="C20" s="37" t="s">
        <v>26</v>
      </c>
      <c r="D20" s="38" t="n">
        <v>5054.671</v>
      </c>
      <c r="E20" s="38" t="n">
        <v>3176.548</v>
      </c>
      <c r="F20" s="38" t="n">
        <v>720010.105</v>
      </c>
      <c r="G20" s="38" t="n">
        <v>7492130.938</v>
      </c>
      <c r="H20" s="39" t="str">
        <f aca="false">IF(AND(ABS(D20+Resumo!$C$6-F20)&lt;=0.01,ABS(E20+Resumo!$C$7-G20)&lt;=0.01),"OK","VERIFICAR")</f>
        <v>OK</v>
      </c>
      <c r="I20" s="39" t="s">
        <v>28</v>
      </c>
      <c r="J20" s="39" t="s">
        <v>29</v>
      </c>
      <c r="K20" s="40" t="n">
        <v>8.75</v>
      </c>
      <c r="L20" s="31" t="s">
        <v>72</v>
      </c>
      <c r="M20" s="32"/>
      <c r="N20" s="31" t="s">
        <v>72</v>
      </c>
      <c r="O20" s="32"/>
      <c r="P20" s="31" t="s">
        <v>72</v>
      </c>
      <c r="Q20" s="32"/>
      <c r="R20" s="31" t="s">
        <v>72</v>
      </c>
      <c r="S20" s="32"/>
      <c r="T20" s="41" t="n">
        <f aca="false">(COUNTIF(L20,"CONCLUÍDO")+COUNTIF(N20,"CONCLUÍDO")+COUNTIF(P20,"CONCLUÍDO")+COUNTIF(R20,"CONCLUÍDO"))/4</f>
        <v>0</v>
      </c>
      <c r="U20" s="34"/>
    </row>
    <row r="21" customFormat="false" ht="15" hidden="false" customHeight="false" outlineLevel="0" collapsed="false">
      <c r="A21" s="25" t="n">
        <v>13</v>
      </c>
      <c r="B21" s="26" t="s">
        <v>177</v>
      </c>
      <c r="C21" s="27" t="s">
        <v>26</v>
      </c>
      <c r="D21" s="28" t="n">
        <v>5054.671</v>
      </c>
      <c r="E21" s="28" t="n">
        <v>3178.322</v>
      </c>
      <c r="F21" s="28" t="n">
        <v>720010.105</v>
      </c>
      <c r="G21" s="28" t="n">
        <v>7492132.712</v>
      </c>
      <c r="H21" s="29" t="str">
        <f aca="false">IF(AND(ABS(D21+Resumo!$C$6-F21)&lt;=0.01,ABS(E21+Resumo!$C$7-G21)&lt;=0.01),"OK","VERIFICAR")</f>
        <v>OK</v>
      </c>
      <c r="I21" s="29" t="s">
        <v>28</v>
      </c>
      <c r="J21" s="29" t="s">
        <v>29</v>
      </c>
      <c r="K21" s="30" t="n">
        <v>8.75</v>
      </c>
      <c r="L21" s="31" t="s">
        <v>72</v>
      </c>
      <c r="M21" s="32"/>
      <c r="N21" s="31" t="s">
        <v>72</v>
      </c>
      <c r="O21" s="32"/>
      <c r="P21" s="31" t="s">
        <v>72</v>
      </c>
      <c r="Q21" s="32"/>
      <c r="R21" s="31" t="s">
        <v>72</v>
      </c>
      <c r="S21" s="32"/>
      <c r="T21" s="33" t="n">
        <f aca="false">(COUNTIF(L21,"CONCLUÍDO")+COUNTIF(N21,"CONCLUÍDO")+COUNTIF(P21,"CONCLUÍDO")+COUNTIF(R21,"CONCLUÍDO"))/4</f>
        <v>0</v>
      </c>
      <c r="U21" s="34"/>
    </row>
    <row r="22" customFormat="false" ht="15" hidden="false" customHeight="false" outlineLevel="0" collapsed="false">
      <c r="A22" s="35" t="n">
        <v>14</v>
      </c>
      <c r="B22" s="36" t="s">
        <v>178</v>
      </c>
      <c r="C22" s="37" t="s">
        <v>26</v>
      </c>
      <c r="D22" s="38" t="n">
        <v>5054.671</v>
      </c>
      <c r="E22" s="38" t="n">
        <v>3180.322</v>
      </c>
      <c r="F22" s="38" t="n">
        <v>720010.105</v>
      </c>
      <c r="G22" s="38" t="n">
        <v>7492134.712</v>
      </c>
      <c r="H22" s="39" t="str">
        <f aca="false">IF(AND(ABS(D22+Resumo!$C$6-F22)&lt;=0.01,ABS(E22+Resumo!$C$7-G22)&lt;=0.01),"OK","VERIFICAR")</f>
        <v>OK</v>
      </c>
      <c r="I22" s="39" t="s">
        <v>28</v>
      </c>
      <c r="J22" s="39" t="s">
        <v>29</v>
      </c>
      <c r="K22" s="40" t="n">
        <v>8.75</v>
      </c>
      <c r="L22" s="31" t="s">
        <v>72</v>
      </c>
      <c r="M22" s="32"/>
      <c r="N22" s="31" t="s">
        <v>72</v>
      </c>
      <c r="O22" s="32"/>
      <c r="P22" s="31" t="s">
        <v>72</v>
      </c>
      <c r="Q22" s="32"/>
      <c r="R22" s="31" t="s">
        <v>72</v>
      </c>
      <c r="S22" s="32"/>
      <c r="T22" s="41" t="n">
        <f aca="false">(COUNTIF(L22,"CONCLUÍDO")+COUNTIF(N22,"CONCLUÍDO")+COUNTIF(P22,"CONCLUÍDO")+COUNTIF(R22,"CONCLUÍDO"))/4</f>
        <v>0</v>
      </c>
      <c r="U22" s="34"/>
    </row>
    <row r="23" customFormat="false" ht="15" hidden="false" customHeight="false" outlineLevel="0" collapsed="false">
      <c r="A23" s="25" t="n">
        <v>15</v>
      </c>
      <c r="B23" s="26" t="s">
        <v>179</v>
      </c>
      <c r="C23" s="27" t="s">
        <v>26</v>
      </c>
      <c r="D23" s="28" t="n">
        <v>5054.671</v>
      </c>
      <c r="E23" s="28" t="n">
        <v>3181.822</v>
      </c>
      <c r="F23" s="28" t="n">
        <v>720010.105</v>
      </c>
      <c r="G23" s="28" t="n">
        <v>7492136.212</v>
      </c>
      <c r="H23" s="29" t="str">
        <f aca="false">IF(AND(ABS(D23+Resumo!$C$6-F23)&lt;=0.01,ABS(E23+Resumo!$C$7-G23)&lt;=0.01),"OK","VERIFICAR")</f>
        <v>OK</v>
      </c>
      <c r="I23" s="29" t="s">
        <v>28</v>
      </c>
      <c r="J23" s="29" t="s">
        <v>29</v>
      </c>
      <c r="K23" s="30" t="n">
        <v>8.75</v>
      </c>
      <c r="L23" s="31" t="s">
        <v>72</v>
      </c>
      <c r="M23" s="32"/>
      <c r="N23" s="31" t="s">
        <v>72</v>
      </c>
      <c r="O23" s="32"/>
      <c r="P23" s="31" t="s">
        <v>72</v>
      </c>
      <c r="Q23" s="32"/>
      <c r="R23" s="31" t="s">
        <v>72</v>
      </c>
      <c r="S23" s="32"/>
      <c r="T23" s="33" t="n">
        <f aca="false">(COUNTIF(L23,"CONCLUÍDO")+COUNTIF(N23,"CONCLUÍDO")+COUNTIF(P23,"CONCLUÍDO")+COUNTIF(R23,"CONCLUÍDO"))/4</f>
        <v>0</v>
      </c>
      <c r="U23" s="34"/>
    </row>
    <row r="24" customFormat="false" ht="15" hidden="false" customHeight="false" outlineLevel="0" collapsed="false">
      <c r="A24" s="35" t="n">
        <v>16</v>
      </c>
      <c r="B24" s="36" t="s">
        <v>180</v>
      </c>
      <c r="C24" s="37" t="s">
        <v>26</v>
      </c>
      <c r="D24" s="38" t="n">
        <v>5054.671</v>
      </c>
      <c r="E24" s="38" t="n">
        <v>3183.822</v>
      </c>
      <c r="F24" s="38" t="n">
        <v>720010.105</v>
      </c>
      <c r="G24" s="38" t="n">
        <v>7492138.212</v>
      </c>
      <c r="H24" s="39" t="str">
        <f aca="false">IF(AND(ABS(D24+Resumo!$C$6-F24)&lt;=0.01,ABS(E24+Resumo!$C$7-G24)&lt;=0.01),"OK","VERIFICAR")</f>
        <v>OK</v>
      </c>
      <c r="I24" s="39" t="s">
        <v>28</v>
      </c>
      <c r="J24" s="39" t="s">
        <v>29</v>
      </c>
      <c r="K24" s="40" t="n">
        <v>8.75</v>
      </c>
      <c r="L24" s="31" t="s">
        <v>72</v>
      </c>
      <c r="M24" s="32"/>
      <c r="N24" s="31" t="s">
        <v>72</v>
      </c>
      <c r="O24" s="32"/>
      <c r="P24" s="31" t="s">
        <v>72</v>
      </c>
      <c r="Q24" s="32"/>
      <c r="R24" s="31" t="s">
        <v>72</v>
      </c>
      <c r="S24" s="32"/>
      <c r="T24" s="41" t="n">
        <f aca="false">(COUNTIF(L24,"CONCLUÍDO")+COUNTIF(N24,"CONCLUÍDO")+COUNTIF(P24,"CONCLUÍDO")+COUNTIF(R24,"CONCLUÍDO"))/4</f>
        <v>0</v>
      </c>
      <c r="U24" s="34"/>
    </row>
    <row r="25" customFormat="false" ht="15" hidden="false" customHeight="false" outlineLevel="0" collapsed="false">
      <c r="A25" s="25" t="n">
        <v>17</v>
      </c>
      <c r="B25" s="26" t="s">
        <v>181</v>
      </c>
      <c r="C25" s="27" t="s">
        <v>32</v>
      </c>
      <c r="D25" s="28" t="n">
        <v>5034.868</v>
      </c>
      <c r="E25" s="28" t="n">
        <v>3165.635</v>
      </c>
      <c r="F25" s="28" t="n">
        <v>719990.302</v>
      </c>
      <c r="G25" s="28" t="n">
        <v>7492120.025</v>
      </c>
      <c r="H25" s="29" t="str">
        <f aca="false">IF(AND(ABS(D25+Resumo!$C$6-F25)&lt;=0.01,ABS(E25+Resumo!$C$7-G25)&lt;=0.01),"OK","VERIFICAR")</f>
        <v>OK</v>
      </c>
      <c r="I25" s="29" t="s">
        <v>21</v>
      </c>
      <c r="J25" s="29" t="s">
        <v>29</v>
      </c>
      <c r="K25" s="30" t="n">
        <v>8.75</v>
      </c>
      <c r="L25" s="31" t="s">
        <v>72</v>
      </c>
      <c r="M25" s="32"/>
      <c r="N25" s="31" t="s">
        <v>72</v>
      </c>
      <c r="O25" s="32"/>
      <c r="P25" s="31" t="s">
        <v>72</v>
      </c>
      <c r="Q25" s="32"/>
      <c r="R25" s="31" t="s">
        <v>72</v>
      </c>
      <c r="S25" s="32"/>
      <c r="T25" s="33" t="n">
        <f aca="false">(COUNTIF(L25,"CONCLUÍDO")+COUNTIF(N25,"CONCLUÍDO")+COUNTIF(P25,"CONCLUÍDO")+COUNTIF(R25,"CONCLUÍDO"))/4</f>
        <v>0</v>
      </c>
      <c r="U25" s="34"/>
    </row>
    <row r="26" customFormat="false" ht="15" hidden="false" customHeight="false" outlineLevel="0" collapsed="false">
      <c r="A26" s="35" t="n">
        <v>18</v>
      </c>
      <c r="B26" s="36" t="s">
        <v>182</v>
      </c>
      <c r="C26" s="37" t="s">
        <v>32</v>
      </c>
      <c r="D26" s="38" t="n">
        <v>5034.868</v>
      </c>
      <c r="E26" s="38" t="n">
        <v>3167.935</v>
      </c>
      <c r="F26" s="38" t="n">
        <v>719990.302</v>
      </c>
      <c r="G26" s="38" t="n">
        <v>7492122.325</v>
      </c>
      <c r="H26" s="39" t="str">
        <f aca="false">IF(AND(ABS(D26+Resumo!$C$6-F26)&lt;=0.01,ABS(E26+Resumo!$C$7-G26)&lt;=0.01),"OK","VERIFICAR")</f>
        <v>OK</v>
      </c>
      <c r="I26" s="39" t="s">
        <v>21</v>
      </c>
      <c r="J26" s="39" t="s">
        <v>29</v>
      </c>
      <c r="K26" s="40" t="n">
        <v>8.75</v>
      </c>
      <c r="L26" s="31" t="s">
        <v>72</v>
      </c>
      <c r="M26" s="32"/>
      <c r="N26" s="31" t="s">
        <v>72</v>
      </c>
      <c r="O26" s="32"/>
      <c r="P26" s="31" t="s">
        <v>72</v>
      </c>
      <c r="Q26" s="32"/>
      <c r="R26" s="31" t="s">
        <v>72</v>
      </c>
      <c r="S26" s="32"/>
      <c r="T26" s="41" t="n">
        <f aca="false">(COUNTIF(L26,"CONCLUÍDO")+COUNTIF(N26,"CONCLUÍDO")+COUNTIF(P26,"CONCLUÍDO")+COUNTIF(R26,"CONCLUÍDO"))/4</f>
        <v>0</v>
      </c>
      <c r="U26" s="34"/>
    </row>
    <row r="27" customFormat="false" ht="15" hidden="false" customHeight="false" outlineLevel="0" collapsed="false">
      <c r="A27" s="25" t="n">
        <v>19</v>
      </c>
      <c r="B27" s="26" t="s">
        <v>183</v>
      </c>
      <c r="C27" s="27" t="s">
        <v>32</v>
      </c>
      <c r="D27" s="28" t="n">
        <v>5034.868</v>
      </c>
      <c r="E27" s="28" t="n">
        <v>3171.485</v>
      </c>
      <c r="F27" s="28" t="n">
        <v>719990.302</v>
      </c>
      <c r="G27" s="28" t="n">
        <v>7492125.875</v>
      </c>
      <c r="H27" s="29" t="str">
        <f aca="false">IF(AND(ABS(D27+Resumo!$C$6-F27)&lt;=0.01,ABS(E27+Resumo!$C$7-G27)&lt;=0.01),"OK","VERIFICAR")</f>
        <v>OK</v>
      </c>
      <c r="I27" s="29" t="s">
        <v>21</v>
      </c>
      <c r="J27" s="29" t="s">
        <v>29</v>
      </c>
      <c r="K27" s="30" t="n">
        <v>8.75</v>
      </c>
      <c r="L27" s="31" t="s">
        <v>72</v>
      </c>
      <c r="M27" s="32"/>
      <c r="N27" s="31" t="s">
        <v>72</v>
      </c>
      <c r="O27" s="32"/>
      <c r="P27" s="31" t="s">
        <v>72</v>
      </c>
      <c r="Q27" s="32"/>
      <c r="R27" s="31" t="s">
        <v>72</v>
      </c>
      <c r="S27" s="32"/>
      <c r="T27" s="33" t="n">
        <f aca="false">(COUNTIF(L27,"CONCLUÍDO")+COUNTIF(N27,"CONCLUÍDO")+COUNTIF(P27,"CONCLUÍDO")+COUNTIF(R27,"CONCLUÍDO"))/4</f>
        <v>0</v>
      </c>
      <c r="U27" s="34"/>
    </row>
    <row r="28" customFormat="false" ht="15" hidden="false" customHeight="false" outlineLevel="0" collapsed="false">
      <c r="A28" s="35" t="n">
        <v>20</v>
      </c>
      <c r="B28" s="36" t="s">
        <v>184</v>
      </c>
      <c r="C28" s="37" t="s">
        <v>32</v>
      </c>
      <c r="D28" s="38" t="n">
        <v>5034.868</v>
      </c>
      <c r="E28" s="38" t="n">
        <v>3173.785</v>
      </c>
      <c r="F28" s="38" t="n">
        <v>719990.302</v>
      </c>
      <c r="G28" s="38" t="n">
        <v>7492128.175</v>
      </c>
      <c r="H28" s="39" t="str">
        <f aca="false">IF(AND(ABS(D28+Resumo!$C$6-F28)&lt;=0.01,ABS(E28+Resumo!$C$7-G28)&lt;=0.01),"OK","VERIFICAR")</f>
        <v>OK</v>
      </c>
      <c r="I28" s="39" t="s">
        <v>21</v>
      </c>
      <c r="J28" s="39" t="s">
        <v>29</v>
      </c>
      <c r="K28" s="40" t="n">
        <v>8.75</v>
      </c>
      <c r="L28" s="31" t="s">
        <v>72</v>
      </c>
      <c r="M28" s="32"/>
      <c r="N28" s="31" t="s">
        <v>72</v>
      </c>
      <c r="O28" s="32"/>
      <c r="P28" s="31" t="s">
        <v>72</v>
      </c>
      <c r="Q28" s="32"/>
      <c r="R28" s="31" t="s">
        <v>72</v>
      </c>
      <c r="S28" s="32"/>
      <c r="T28" s="41" t="n">
        <f aca="false">(COUNTIF(L28,"CONCLUÍDO")+COUNTIF(N28,"CONCLUÍDO")+COUNTIF(P28,"CONCLUÍDO")+COUNTIF(R28,"CONCLUÍDO"))/4</f>
        <v>0</v>
      </c>
      <c r="U28" s="34"/>
    </row>
    <row r="29" customFormat="false" ht="15" hidden="false" customHeight="false" outlineLevel="0" collapsed="false">
      <c r="A29" s="25" t="n">
        <v>21</v>
      </c>
      <c r="B29" s="26" t="s">
        <v>185</v>
      </c>
      <c r="C29" s="27" t="s">
        <v>32</v>
      </c>
      <c r="D29" s="28" t="n">
        <v>5034.868</v>
      </c>
      <c r="E29" s="28" t="n">
        <v>3176.285</v>
      </c>
      <c r="F29" s="28" t="n">
        <v>719990.302</v>
      </c>
      <c r="G29" s="28" t="n">
        <v>7492130.675</v>
      </c>
      <c r="H29" s="29" t="str">
        <f aca="false">IF(AND(ABS(D29+Resumo!$C$6-F29)&lt;=0.01,ABS(E29+Resumo!$C$7-G29)&lt;=0.01),"OK","VERIFICAR")</f>
        <v>OK</v>
      </c>
      <c r="I29" s="29" t="s">
        <v>21</v>
      </c>
      <c r="J29" s="29" t="s">
        <v>29</v>
      </c>
      <c r="K29" s="30" t="n">
        <v>8.75</v>
      </c>
      <c r="L29" s="31" t="s">
        <v>72</v>
      </c>
      <c r="M29" s="32"/>
      <c r="N29" s="31" t="s">
        <v>72</v>
      </c>
      <c r="O29" s="32"/>
      <c r="P29" s="31" t="s">
        <v>72</v>
      </c>
      <c r="Q29" s="32"/>
      <c r="R29" s="31" t="s">
        <v>72</v>
      </c>
      <c r="S29" s="32"/>
      <c r="T29" s="33" t="n">
        <f aca="false">(COUNTIF(L29,"CONCLUÍDO")+COUNTIF(N29,"CONCLUÍDO")+COUNTIF(P29,"CONCLUÍDO")+COUNTIF(R29,"CONCLUÍDO"))/4</f>
        <v>0</v>
      </c>
      <c r="U29" s="34"/>
    </row>
    <row r="30" customFormat="false" ht="15" hidden="false" customHeight="false" outlineLevel="0" collapsed="false">
      <c r="A30" s="35" t="n">
        <v>22</v>
      </c>
      <c r="B30" s="36" t="s">
        <v>186</v>
      </c>
      <c r="C30" s="37" t="s">
        <v>32</v>
      </c>
      <c r="D30" s="38" t="n">
        <v>5034.868</v>
      </c>
      <c r="E30" s="38" t="n">
        <v>3178.585</v>
      </c>
      <c r="F30" s="38" t="n">
        <v>719990.302</v>
      </c>
      <c r="G30" s="38" t="n">
        <v>7492132.975</v>
      </c>
      <c r="H30" s="39" t="str">
        <f aca="false">IF(AND(ABS(D30+Resumo!$C$6-F30)&lt;=0.01,ABS(E30+Resumo!$C$7-G30)&lt;=0.01),"OK","VERIFICAR")</f>
        <v>OK</v>
      </c>
      <c r="I30" s="39" t="s">
        <v>21</v>
      </c>
      <c r="J30" s="39" t="s">
        <v>29</v>
      </c>
      <c r="K30" s="40" t="n">
        <v>8.75</v>
      </c>
      <c r="L30" s="31" t="s">
        <v>72</v>
      </c>
      <c r="M30" s="32"/>
      <c r="N30" s="31" t="s">
        <v>72</v>
      </c>
      <c r="O30" s="32"/>
      <c r="P30" s="31" t="s">
        <v>72</v>
      </c>
      <c r="Q30" s="32"/>
      <c r="R30" s="31" t="s">
        <v>72</v>
      </c>
      <c r="S30" s="32"/>
      <c r="T30" s="41" t="n">
        <f aca="false">(COUNTIF(L30,"CONCLUÍDO")+COUNTIF(N30,"CONCLUÍDO")+COUNTIF(P30,"CONCLUÍDO")+COUNTIF(R30,"CONCLUÍDO"))/4</f>
        <v>0</v>
      </c>
      <c r="U30" s="34"/>
    </row>
    <row r="31" customFormat="false" ht="15" hidden="false" customHeight="false" outlineLevel="0" collapsed="false">
      <c r="A31" s="25" t="n">
        <v>23</v>
      </c>
      <c r="B31" s="26" t="s">
        <v>187</v>
      </c>
      <c r="C31" s="27" t="s">
        <v>32</v>
      </c>
      <c r="D31" s="28" t="n">
        <v>5034.868</v>
      </c>
      <c r="E31" s="28" t="n">
        <v>3181.085</v>
      </c>
      <c r="F31" s="28" t="n">
        <v>719990.302</v>
      </c>
      <c r="G31" s="28" t="n">
        <v>7492135.475</v>
      </c>
      <c r="H31" s="29" t="str">
        <f aca="false">IF(AND(ABS(D31+Resumo!$C$6-F31)&lt;=0.01,ABS(E31+Resumo!$C$7-G31)&lt;=0.01),"OK","VERIFICAR")</f>
        <v>OK</v>
      </c>
      <c r="I31" s="29" t="s">
        <v>21</v>
      </c>
      <c r="J31" s="29" t="s">
        <v>29</v>
      </c>
      <c r="K31" s="30" t="n">
        <v>8.75</v>
      </c>
      <c r="L31" s="31" t="s">
        <v>72</v>
      </c>
      <c r="M31" s="32"/>
      <c r="N31" s="31" t="s">
        <v>72</v>
      </c>
      <c r="O31" s="32"/>
      <c r="P31" s="31" t="s">
        <v>72</v>
      </c>
      <c r="Q31" s="32"/>
      <c r="R31" s="31" t="s">
        <v>72</v>
      </c>
      <c r="S31" s="32"/>
      <c r="T31" s="33" t="n">
        <f aca="false">(COUNTIF(L31,"CONCLUÍDO")+COUNTIF(N31,"CONCLUÍDO")+COUNTIF(P31,"CONCLUÍDO")+COUNTIF(R31,"CONCLUÍDO"))/4</f>
        <v>0</v>
      </c>
      <c r="U31" s="34"/>
    </row>
    <row r="32" customFormat="false" ht="15" hidden="false" customHeight="false" outlineLevel="0" collapsed="false">
      <c r="A32" s="35" t="n">
        <v>24</v>
      </c>
      <c r="B32" s="36" t="s">
        <v>188</v>
      </c>
      <c r="C32" s="37" t="s">
        <v>32</v>
      </c>
      <c r="D32" s="38" t="n">
        <v>5034.868</v>
      </c>
      <c r="E32" s="38" t="n">
        <v>3183.385</v>
      </c>
      <c r="F32" s="38" t="n">
        <v>719990.302</v>
      </c>
      <c r="G32" s="38" t="n">
        <v>7492137.775</v>
      </c>
      <c r="H32" s="39" t="str">
        <f aca="false">IF(AND(ABS(D32+Resumo!$C$6-F32)&lt;=0.01,ABS(E32+Resumo!$C$7-G32)&lt;=0.01),"OK","VERIFICAR")</f>
        <v>OK</v>
      </c>
      <c r="I32" s="39" t="s">
        <v>21</v>
      </c>
      <c r="J32" s="39" t="s">
        <v>29</v>
      </c>
      <c r="K32" s="40" t="n">
        <v>8.75</v>
      </c>
      <c r="L32" s="31" t="s">
        <v>72</v>
      </c>
      <c r="M32" s="32"/>
      <c r="N32" s="31" t="s">
        <v>72</v>
      </c>
      <c r="O32" s="32"/>
      <c r="P32" s="31" t="s">
        <v>72</v>
      </c>
      <c r="Q32" s="32"/>
      <c r="R32" s="31" t="s">
        <v>72</v>
      </c>
      <c r="S32" s="32"/>
      <c r="T32" s="41" t="n">
        <f aca="false">(COUNTIF(L32,"CONCLUÍDO")+COUNTIF(N32,"CONCLUÍDO")+COUNTIF(P32,"CONCLUÍDO")+COUNTIF(R32,"CONCLUÍDO"))/4</f>
        <v>0</v>
      </c>
      <c r="U32" s="34"/>
    </row>
    <row r="33" customFormat="false" ht="15" hidden="false" customHeight="false" outlineLevel="0" collapsed="false">
      <c r="A33" s="25" t="n">
        <v>25</v>
      </c>
      <c r="B33" s="26" t="s">
        <v>189</v>
      </c>
      <c r="C33" s="27" t="s">
        <v>32</v>
      </c>
      <c r="D33" s="28" t="n">
        <v>5034.868</v>
      </c>
      <c r="E33" s="28" t="n">
        <v>3186.935</v>
      </c>
      <c r="F33" s="28" t="n">
        <v>719990.302</v>
      </c>
      <c r="G33" s="28" t="n">
        <v>7492141.325</v>
      </c>
      <c r="H33" s="29" t="str">
        <f aca="false">IF(AND(ABS(D33+Resumo!$C$6-F33)&lt;=0.01,ABS(E33+Resumo!$C$7-G33)&lt;=0.01),"OK","VERIFICAR")</f>
        <v>OK</v>
      </c>
      <c r="I33" s="29" t="s">
        <v>21</v>
      </c>
      <c r="J33" s="29" t="s">
        <v>29</v>
      </c>
      <c r="K33" s="30" t="n">
        <v>8.75</v>
      </c>
      <c r="L33" s="31" t="s">
        <v>72</v>
      </c>
      <c r="M33" s="32"/>
      <c r="N33" s="31" t="s">
        <v>72</v>
      </c>
      <c r="O33" s="32"/>
      <c r="P33" s="31" t="s">
        <v>72</v>
      </c>
      <c r="Q33" s="32"/>
      <c r="R33" s="31" t="s">
        <v>72</v>
      </c>
      <c r="S33" s="32"/>
      <c r="T33" s="33" t="n">
        <f aca="false">(COUNTIF(L33,"CONCLUÍDO")+COUNTIF(N33,"CONCLUÍDO")+COUNTIF(P33,"CONCLUÍDO")+COUNTIF(R33,"CONCLUÍDO"))/4</f>
        <v>0</v>
      </c>
      <c r="U33" s="34"/>
    </row>
    <row r="34" customFormat="false" ht="15" hidden="false" customHeight="false" outlineLevel="0" collapsed="false">
      <c r="A34" s="35" t="n">
        <v>26</v>
      </c>
      <c r="B34" s="36" t="s">
        <v>190</v>
      </c>
      <c r="C34" s="37" t="s">
        <v>32</v>
      </c>
      <c r="D34" s="38" t="n">
        <v>5034.868</v>
      </c>
      <c r="E34" s="38" t="n">
        <v>3189.235</v>
      </c>
      <c r="F34" s="38" t="n">
        <v>719990.302</v>
      </c>
      <c r="G34" s="38" t="n">
        <v>7492143.625</v>
      </c>
      <c r="H34" s="39" t="str">
        <f aca="false">IF(AND(ABS(D34+Resumo!$C$6-F34)&lt;=0.01,ABS(E34+Resumo!$C$7-G34)&lt;=0.01),"OK","VERIFICAR")</f>
        <v>OK</v>
      </c>
      <c r="I34" s="39" t="s">
        <v>21</v>
      </c>
      <c r="J34" s="39" t="s">
        <v>29</v>
      </c>
      <c r="K34" s="40" t="n">
        <v>8.75</v>
      </c>
      <c r="L34" s="31" t="s">
        <v>72</v>
      </c>
      <c r="M34" s="32"/>
      <c r="N34" s="31" t="s">
        <v>72</v>
      </c>
      <c r="O34" s="32"/>
      <c r="P34" s="31" t="s">
        <v>72</v>
      </c>
      <c r="Q34" s="32"/>
      <c r="R34" s="31" t="s">
        <v>72</v>
      </c>
      <c r="S34" s="32"/>
      <c r="T34" s="41" t="n">
        <f aca="false">(COUNTIF(L34,"CONCLUÍDO")+COUNTIF(N34,"CONCLUÍDO")+COUNTIF(P34,"CONCLUÍDO")+COUNTIF(R34,"CONCLUÍDO"))/4</f>
        <v>0</v>
      </c>
      <c r="U34" s="34"/>
    </row>
    <row r="35" customFormat="false" ht="15" hidden="false" customHeight="false" outlineLevel="0" collapsed="false">
      <c r="A35" s="25" t="n">
        <v>27</v>
      </c>
      <c r="B35" s="26" t="s">
        <v>191</v>
      </c>
      <c r="C35" s="27" t="s">
        <v>32</v>
      </c>
      <c r="D35" s="28" t="n">
        <v>5038.89</v>
      </c>
      <c r="E35" s="28" t="n">
        <v>3165.635</v>
      </c>
      <c r="F35" s="28" t="n">
        <v>719994.324</v>
      </c>
      <c r="G35" s="28" t="n">
        <v>7492120.025</v>
      </c>
      <c r="H35" s="29" t="str">
        <f aca="false">IF(AND(ABS(D35+Resumo!$C$6-F35)&lt;=0.01,ABS(E35+Resumo!$C$7-G35)&lt;=0.01),"OK","VERIFICAR")</f>
        <v>OK</v>
      </c>
      <c r="I35" s="29" t="s">
        <v>21</v>
      </c>
      <c r="J35" s="29" t="s">
        <v>29</v>
      </c>
      <c r="K35" s="30" t="n">
        <v>8.75</v>
      </c>
      <c r="L35" s="31" t="s">
        <v>72</v>
      </c>
      <c r="M35" s="32"/>
      <c r="N35" s="31" t="s">
        <v>72</v>
      </c>
      <c r="O35" s="32"/>
      <c r="P35" s="31" t="s">
        <v>72</v>
      </c>
      <c r="Q35" s="32"/>
      <c r="R35" s="31" t="s">
        <v>72</v>
      </c>
      <c r="S35" s="32"/>
      <c r="T35" s="33" t="n">
        <f aca="false">(COUNTIF(L35,"CONCLUÍDO")+COUNTIF(N35,"CONCLUÍDO")+COUNTIF(P35,"CONCLUÍDO")+COUNTIF(R35,"CONCLUÍDO"))/4</f>
        <v>0</v>
      </c>
      <c r="U35" s="34"/>
    </row>
    <row r="36" customFormat="false" ht="15" hidden="false" customHeight="false" outlineLevel="0" collapsed="false">
      <c r="A36" s="35" t="n">
        <v>28</v>
      </c>
      <c r="B36" s="36" t="s">
        <v>192</v>
      </c>
      <c r="C36" s="37" t="s">
        <v>32</v>
      </c>
      <c r="D36" s="38" t="n">
        <v>5038.89</v>
      </c>
      <c r="E36" s="38" t="n">
        <v>3167.935</v>
      </c>
      <c r="F36" s="38" t="n">
        <v>719994.324</v>
      </c>
      <c r="G36" s="38" t="n">
        <v>7492122.325</v>
      </c>
      <c r="H36" s="39" t="str">
        <f aca="false">IF(AND(ABS(D36+Resumo!$C$6-F36)&lt;=0.01,ABS(E36+Resumo!$C$7-G36)&lt;=0.01),"OK","VERIFICAR")</f>
        <v>OK</v>
      </c>
      <c r="I36" s="39" t="s">
        <v>21</v>
      </c>
      <c r="J36" s="39" t="s">
        <v>29</v>
      </c>
      <c r="K36" s="40" t="n">
        <v>8.75</v>
      </c>
      <c r="L36" s="31" t="s">
        <v>72</v>
      </c>
      <c r="M36" s="32"/>
      <c r="N36" s="31" t="s">
        <v>72</v>
      </c>
      <c r="O36" s="32"/>
      <c r="P36" s="31" t="s">
        <v>72</v>
      </c>
      <c r="Q36" s="32"/>
      <c r="R36" s="31" t="s">
        <v>72</v>
      </c>
      <c r="S36" s="32"/>
      <c r="T36" s="41" t="n">
        <f aca="false">(COUNTIF(L36,"CONCLUÍDO")+COUNTIF(N36,"CONCLUÍDO")+COUNTIF(P36,"CONCLUÍDO")+COUNTIF(R36,"CONCLUÍDO"))/4</f>
        <v>0</v>
      </c>
      <c r="U36" s="34"/>
    </row>
    <row r="37" customFormat="false" ht="15" hidden="false" customHeight="false" outlineLevel="0" collapsed="false">
      <c r="A37" s="25" t="n">
        <v>29</v>
      </c>
      <c r="B37" s="26" t="s">
        <v>193</v>
      </c>
      <c r="C37" s="27" t="s">
        <v>32</v>
      </c>
      <c r="D37" s="28" t="n">
        <v>5038.89</v>
      </c>
      <c r="E37" s="28" t="n">
        <v>3171.485</v>
      </c>
      <c r="F37" s="28" t="n">
        <v>719994.324</v>
      </c>
      <c r="G37" s="28" t="n">
        <v>7492125.875</v>
      </c>
      <c r="H37" s="29" t="str">
        <f aca="false">IF(AND(ABS(D37+Resumo!$C$6-F37)&lt;=0.01,ABS(E37+Resumo!$C$7-G37)&lt;=0.01),"OK","VERIFICAR")</f>
        <v>OK</v>
      </c>
      <c r="I37" s="29" t="s">
        <v>21</v>
      </c>
      <c r="J37" s="29" t="s">
        <v>29</v>
      </c>
      <c r="K37" s="30" t="n">
        <v>8.75</v>
      </c>
      <c r="L37" s="31" t="s">
        <v>72</v>
      </c>
      <c r="M37" s="32"/>
      <c r="N37" s="31" t="s">
        <v>72</v>
      </c>
      <c r="O37" s="32"/>
      <c r="P37" s="31" t="s">
        <v>72</v>
      </c>
      <c r="Q37" s="32"/>
      <c r="R37" s="31" t="s">
        <v>72</v>
      </c>
      <c r="S37" s="32"/>
      <c r="T37" s="33" t="n">
        <f aca="false">(COUNTIF(L37,"CONCLUÍDO")+COUNTIF(N37,"CONCLUÍDO")+COUNTIF(P37,"CONCLUÍDO")+COUNTIF(R37,"CONCLUÍDO"))/4</f>
        <v>0</v>
      </c>
      <c r="U37" s="34"/>
    </row>
    <row r="38" customFormat="false" ht="15" hidden="false" customHeight="false" outlineLevel="0" collapsed="false">
      <c r="A38" s="35" t="n">
        <v>30</v>
      </c>
      <c r="B38" s="36" t="s">
        <v>194</v>
      </c>
      <c r="C38" s="37" t="s">
        <v>32</v>
      </c>
      <c r="D38" s="38" t="n">
        <v>5038.89</v>
      </c>
      <c r="E38" s="38" t="n">
        <v>3173.785</v>
      </c>
      <c r="F38" s="38" t="n">
        <v>719994.324</v>
      </c>
      <c r="G38" s="38" t="n">
        <v>7492128.175</v>
      </c>
      <c r="H38" s="39" t="str">
        <f aca="false">IF(AND(ABS(D38+Resumo!$C$6-F38)&lt;=0.01,ABS(E38+Resumo!$C$7-G38)&lt;=0.01),"OK","VERIFICAR")</f>
        <v>OK</v>
      </c>
      <c r="I38" s="39" t="s">
        <v>21</v>
      </c>
      <c r="J38" s="39" t="s">
        <v>29</v>
      </c>
      <c r="K38" s="40" t="n">
        <v>8.75</v>
      </c>
      <c r="L38" s="31" t="s">
        <v>72</v>
      </c>
      <c r="M38" s="32"/>
      <c r="N38" s="31" t="s">
        <v>72</v>
      </c>
      <c r="O38" s="32"/>
      <c r="P38" s="31" t="s">
        <v>72</v>
      </c>
      <c r="Q38" s="32"/>
      <c r="R38" s="31" t="s">
        <v>72</v>
      </c>
      <c r="S38" s="32"/>
      <c r="T38" s="41" t="n">
        <f aca="false">(COUNTIF(L38,"CONCLUÍDO")+COUNTIF(N38,"CONCLUÍDO")+COUNTIF(P38,"CONCLUÍDO")+COUNTIF(R38,"CONCLUÍDO"))/4</f>
        <v>0</v>
      </c>
      <c r="U38" s="34"/>
    </row>
    <row r="39" customFormat="false" ht="15" hidden="false" customHeight="false" outlineLevel="0" collapsed="false">
      <c r="A39" s="25" t="n">
        <v>31</v>
      </c>
      <c r="B39" s="26" t="s">
        <v>195</v>
      </c>
      <c r="C39" s="27" t="s">
        <v>32</v>
      </c>
      <c r="D39" s="28" t="n">
        <v>5038.89</v>
      </c>
      <c r="E39" s="28" t="n">
        <v>3176.285</v>
      </c>
      <c r="F39" s="28" t="n">
        <v>719994.324</v>
      </c>
      <c r="G39" s="28" t="n">
        <v>7492130.675</v>
      </c>
      <c r="H39" s="29" t="str">
        <f aca="false">IF(AND(ABS(D39+Resumo!$C$6-F39)&lt;=0.01,ABS(E39+Resumo!$C$7-G39)&lt;=0.01),"OK","VERIFICAR")</f>
        <v>OK</v>
      </c>
      <c r="I39" s="29" t="s">
        <v>21</v>
      </c>
      <c r="J39" s="29" t="s">
        <v>29</v>
      </c>
      <c r="K39" s="30" t="n">
        <v>8.75</v>
      </c>
      <c r="L39" s="31" t="s">
        <v>72</v>
      </c>
      <c r="M39" s="32"/>
      <c r="N39" s="31" t="s">
        <v>72</v>
      </c>
      <c r="O39" s="32"/>
      <c r="P39" s="31" t="s">
        <v>72</v>
      </c>
      <c r="Q39" s="32"/>
      <c r="R39" s="31" t="s">
        <v>72</v>
      </c>
      <c r="S39" s="32"/>
      <c r="T39" s="33" t="n">
        <f aca="false">(COUNTIF(L39,"CONCLUÍDO")+COUNTIF(N39,"CONCLUÍDO")+COUNTIF(P39,"CONCLUÍDO")+COUNTIF(R39,"CONCLUÍDO"))/4</f>
        <v>0</v>
      </c>
      <c r="U39" s="34"/>
    </row>
    <row r="40" customFormat="false" ht="15" hidden="false" customHeight="false" outlineLevel="0" collapsed="false">
      <c r="A40" s="35" t="n">
        <v>32</v>
      </c>
      <c r="B40" s="36" t="s">
        <v>196</v>
      </c>
      <c r="C40" s="37" t="s">
        <v>32</v>
      </c>
      <c r="D40" s="38" t="n">
        <v>5038.89</v>
      </c>
      <c r="E40" s="38" t="n">
        <v>3178.585</v>
      </c>
      <c r="F40" s="38" t="n">
        <v>719994.324</v>
      </c>
      <c r="G40" s="38" t="n">
        <v>7492132.975</v>
      </c>
      <c r="H40" s="39" t="str">
        <f aca="false">IF(AND(ABS(D40+Resumo!$C$6-F40)&lt;=0.01,ABS(E40+Resumo!$C$7-G40)&lt;=0.01),"OK","VERIFICAR")</f>
        <v>OK</v>
      </c>
      <c r="I40" s="39" t="s">
        <v>21</v>
      </c>
      <c r="J40" s="39" t="s">
        <v>29</v>
      </c>
      <c r="K40" s="40" t="n">
        <v>8.75</v>
      </c>
      <c r="L40" s="31" t="s">
        <v>72</v>
      </c>
      <c r="M40" s="32"/>
      <c r="N40" s="31" t="s">
        <v>72</v>
      </c>
      <c r="O40" s="32"/>
      <c r="P40" s="31" t="s">
        <v>72</v>
      </c>
      <c r="Q40" s="32"/>
      <c r="R40" s="31" t="s">
        <v>72</v>
      </c>
      <c r="S40" s="32"/>
      <c r="T40" s="41" t="n">
        <f aca="false">(COUNTIF(L40,"CONCLUÍDO")+COUNTIF(N40,"CONCLUÍDO")+COUNTIF(P40,"CONCLUÍDO")+COUNTIF(R40,"CONCLUÍDO"))/4</f>
        <v>0</v>
      </c>
      <c r="U40" s="34"/>
    </row>
    <row r="41" customFormat="false" ht="15" hidden="false" customHeight="false" outlineLevel="0" collapsed="false">
      <c r="A41" s="25" t="n">
        <v>33</v>
      </c>
      <c r="B41" s="26" t="s">
        <v>197</v>
      </c>
      <c r="C41" s="27" t="s">
        <v>32</v>
      </c>
      <c r="D41" s="28" t="n">
        <v>5038.89</v>
      </c>
      <c r="E41" s="28" t="n">
        <v>3181.085</v>
      </c>
      <c r="F41" s="28" t="n">
        <v>719994.324</v>
      </c>
      <c r="G41" s="28" t="n">
        <v>7492135.475</v>
      </c>
      <c r="H41" s="29" t="str">
        <f aca="false">IF(AND(ABS(D41+Resumo!$C$6-F41)&lt;=0.01,ABS(E41+Resumo!$C$7-G41)&lt;=0.01),"OK","VERIFICAR")</f>
        <v>OK</v>
      </c>
      <c r="I41" s="29" t="s">
        <v>21</v>
      </c>
      <c r="J41" s="29" t="s">
        <v>29</v>
      </c>
      <c r="K41" s="30" t="n">
        <v>8.75</v>
      </c>
      <c r="L41" s="31" t="s">
        <v>72</v>
      </c>
      <c r="M41" s="32"/>
      <c r="N41" s="31" t="s">
        <v>72</v>
      </c>
      <c r="O41" s="32"/>
      <c r="P41" s="31" t="s">
        <v>72</v>
      </c>
      <c r="Q41" s="32"/>
      <c r="R41" s="31" t="s">
        <v>72</v>
      </c>
      <c r="S41" s="32"/>
      <c r="T41" s="33" t="n">
        <f aca="false">(COUNTIF(L41,"CONCLUÍDO")+COUNTIF(N41,"CONCLUÍDO")+COUNTIF(P41,"CONCLUÍDO")+COUNTIF(R41,"CONCLUÍDO"))/4</f>
        <v>0</v>
      </c>
      <c r="U41" s="34"/>
    </row>
    <row r="42" customFormat="false" ht="15" hidden="false" customHeight="false" outlineLevel="0" collapsed="false">
      <c r="A42" s="35" t="n">
        <v>34</v>
      </c>
      <c r="B42" s="36" t="s">
        <v>198</v>
      </c>
      <c r="C42" s="37" t="s">
        <v>32</v>
      </c>
      <c r="D42" s="38" t="n">
        <v>5038.89</v>
      </c>
      <c r="E42" s="38" t="n">
        <v>3183.385</v>
      </c>
      <c r="F42" s="38" t="n">
        <v>719994.324</v>
      </c>
      <c r="G42" s="38" t="n">
        <v>7492137.775</v>
      </c>
      <c r="H42" s="39" t="str">
        <f aca="false">IF(AND(ABS(D42+Resumo!$C$6-F42)&lt;=0.01,ABS(E42+Resumo!$C$7-G42)&lt;=0.01),"OK","VERIFICAR")</f>
        <v>OK</v>
      </c>
      <c r="I42" s="39" t="s">
        <v>21</v>
      </c>
      <c r="J42" s="39" t="s">
        <v>29</v>
      </c>
      <c r="K42" s="40" t="n">
        <v>8.75</v>
      </c>
      <c r="L42" s="31" t="s">
        <v>72</v>
      </c>
      <c r="M42" s="32"/>
      <c r="N42" s="31" t="s">
        <v>72</v>
      </c>
      <c r="O42" s="32"/>
      <c r="P42" s="31" t="s">
        <v>72</v>
      </c>
      <c r="Q42" s="32"/>
      <c r="R42" s="31" t="s">
        <v>72</v>
      </c>
      <c r="S42" s="32"/>
      <c r="T42" s="41" t="n">
        <f aca="false">(COUNTIF(L42,"CONCLUÍDO")+COUNTIF(N42,"CONCLUÍDO")+COUNTIF(P42,"CONCLUÍDO")+COUNTIF(R42,"CONCLUÍDO"))/4</f>
        <v>0</v>
      </c>
      <c r="U42" s="34"/>
    </row>
    <row r="43" customFormat="false" ht="15" hidden="false" customHeight="false" outlineLevel="0" collapsed="false">
      <c r="A43" s="25" t="n">
        <v>35</v>
      </c>
      <c r="B43" s="26" t="s">
        <v>199</v>
      </c>
      <c r="C43" s="27" t="s">
        <v>32</v>
      </c>
      <c r="D43" s="28" t="n">
        <v>5038.89</v>
      </c>
      <c r="E43" s="28" t="n">
        <v>3186.935</v>
      </c>
      <c r="F43" s="28" t="n">
        <v>719994.324</v>
      </c>
      <c r="G43" s="28" t="n">
        <v>7492141.325</v>
      </c>
      <c r="H43" s="29" t="str">
        <f aca="false">IF(AND(ABS(D43+Resumo!$C$6-F43)&lt;=0.01,ABS(E43+Resumo!$C$7-G43)&lt;=0.01),"OK","VERIFICAR")</f>
        <v>OK</v>
      </c>
      <c r="I43" s="29" t="s">
        <v>21</v>
      </c>
      <c r="J43" s="29" t="s">
        <v>29</v>
      </c>
      <c r="K43" s="30" t="n">
        <v>8.75</v>
      </c>
      <c r="L43" s="31" t="s">
        <v>72</v>
      </c>
      <c r="M43" s="32"/>
      <c r="N43" s="31" t="s">
        <v>72</v>
      </c>
      <c r="O43" s="32"/>
      <c r="P43" s="31" t="s">
        <v>72</v>
      </c>
      <c r="Q43" s="32"/>
      <c r="R43" s="31" t="s">
        <v>72</v>
      </c>
      <c r="S43" s="32"/>
      <c r="T43" s="33" t="n">
        <f aca="false">(COUNTIF(L43,"CONCLUÍDO")+COUNTIF(N43,"CONCLUÍDO")+COUNTIF(P43,"CONCLUÍDO")+COUNTIF(R43,"CONCLUÍDO"))/4</f>
        <v>0</v>
      </c>
      <c r="U43" s="34"/>
    </row>
    <row r="44" customFormat="false" ht="15" hidden="false" customHeight="false" outlineLevel="0" collapsed="false">
      <c r="A44" s="35" t="n">
        <v>36</v>
      </c>
      <c r="B44" s="36" t="s">
        <v>200</v>
      </c>
      <c r="C44" s="37" t="s">
        <v>32</v>
      </c>
      <c r="D44" s="38" t="n">
        <v>5038.89</v>
      </c>
      <c r="E44" s="38" t="n">
        <v>3189.235</v>
      </c>
      <c r="F44" s="38" t="n">
        <v>719994.324</v>
      </c>
      <c r="G44" s="38" t="n">
        <v>7492143.625</v>
      </c>
      <c r="H44" s="39" t="str">
        <f aca="false">IF(AND(ABS(D44+Resumo!$C$6-F44)&lt;=0.01,ABS(E44+Resumo!$C$7-G44)&lt;=0.01),"OK","VERIFICAR")</f>
        <v>OK</v>
      </c>
      <c r="I44" s="39" t="s">
        <v>21</v>
      </c>
      <c r="J44" s="39" t="s">
        <v>29</v>
      </c>
      <c r="K44" s="40" t="n">
        <v>8.75</v>
      </c>
      <c r="L44" s="31" t="s">
        <v>72</v>
      </c>
      <c r="M44" s="32"/>
      <c r="N44" s="31" t="s">
        <v>72</v>
      </c>
      <c r="O44" s="32"/>
      <c r="P44" s="31" t="s">
        <v>72</v>
      </c>
      <c r="Q44" s="32"/>
      <c r="R44" s="31" t="s">
        <v>72</v>
      </c>
      <c r="S44" s="32"/>
      <c r="T44" s="41" t="n">
        <f aca="false">(COUNTIF(L44,"CONCLUÍDO")+COUNTIF(N44,"CONCLUÍDO")+COUNTIF(P44,"CONCLUÍDO")+COUNTIF(R44,"CONCLUÍDO"))/4</f>
        <v>0</v>
      </c>
      <c r="U44" s="34"/>
    </row>
    <row r="45" customFormat="false" ht="15" hidden="false" customHeight="false" outlineLevel="0" collapsed="false">
      <c r="A45" s="42" t="s">
        <v>50</v>
      </c>
      <c r="B45" s="42"/>
      <c r="C45" s="42"/>
      <c r="D45" s="43" t="n">
        <f aca="false">COUNTA(B9:B44)</f>
        <v>36</v>
      </c>
      <c r="E45" s="44" t="s">
        <v>161</v>
      </c>
      <c r="F45" s="45"/>
      <c r="G45" s="45"/>
      <c r="H45" s="45"/>
      <c r="I45" s="45"/>
      <c r="J45" s="45"/>
      <c r="K45" s="45"/>
      <c r="L45" s="46" t="str">
        <f aca="false">COUNTIF(L9:L44,"CONCLUÍDO")&amp;" / "&amp;COUNTA(B9:B44)</f>
        <v>0 / 36</v>
      </c>
      <c r="M45" s="45"/>
      <c r="N45" s="46" t="str">
        <f aca="false">COUNTIF(N9:N44,"CONCLUÍDO")&amp;" / "&amp;COUNTA(B9:B44)</f>
        <v>0 / 36</v>
      </c>
      <c r="O45" s="45"/>
      <c r="P45" s="46" t="str">
        <f aca="false">COUNTIF(P9:P44,"CONCLUÍDO")&amp;" / "&amp;COUNTA(B9:B44)</f>
        <v>0 / 36</v>
      </c>
      <c r="Q45" s="45"/>
      <c r="R45" s="46" t="str">
        <f aca="false">COUNTIF(R9:R44,"CONCLUÍDO")&amp;" / "&amp;COUNTA(B9:B44)</f>
        <v>0 / 36</v>
      </c>
      <c r="S45" s="45"/>
      <c r="T45" s="47" t="n">
        <f aca="false">AVERAGE(T9:T44)</f>
        <v>0</v>
      </c>
      <c r="U45" s="45"/>
    </row>
  </sheetData>
  <autoFilter ref="A8:U44"/>
  <mergeCells count="25">
    <mergeCell ref="A1:U1"/>
    <mergeCell ref="A2:U2"/>
    <mergeCell ref="A3:U3"/>
    <mergeCell ref="A4:U4"/>
    <mergeCell ref="A6:A8"/>
    <mergeCell ref="B6:B8"/>
    <mergeCell ref="C6:C8"/>
    <mergeCell ref="D6:G6"/>
    <mergeCell ref="H6:H8"/>
    <mergeCell ref="I6:K6"/>
    <mergeCell ref="L6:S6"/>
    <mergeCell ref="T6:T8"/>
    <mergeCell ref="U6:U8"/>
    <mergeCell ref="D7:D8"/>
    <mergeCell ref="E7:E8"/>
    <mergeCell ref="F7:F8"/>
    <mergeCell ref="G7:G8"/>
    <mergeCell ref="I7:I8"/>
    <mergeCell ref="J7:J8"/>
    <mergeCell ref="K7:K8"/>
    <mergeCell ref="L7:M7"/>
    <mergeCell ref="N7:O7"/>
    <mergeCell ref="P7:Q7"/>
    <mergeCell ref="R7:S7"/>
    <mergeCell ref="A45:C45"/>
  </mergeCells>
  <conditionalFormatting sqref="L9:L44">
    <cfRule type="cellIs" priority="2" operator="equal" aboveAverage="0" equalAverage="0" bottom="0" percent="0" rank="0" text="" dxfId="9">
      <formula>"CONCLUÍDO"</formula>
    </cfRule>
    <cfRule type="cellIs" priority="3" operator="equal" aboveAverage="0" equalAverage="0" bottom="0" percent="0" rank="0" text="" dxfId="10">
      <formula>"EM ANDAMENTO"</formula>
    </cfRule>
    <cfRule type="cellIs" priority="4" operator="equal" aboveAverage="0" equalAverage="0" bottom="0" percent="0" rank="0" text="" dxfId="11">
      <formula>"NÃO INICIADO"</formula>
    </cfRule>
  </conditionalFormatting>
  <conditionalFormatting sqref="N9:N44">
    <cfRule type="cellIs" priority="5" operator="equal" aboveAverage="0" equalAverage="0" bottom="0" percent="0" rank="0" text="" dxfId="9">
      <formula>"CONCLUÍDO"</formula>
    </cfRule>
    <cfRule type="cellIs" priority="6" operator="equal" aboveAverage="0" equalAverage="0" bottom="0" percent="0" rank="0" text="" dxfId="10">
      <formula>"EM ANDAMENTO"</formula>
    </cfRule>
    <cfRule type="cellIs" priority="7" operator="equal" aboveAverage="0" equalAverage="0" bottom="0" percent="0" rank="0" text="" dxfId="11">
      <formula>"NÃO INICIADO"</formula>
    </cfRule>
  </conditionalFormatting>
  <conditionalFormatting sqref="P9:P44">
    <cfRule type="cellIs" priority="8" operator="equal" aboveAverage="0" equalAverage="0" bottom="0" percent="0" rank="0" text="" dxfId="9">
      <formula>"CONCLUÍDO"</formula>
    </cfRule>
    <cfRule type="cellIs" priority="9" operator="equal" aboveAverage="0" equalAverage="0" bottom="0" percent="0" rank="0" text="" dxfId="10">
      <formula>"EM ANDAMENTO"</formula>
    </cfRule>
    <cfRule type="cellIs" priority="10" operator="equal" aboveAverage="0" equalAverage="0" bottom="0" percent="0" rank="0" text="" dxfId="11">
      <formula>"NÃO INICIADO"</formula>
    </cfRule>
  </conditionalFormatting>
  <conditionalFormatting sqref="R9:R44">
    <cfRule type="cellIs" priority="11" operator="equal" aboveAverage="0" equalAverage="0" bottom="0" percent="0" rank="0" text="" dxfId="9">
      <formula>"CONCLUÍDO"</formula>
    </cfRule>
    <cfRule type="cellIs" priority="12" operator="equal" aboveAverage="0" equalAverage="0" bottom="0" percent="0" rank="0" text="" dxfId="10">
      <formula>"EM ANDAMENTO"</formula>
    </cfRule>
    <cfRule type="cellIs" priority="13" operator="equal" aboveAverage="0" equalAverage="0" bottom="0" percent="0" rank="0" text="" dxfId="11">
      <formula>"NÃO INICIADO"</formula>
    </cfRule>
  </conditionalFormatting>
  <conditionalFormatting sqref="H9:H44">
    <cfRule type="cellIs" priority="14" operator="equal" aboveAverage="0" equalAverage="0" bottom="0" percent="0" rank="0" text="" dxfId="12">
      <formula>"VERIFICAR"</formula>
    </cfRule>
  </conditionalFormatting>
  <dataValidations count="1">
    <dataValidation allowBlank="false" error="Selecione: NÃO INICIADO, EM ANDAMENTO, CONCLUÍDO ou N/A" errorStyle="stop" errorTitle="Status inválido" operator="between" prompt="Escolha o status da etapa" promptTitle="Status" showDropDown="false" showErrorMessage="false" showInputMessage="false" sqref="L9:L44 N9:N44 P9:P44 R9:R44" type="list">
      <formula1>"NÃO INICIADO,EM ANDAMENTO,CONCLUÍDO,N/A"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7" min="6" style="0" width="17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5"/>
    <col collapsed="false" customWidth="true" hidden="false" outlineLevel="0" max="15" min="15" style="0" width="11"/>
    <col collapsed="false" customWidth="true" hidden="false" outlineLevel="0" max="16" min="16" style="0" width="15"/>
    <col collapsed="false" customWidth="true" hidden="false" outlineLevel="0" max="17" min="17" style="0" width="11"/>
    <col collapsed="false" customWidth="true" hidden="false" outlineLevel="0" max="18" min="18" style="0" width="15"/>
    <col collapsed="false" customWidth="true" hidden="false" outlineLevel="0" max="19" min="19" style="0" width="11"/>
    <col collapsed="false" customWidth="true" hidden="false" outlineLevel="0" max="20" min="20" style="0" width="10"/>
    <col collapsed="false" customWidth="true" hidden="false" outlineLevel="0" max="21" min="21" style="0" width="34"/>
  </cols>
  <sheetData>
    <row r="1" customFormat="false" ht="27.75" hidden="false" customHeight="true" outlineLevel="0" collapsed="false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false" outlineLevel="0" collapsed="false">
      <c r="A2" s="19" t="s">
        <v>202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customFormat="false" ht="15" hidden="false" customHeight="false" outlineLevel="0" collapsed="false">
      <c r="A3" s="20" t="s">
        <v>81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customFormat="false" ht="15" hidden="false" customHeight="false" outlineLevel="0" collapsed="false">
      <c r="A4" s="20" t="s">
        <v>203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6" customFormat="false" ht="19.5" hidden="false" customHeight="true" outlineLevel="0" collapsed="false">
      <c r="A6" s="21" t="s">
        <v>83</v>
      </c>
      <c r="B6" s="21" t="s">
        <v>84</v>
      </c>
      <c r="C6" s="21" t="s">
        <v>10</v>
      </c>
      <c r="D6" s="22" t="s">
        <v>85</v>
      </c>
      <c r="E6" s="22"/>
      <c r="F6" s="22"/>
      <c r="G6" s="22"/>
      <c r="H6" s="21" t="s">
        <v>86</v>
      </c>
      <c r="I6" s="22" t="s">
        <v>87</v>
      </c>
      <c r="J6" s="22"/>
      <c r="K6" s="22"/>
      <c r="L6" s="22" t="s">
        <v>88</v>
      </c>
      <c r="M6" s="22"/>
      <c r="N6" s="22"/>
      <c r="O6" s="22"/>
      <c r="P6" s="22"/>
      <c r="Q6" s="22"/>
      <c r="R6" s="22"/>
      <c r="S6" s="22"/>
      <c r="T6" s="21" t="s">
        <v>89</v>
      </c>
      <c r="U6" s="21" t="s">
        <v>90</v>
      </c>
    </row>
    <row r="7" customFormat="false" ht="19.5" hidden="false" customHeight="true" outlineLevel="0" collapsed="false">
      <c r="A7" s="21"/>
      <c r="B7" s="21"/>
      <c r="C7" s="21"/>
      <c r="D7" s="21" t="s">
        <v>91</v>
      </c>
      <c r="E7" s="21" t="s">
        <v>92</v>
      </c>
      <c r="F7" s="21" t="s">
        <v>93</v>
      </c>
      <c r="G7" s="21" t="s">
        <v>94</v>
      </c>
      <c r="H7" s="21"/>
      <c r="I7" s="21" t="s">
        <v>12</v>
      </c>
      <c r="J7" s="21" t="s">
        <v>95</v>
      </c>
      <c r="K7" s="21" t="s">
        <v>96</v>
      </c>
      <c r="L7" s="23" t="s">
        <v>53</v>
      </c>
      <c r="M7" s="23"/>
      <c r="N7" s="23" t="s">
        <v>54</v>
      </c>
      <c r="O7" s="23"/>
      <c r="P7" s="23" t="s">
        <v>55</v>
      </c>
      <c r="Q7" s="23"/>
      <c r="R7" s="23" t="s">
        <v>56</v>
      </c>
      <c r="S7" s="23"/>
      <c r="T7" s="21"/>
      <c r="U7" s="21"/>
    </row>
    <row r="8" customFormat="false" ht="25.5" hidden="false" customHeight="true" outlineLevel="0" collapsed="false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4" t="s">
        <v>97</v>
      </c>
      <c r="M8" s="24" t="s">
        <v>66</v>
      </c>
      <c r="N8" s="24" t="s">
        <v>97</v>
      </c>
      <c r="O8" s="24" t="s">
        <v>66</v>
      </c>
      <c r="P8" s="24" t="s">
        <v>97</v>
      </c>
      <c r="Q8" s="24" t="s">
        <v>66</v>
      </c>
      <c r="R8" s="24" t="s">
        <v>97</v>
      </c>
      <c r="S8" s="24" t="s">
        <v>66</v>
      </c>
      <c r="T8" s="21"/>
      <c r="U8" s="21"/>
    </row>
    <row r="9" customFormat="false" ht="15" hidden="false" customHeight="false" outlineLevel="0" collapsed="false">
      <c r="A9" s="25" t="n">
        <v>1</v>
      </c>
      <c r="B9" s="26" t="s">
        <v>204</v>
      </c>
      <c r="C9" s="27" t="s">
        <v>35</v>
      </c>
      <c r="D9" s="28" t="n">
        <v>5006.654</v>
      </c>
      <c r="E9" s="28" t="n">
        <v>3193.93</v>
      </c>
      <c r="F9" s="28" t="n">
        <v>719962.088</v>
      </c>
      <c r="G9" s="28" t="n">
        <v>7492148.32</v>
      </c>
      <c r="H9" s="29" t="str">
        <f aca="false">IF(AND(ABS(D9+Resumo!$C$6-F9)&lt;=0.01,ABS(E9+Resumo!$C$7-G9)&lt;=0.01),"OK","VERIFICAR")</f>
        <v>OK</v>
      </c>
      <c r="I9" s="29" t="s">
        <v>21</v>
      </c>
      <c r="J9" s="29" t="s">
        <v>37</v>
      </c>
      <c r="K9" s="30" t="n">
        <v>18</v>
      </c>
      <c r="L9" s="31" t="s">
        <v>72</v>
      </c>
      <c r="M9" s="32"/>
      <c r="N9" s="31" t="s">
        <v>72</v>
      </c>
      <c r="O9" s="32"/>
      <c r="P9" s="31" t="s">
        <v>72</v>
      </c>
      <c r="Q9" s="32"/>
      <c r="R9" s="31" t="s">
        <v>72</v>
      </c>
      <c r="S9" s="32"/>
      <c r="T9" s="33" t="n">
        <f aca="false">(COUNTIF(L9,"CONCLUÍDO")+COUNTIF(N9,"CONCLUÍDO")+COUNTIF(P9,"CONCLUÍDO")+COUNTIF(R9,"CONCLUÍDO"))/4</f>
        <v>0</v>
      </c>
      <c r="U9" s="34"/>
    </row>
    <row r="10" customFormat="false" ht="15" hidden="false" customHeight="false" outlineLevel="0" collapsed="false">
      <c r="A10" s="35" t="n">
        <v>2</v>
      </c>
      <c r="B10" s="36" t="s">
        <v>205</v>
      </c>
      <c r="C10" s="37" t="s">
        <v>35</v>
      </c>
      <c r="D10" s="38" t="n">
        <v>5008.154</v>
      </c>
      <c r="E10" s="38" t="n">
        <v>3193.93</v>
      </c>
      <c r="F10" s="38" t="n">
        <v>719963.588</v>
      </c>
      <c r="G10" s="38" t="n">
        <v>7492148.32</v>
      </c>
      <c r="H10" s="39" t="str">
        <f aca="false">IF(AND(ABS(D10+Resumo!$C$6-F10)&lt;=0.01,ABS(E10+Resumo!$C$7-G10)&lt;=0.01),"OK","VERIFICAR")</f>
        <v>OK</v>
      </c>
      <c r="I10" s="39" t="s">
        <v>21</v>
      </c>
      <c r="J10" s="39" t="s">
        <v>37</v>
      </c>
      <c r="K10" s="40" t="n">
        <v>18</v>
      </c>
      <c r="L10" s="31" t="s">
        <v>72</v>
      </c>
      <c r="M10" s="32"/>
      <c r="N10" s="31" t="s">
        <v>72</v>
      </c>
      <c r="O10" s="32"/>
      <c r="P10" s="31" t="s">
        <v>72</v>
      </c>
      <c r="Q10" s="32"/>
      <c r="R10" s="31" t="s">
        <v>72</v>
      </c>
      <c r="S10" s="32"/>
      <c r="T10" s="41" t="n">
        <f aca="false">(COUNTIF(L10,"CONCLUÍDO")+COUNTIF(N10,"CONCLUÍDO")+COUNTIF(P10,"CONCLUÍDO")+COUNTIF(R10,"CONCLUÍDO"))/4</f>
        <v>0</v>
      </c>
      <c r="U10" s="34"/>
    </row>
    <row r="11" customFormat="false" ht="15" hidden="false" customHeight="false" outlineLevel="0" collapsed="false">
      <c r="A11" s="25" t="n">
        <v>3</v>
      </c>
      <c r="B11" s="26" t="s">
        <v>206</v>
      </c>
      <c r="C11" s="27" t="s">
        <v>35</v>
      </c>
      <c r="D11" s="28" t="n">
        <v>5009.654</v>
      </c>
      <c r="E11" s="28" t="n">
        <v>3193.93</v>
      </c>
      <c r="F11" s="28" t="n">
        <v>719965.088</v>
      </c>
      <c r="G11" s="28" t="n">
        <v>7492148.32</v>
      </c>
      <c r="H11" s="29" t="str">
        <f aca="false">IF(AND(ABS(D11+Resumo!$C$6-F11)&lt;=0.01,ABS(E11+Resumo!$C$7-G11)&lt;=0.01),"OK","VERIFICAR")</f>
        <v>OK</v>
      </c>
      <c r="I11" s="29" t="s">
        <v>21</v>
      </c>
      <c r="J11" s="29" t="s">
        <v>37</v>
      </c>
      <c r="K11" s="30" t="n">
        <v>18</v>
      </c>
      <c r="L11" s="31" t="s">
        <v>72</v>
      </c>
      <c r="M11" s="32"/>
      <c r="N11" s="31" t="s">
        <v>72</v>
      </c>
      <c r="O11" s="32"/>
      <c r="P11" s="31" t="s">
        <v>72</v>
      </c>
      <c r="Q11" s="32"/>
      <c r="R11" s="31" t="s">
        <v>72</v>
      </c>
      <c r="S11" s="32"/>
      <c r="T11" s="33" t="n">
        <f aca="false">(COUNTIF(L11,"CONCLUÍDO")+COUNTIF(N11,"CONCLUÍDO")+COUNTIF(P11,"CONCLUÍDO")+COUNTIF(R11,"CONCLUÍDO"))/4</f>
        <v>0</v>
      </c>
      <c r="U11" s="34"/>
    </row>
    <row r="12" customFormat="false" ht="15" hidden="false" customHeight="false" outlineLevel="0" collapsed="false">
      <c r="A12" s="35" t="n">
        <v>4</v>
      </c>
      <c r="B12" s="36" t="s">
        <v>207</v>
      </c>
      <c r="C12" s="37" t="s">
        <v>35</v>
      </c>
      <c r="D12" s="38" t="n">
        <v>5011.154</v>
      </c>
      <c r="E12" s="38" t="n">
        <v>3193.93</v>
      </c>
      <c r="F12" s="38" t="n">
        <v>719966.588</v>
      </c>
      <c r="G12" s="38" t="n">
        <v>7492148.32</v>
      </c>
      <c r="H12" s="39" t="str">
        <f aca="false">IF(AND(ABS(D12+Resumo!$C$6-F12)&lt;=0.01,ABS(E12+Resumo!$C$7-G12)&lt;=0.01),"OK","VERIFICAR")</f>
        <v>OK</v>
      </c>
      <c r="I12" s="39" t="s">
        <v>21</v>
      </c>
      <c r="J12" s="39" t="s">
        <v>37</v>
      </c>
      <c r="K12" s="40" t="n">
        <v>18</v>
      </c>
      <c r="L12" s="31" t="s">
        <v>72</v>
      </c>
      <c r="M12" s="32"/>
      <c r="N12" s="31" t="s">
        <v>72</v>
      </c>
      <c r="O12" s="32"/>
      <c r="P12" s="31" t="s">
        <v>72</v>
      </c>
      <c r="Q12" s="32"/>
      <c r="R12" s="31" t="s">
        <v>72</v>
      </c>
      <c r="S12" s="32"/>
      <c r="T12" s="41" t="n">
        <f aca="false">(COUNTIF(L12,"CONCLUÍDO")+COUNTIF(N12,"CONCLUÍDO")+COUNTIF(P12,"CONCLUÍDO")+COUNTIF(R12,"CONCLUÍDO"))/4</f>
        <v>0</v>
      </c>
      <c r="U12" s="34"/>
    </row>
    <row r="13" customFormat="false" ht="15" hidden="false" customHeight="false" outlineLevel="0" collapsed="false">
      <c r="A13" s="25" t="n">
        <v>5</v>
      </c>
      <c r="B13" s="26" t="s">
        <v>208</v>
      </c>
      <c r="C13" s="27" t="s">
        <v>35</v>
      </c>
      <c r="D13" s="28" t="n">
        <v>5012.654</v>
      </c>
      <c r="E13" s="28" t="n">
        <v>3193.93</v>
      </c>
      <c r="F13" s="28" t="n">
        <v>719968.088</v>
      </c>
      <c r="G13" s="28" t="n">
        <v>7492148.32</v>
      </c>
      <c r="H13" s="29" t="str">
        <f aca="false">IF(AND(ABS(D13+Resumo!$C$6-F13)&lt;=0.01,ABS(E13+Resumo!$C$7-G13)&lt;=0.01),"OK","VERIFICAR")</f>
        <v>OK</v>
      </c>
      <c r="I13" s="29" t="s">
        <v>21</v>
      </c>
      <c r="J13" s="29" t="s">
        <v>37</v>
      </c>
      <c r="K13" s="30" t="n">
        <v>18</v>
      </c>
      <c r="L13" s="31" t="s">
        <v>72</v>
      </c>
      <c r="M13" s="32"/>
      <c r="N13" s="31" t="s">
        <v>72</v>
      </c>
      <c r="O13" s="32"/>
      <c r="P13" s="31" t="s">
        <v>72</v>
      </c>
      <c r="Q13" s="32"/>
      <c r="R13" s="31" t="s">
        <v>72</v>
      </c>
      <c r="S13" s="32"/>
      <c r="T13" s="33" t="n">
        <f aca="false">(COUNTIF(L13,"CONCLUÍDO")+COUNTIF(N13,"CONCLUÍDO")+COUNTIF(P13,"CONCLUÍDO")+COUNTIF(R13,"CONCLUÍDO"))/4</f>
        <v>0</v>
      </c>
      <c r="U13" s="34"/>
    </row>
    <row r="14" customFormat="false" ht="15" hidden="false" customHeight="false" outlineLevel="0" collapsed="false">
      <c r="A14" s="35" t="n">
        <v>6</v>
      </c>
      <c r="B14" s="36" t="s">
        <v>209</v>
      </c>
      <c r="C14" s="37" t="s">
        <v>35</v>
      </c>
      <c r="D14" s="38" t="n">
        <v>5014.154</v>
      </c>
      <c r="E14" s="38" t="n">
        <v>3193.93</v>
      </c>
      <c r="F14" s="38" t="n">
        <v>719969.588</v>
      </c>
      <c r="G14" s="38" t="n">
        <v>7492148.32</v>
      </c>
      <c r="H14" s="39" t="str">
        <f aca="false">IF(AND(ABS(D14+Resumo!$C$6-F14)&lt;=0.01,ABS(E14+Resumo!$C$7-G14)&lt;=0.01),"OK","VERIFICAR")</f>
        <v>OK</v>
      </c>
      <c r="I14" s="39" t="s">
        <v>21</v>
      </c>
      <c r="J14" s="39" t="s">
        <v>37</v>
      </c>
      <c r="K14" s="40" t="n">
        <v>18</v>
      </c>
      <c r="L14" s="31" t="s">
        <v>72</v>
      </c>
      <c r="M14" s="32"/>
      <c r="N14" s="31" t="s">
        <v>72</v>
      </c>
      <c r="O14" s="32"/>
      <c r="P14" s="31" t="s">
        <v>72</v>
      </c>
      <c r="Q14" s="32"/>
      <c r="R14" s="31" t="s">
        <v>72</v>
      </c>
      <c r="S14" s="32"/>
      <c r="T14" s="41" t="n">
        <f aca="false">(COUNTIF(L14,"CONCLUÍDO")+COUNTIF(N14,"CONCLUÍDO")+COUNTIF(P14,"CONCLUÍDO")+COUNTIF(R14,"CONCLUÍDO"))/4</f>
        <v>0</v>
      </c>
      <c r="U14" s="34"/>
    </row>
    <row r="15" customFormat="false" ht="15" hidden="false" customHeight="false" outlineLevel="0" collapsed="false">
      <c r="A15" s="25" t="n">
        <v>7</v>
      </c>
      <c r="B15" s="26" t="s">
        <v>210</v>
      </c>
      <c r="C15" s="27" t="s">
        <v>35</v>
      </c>
      <c r="D15" s="28" t="n">
        <v>5015.654</v>
      </c>
      <c r="E15" s="28" t="n">
        <v>3193.93</v>
      </c>
      <c r="F15" s="28" t="n">
        <v>719971.088</v>
      </c>
      <c r="G15" s="28" t="n">
        <v>7492148.32</v>
      </c>
      <c r="H15" s="29" t="str">
        <f aca="false">IF(AND(ABS(D15+Resumo!$C$6-F15)&lt;=0.01,ABS(E15+Resumo!$C$7-G15)&lt;=0.01),"OK","VERIFICAR")</f>
        <v>OK</v>
      </c>
      <c r="I15" s="29" t="s">
        <v>21</v>
      </c>
      <c r="J15" s="29" t="s">
        <v>37</v>
      </c>
      <c r="K15" s="30" t="n">
        <v>18</v>
      </c>
      <c r="L15" s="31" t="s">
        <v>72</v>
      </c>
      <c r="M15" s="32"/>
      <c r="N15" s="31" t="s">
        <v>72</v>
      </c>
      <c r="O15" s="32"/>
      <c r="P15" s="31" t="s">
        <v>72</v>
      </c>
      <c r="Q15" s="32"/>
      <c r="R15" s="31" t="s">
        <v>72</v>
      </c>
      <c r="S15" s="32"/>
      <c r="T15" s="33" t="n">
        <f aca="false">(COUNTIF(L15,"CONCLUÍDO")+COUNTIF(N15,"CONCLUÍDO")+COUNTIF(P15,"CONCLUÍDO")+COUNTIF(R15,"CONCLUÍDO"))/4</f>
        <v>0</v>
      </c>
      <c r="U15" s="34"/>
    </row>
    <row r="16" customFormat="false" ht="15" hidden="false" customHeight="false" outlineLevel="0" collapsed="false">
      <c r="A16" s="35" t="n">
        <v>8</v>
      </c>
      <c r="B16" s="36" t="s">
        <v>211</v>
      </c>
      <c r="C16" s="37" t="s">
        <v>35</v>
      </c>
      <c r="D16" s="38" t="n">
        <v>5017.154</v>
      </c>
      <c r="E16" s="38" t="n">
        <v>3193.93</v>
      </c>
      <c r="F16" s="38" t="n">
        <v>719972.588</v>
      </c>
      <c r="G16" s="38" t="n">
        <v>7492148.32</v>
      </c>
      <c r="H16" s="39" t="str">
        <f aca="false">IF(AND(ABS(D16+Resumo!$C$6-F16)&lt;=0.01,ABS(E16+Resumo!$C$7-G16)&lt;=0.01),"OK","VERIFICAR")</f>
        <v>OK</v>
      </c>
      <c r="I16" s="39" t="s">
        <v>21</v>
      </c>
      <c r="J16" s="39" t="s">
        <v>37</v>
      </c>
      <c r="K16" s="40" t="n">
        <v>18</v>
      </c>
      <c r="L16" s="31" t="s">
        <v>72</v>
      </c>
      <c r="M16" s="32"/>
      <c r="N16" s="31" t="s">
        <v>72</v>
      </c>
      <c r="O16" s="32"/>
      <c r="P16" s="31" t="s">
        <v>72</v>
      </c>
      <c r="Q16" s="32"/>
      <c r="R16" s="31" t="s">
        <v>72</v>
      </c>
      <c r="S16" s="32"/>
      <c r="T16" s="41" t="n">
        <f aca="false">(COUNTIF(L16,"CONCLUÍDO")+COUNTIF(N16,"CONCLUÍDO")+COUNTIF(P16,"CONCLUÍDO")+COUNTIF(R16,"CONCLUÍDO"))/4</f>
        <v>0</v>
      </c>
      <c r="U16" s="34"/>
    </row>
    <row r="17" customFormat="false" ht="15" hidden="false" customHeight="false" outlineLevel="0" collapsed="false">
      <c r="A17" s="25" t="n">
        <v>9</v>
      </c>
      <c r="B17" s="26" t="s">
        <v>212</v>
      </c>
      <c r="C17" s="27" t="s">
        <v>35</v>
      </c>
      <c r="D17" s="28" t="n">
        <v>5018.654</v>
      </c>
      <c r="E17" s="28" t="n">
        <v>3193.93</v>
      </c>
      <c r="F17" s="28" t="n">
        <v>719974.088</v>
      </c>
      <c r="G17" s="28" t="n">
        <v>7492148.32</v>
      </c>
      <c r="H17" s="29" t="str">
        <f aca="false">IF(AND(ABS(D17+Resumo!$C$6-F17)&lt;=0.01,ABS(E17+Resumo!$C$7-G17)&lt;=0.01),"OK","VERIFICAR")</f>
        <v>OK</v>
      </c>
      <c r="I17" s="29" t="s">
        <v>21</v>
      </c>
      <c r="J17" s="29" t="s">
        <v>37</v>
      </c>
      <c r="K17" s="30" t="n">
        <v>18</v>
      </c>
      <c r="L17" s="31" t="s">
        <v>72</v>
      </c>
      <c r="M17" s="32"/>
      <c r="N17" s="31" t="s">
        <v>72</v>
      </c>
      <c r="O17" s="32"/>
      <c r="P17" s="31" t="s">
        <v>72</v>
      </c>
      <c r="Q17" s="32"/>
      <c r="R17" s="31" t="s">
        <v>72</v>
      </c>
      <c r="S17" s="32"/>
      <c r="T17" s="33" t="n">
        <f aca="false">(COUNTIF(L17,"CONCLUÍDO")+COUNTIF(N17,"CONCLUÍDO")+COUNTIF(P17,"CONCLUÍDO")+COUNTIF(R17,"CONCLUÍDO"))/4</f>
        <v>0</v>
      </c>
      <c r="U17" s="34"/>
    </row>
    <row r="18" customFormat="false" ht="15" hidden="false" customHeight="false" outlineLevel="0" collapsed="false">
      <c r="A18" s="35" t="n">
        <v>10</v>
      </c>
      <c r="B18" s="36" t="s">
        <v>213</v>
      </c>
      <c r="C18" s="37" t="s">
        <v>35</v>
      </c>
      <c r="D18" s="38" t="n">
        <v>5020.154</v>
      </c>
      <c r="E18" s="38" t="n">
        <v>3193.93</v>
      </c>
      <c r="F18" s="38" t="n">
        <v>719975.588</v>
      </c>
      <c r="G18" s="38" t="n">
        <v>7492148.32</v>
      </c>
      <c r="H18" s="39" t="str">
        <f aca="false">IF(AND(ABS(D18+Resumo!$C$6-F18)&lt;=0.01,ABS(E18+Resumo!$C$7-G18)&lt;=0.01),"OK","VERIFICAR")</f>
        <v>OK</v>
      </c>
      <c r="I18" s="39" t="s">
        <v>21</v>
      </c>
      <c r="J18" s="39" t="s">
        <v>37</v>
      </c>
      <c r="K18" s="40" t="n">
        <v>18</v>
      </c>
      <c r="L18" s="31" t="s">
        <v>72</v>
      </c>
      <c r="M18" s="32"/>
      <c r="N18" s="31" t="s">
        <v>72</v>
      </c>
      <c r="O18" s="32"/>
      <c r="P18" s="31" t="s">
        <v>72</v>
      </c>
      <c r="Q18" s="32"/>
      <c r="R18" s="31" t="s">
        <v>72</v>
      </c>
      <c r="S18" s="32"/>
      <c r="T18" s="41" t="n">
        <f aca="false">(COUNTIF(L18,"CONCLUÍDO")+COUNTIF(N18,"CONCLUÍDO")+COUNTIF(P18,"CONCLUÍDO")+COUNTIF(R18,"CONCLUÍDO"))/4</f>
        <v>0</v>
      </c>
      <c r="U18" s="34"/>
    </row>
    <row r="19" customFormat="false" ht="15" hidden="false" customHeight="false" outlineLevel="0" collapsed="false">
      <c r="A19" s="25" t="n">
        <v>11</v>
      </c>
      <c r="B19" s="26" t="s">
        <v>214</v>
      </c>
      <c r="C19" s="27" t="s">
        <v>35</v>
      </c>
      <c r="D19" s="28" t="n">
        <v>5021.654</v>
      </c>
      <c r="E19" s="28" t="n">
        <v>3193.93</v>
      </c>
      <c r="F19" s="28" t="n">
        <v>719977.088</v>
      </c>
      <c r="G19" s="28" t="n">
        <v>7492148.32</v>
      </c>
      <c r="H19" s="29" t="str">
        <f aca="false">IF(AND(ABS(D19+Resumo!$C$6-F19)&lt;=0.01,ABS(E19+Resumo!$C$7-G19)&lt;=0.01),"OK","VERIFICAR")</f>
        <v>OK</v>
      </c>
      <c r="I19" s="29" t="s">
        <v>21</v>
      </c>
      <c r="J19" s="29" t="s">
        <v>37</v>
      </c>
      <c r="K19" s="30" t="n">
        <v>18</v>
      </c>
      <c r="L19" s="31" t="s">
        <v>72</v>
      </c>
      <c r="M19" s="32"/>
      <c r="N19" s="31" t="s">
        <v>72</v>
      </c>
      <c r="O19" s="32"/>
      <c r="P19" s="31" t="s">
        <v>72</v>
      </c>
      <c r="Q19" s="32"/>
      <c r="R19" s="31" t="s">
        <v>72</v>
      </c>
      <c r="S19" s="32"/>
      <c r="T19" s="33" t="n">
        <f aca="false">(COUNTIF(L19,"CONCLUÍDO")+COUNTIF(N19,"CONCLUÍDO")+COUNTIF(P19,"CONCLUÍDO")+COUNTIF(R19,"CONCLUÍDO"))/4</f>
        <v>0</v>
      </c>
      <c r="U19" s="34"/>
    </row>
    <row r="20" customFormat="false" ht="15" hidden="false" customHeight="false" outlineLevel="0" collapsed="false">
      <c r="A20" s="35" t="n">
        <v>12</v>
      </c>
      <c r="B20" s="36" t="s">
        <v>215</v>
      </c>
      <c r="C20" s="37" t="s">
        <v>35</v>
      </c>
      <c r="D20" s="38" t="n">
        <v>5006.654</v>
      </c>
      <c r="E20" s="38" t="n">
        <v>3192.43</v>
      </c>
      <c r="F20" s="38" t="n">
        <v>719962.088</v>
      </c>
      <c r="G20" s="38" t="n">
        <v>7492146.82</v>
      </c>
      <c r="H20" s="39" t="str">
        <f aca="false">IF(AND(ABS(D20+Resumo!$C$6-F20)&lt;=0.01,ABS(E20+Resumo!$C$7-G20)&lt;=0.01),"OK","VERIFICAR")</f>
        <v>OK</v>
      </c>
      <c r="I20" s="39" t="s">
        <v>21</v>
      </c>
      <c r="J20" s="39" t="s">
        <v>37</v>
      </c>
      <c r="K20" s="40" t="n">
        <v>18</v>
      </c>
      <c r="L20" s="31" t="s">
        <v>72</v>
      </c>
      <c r="M20" s="32"/>
      <c r="N20" s="31" t="s">
        <v>72</v>
      </c>
      <c r="O20" s="32"/>
      <c r="P20" s="31" t="s">
        <v>72</v>
      </c>
      <c r="Q20" s="32"/>
      <c r="R20" s="31" t="s">
        <v>72</v>
      </c>
      <c r="S20" s="32"/>
      <c r="T20" s="41" t="n">
        <f aca="false">(COUNTIF(L20,"CONCLUÍDO")+COUNTIF(N20,"CONCLUÍDO")+COUNTIF(P20,"CONCLUÍDO")+COUNTIF(R20,"CONCLUÍDO"))/4</f>
        <v>0</v>
      </c>
      <c r="U20" s="34"/>
    </row>
    <row r="21" customFormat="false" ht="15" hidden="false" customHeight="false" outlineLevel="0" collapsed="false">
      <c r="A21" s="25" t="n">
        <v>13</v>
      </c>
      <c r="B21" s="26" t="s">
        <v>216</v>
      </c>
      <c r="C21" s="27" t="s">
        <v>35</v>
      </c>
      <c r="D21" s="28" t="n">
        <v>5008.154</v>
      </c>
      <c r="E21" s="28" t="n">
        <v>3192.43</v>
      </c>
      <c r="F21" s="28" t="n">
        <v>719963.588</v>
      </c>
      <c r="G21" s="28" t="n">
        <v>7492146.82</v>
      </c>
      <c r="H21" s="29" t="str">
        <f aca="false">IF(AND(ABS(D21+Resumo!$C$6-F21)&lt;=0.01,ABS(E21+Resumo!$C$7-G21)&lt;=0.01),"OK","VERIFICAR")</f>
        <v>OK</v>
      </c>
      <c r="I21" s="29" t="s">
        <v>21</v>
      </c>
      <c r="J21" s="29" t="s">
        <v>37</v>
      </c>
      <c r="K21" s="30" t="n">
        <v>18</v>
      </c>
      <c r="L21" s="31" t="s">
        <v>72</v>
      </c>
      <c r="M21" s="32"/>
      <c r="N21" s="31" t="s">
        <v>72</v>
      </c>
      <c r="O21" s="32"/>
      <c r="P21" s="31" t="s">
        <v>72</v>
      </c>
      <c r="Q21" s="32"/>
      <c r="R21" s="31" t="s">
        <v>72</v>
      </c>
      <c r="S21" s="32"/>
      <c r="T21" s="33" t="n">
        <f aca="false">(COUNTIF(L21,"CONCLUÍDO")+COUNTIF(N21,"CONCLUÍDO")+COUNTIF(P21,"CONCLUÍDO")+COUNTIF(R21,"CONCLUÍDO"))/4</f>
        <v>0</v>
      </c>
      <c r="U21" s="34"/>
    </row>
    <row r="22" customFormat="false" ht="15" hidden="false" customHeight="false" outlineLevel="0" collapsed="false">
      <c r="A22" s="35" t="n">
        <v>14</v>
      </c>
      <c r="B22" s="36" t="s">
        <v>217</v>
      </c>
      <c r="C22" s="37" t="s">
        <v>35</v>
      </c>
      <c r="D22" s="38" t="n">
        <v>5009.654</v>
      </c>
      <c r="E22" s="38" t="n">
        <v>3192.43</v>
      </c>
      <c r="F22" s="38" t="n">
        <v>719965.088</v>
      </c>
      <c r="G22" s="38" t="n">
        <v>7492146.82</v>
      </c>
      <c r="H22" s="39" t="str">
        <f aca="false">IF(AND(ABS(D22+Resumo!$C$6-F22)&lt;=0.01,ABS(E22+Resumo!$C$7-G22)&lt;=0.01),"OK","VERIFICAR")</f>
        <v>OK</v>
      </c>
      <c r="I22" s="39" t="s">
        <v>21</v>
      </c>
      <c r="J22" s="39" t="s">
        <v>37</v>
      </c>
      <c r="K22" s="40" t="n">
        <v>18</v>
      </c>
      <c r="L22" s="31" t="s">
        <v>72</v>
      </c>
      <c r="M22" s="32"/>
      <c r="N22" s="31" t="s">
        <v>72</v>
      </c>
      <c r="O22" s="32"/>
      <c r="P22" s="31" t="s">
        <v>72</v>
      </c>
      <c r="Q22" s="32"/>
      <c r="R22" s="31" t="s">
        <v>72</v>
      </c>
      <c r="S22" s="32"/>
      <c r="T22" s="41" t="n">
        <f aca="false">(COUNTIF(L22,"CONCLUÍDO")+COUNTIF(N22,"CONCLUÍDO")+COUNTIF(P22,"CONCLUÍDO")+COUNTIF(R22,"CONCLUÍDO"))/4</f>
        <v>0</v>
      </c>
      <c r="U22" s="34"/>
    </row>
    <row r="23" customFormat="false" ht="15" hidden="false" customHeight="false" outlineLevel="0" collapsed="false">
      <c r="A23" s="25" t="n">
        <v>15</v>
      </c>
      <c r="B23" s="26" t="s">
        <v>218</v>
      </c>
      <c r="C23" s="27" t="s">
        <v>35</v>
      </c>
      <c r="D23" s="28" t="n">
        <v>5011.154</v>
      </c>
      <c r="E23" s="28" t="n">
        <v>3192.43</v>
      </c>
      <c r="F23" s="28" t="n">
        <v>719966.588</v>
      </c>
      <c r="G23" s="28" t="n">
        <v>7492146.82</v>
      </c>
      <c r="H23" s="29" t="str">
        <f aca="false">IF(AND(ABS(D23+Resumo!$C$6-F23)&lt;=0.01,ABS(E23+Resumo!$C$7-G23)&lt;=0.01),"OK","VERIFICAR")</f>
        <v>OK</v>
      </c>
      <c r="I23" s="29" t="s">
        <v>21</v>
      </c>
      <c r="J23" s="29" t="s">
        <v>37</v>
      </c>
      <c r="K23" s="30" t="n">
        <v>18</v>
      </c>
      <c r="L23" s="31" t="s">
        <v>72</v>
      </c>
      <c r="M23" s="32"/>
      <c r="N23" s="31" t="s">
        <v>72</v>
      </c>
      <c r="O23" s="32"/>
      <c r="P23" s="31" t="s">
        <v>72</v>
      </c>
      <c r="Q23" s="32"/>
      <c r="R23" s="31" t="s">
        <v>72</v>
      </c>
      <c r="S23" s="32"/>
      <c r="T23" s="33" t="n">
        <f aca="false">(COUNTIF(L23,"CONCLUÍDO")+COUNTIF(N23,"CONCLUÍDO")+COUNTIF(P23,"CONCLUÍDO")+COUNTIF(R23,"CONCLUÍDO"))/4</f>
        <v>0</v>
      </c>
      <c r="U23" s="34"/>
    </row>
    <row r="24" customFormat="false" ht="15" hidden="false" customHeight="false" outlineLevel="0" collapsed="false">
      <c r="A24" s="35" t="n">
        <v>16</v>
      </c>
      <c r="B24" s="36" t="s">
        <v>219</v>
      </c>
      <c r="C24" s="37" t="s">
        <v>35</v>
      </c>
      <c r="D24" s="38" t="n">
        <v>5012.654</v>
      </c>
      <c r="E24" s="38" t="n">
        <v>3192.43</v>
      </c>
      <c r="F24" s="38" t="n">
        <v>719968.088</v>
      </c>
      <c r="G24" s="38" t="n">
        <v>7492146.82</v>
      </c>
      <c r="H24" s="39" t="str">
        <f aca="false">IF(AND(ABS(D24+Resumo!$C$6-F24)&lt;=0.01,ABS(E24+Resumo!$C$7-G24)&lt;=0.01),"OK","VERIFICAR")</f>
        <v>OK</v>
      </c>
      <c r="I24" s="39" t="s">
        <v>21</v>
      </c>
      <c r="J24" s="39" t="s">
        <v>37</v>
      </c>
      <c r="K24" s="40" t="n">
        <v>18</v>
      </c>
      <c r="L24" s="31" t="s">
        <v>72</v>
      </c>
      <c r="M24" s="32"/>
      <c r="N24" s="31" t="s">
        <v>72</v>
      </c>
      <c r="O24" s="32"/>
      <c r="P24" s="31" t="s">
        <v>72</v>
      </c>
      <c r="Q24" s="32"/>
      <c r="R24" s="31" t="s">
        <v>72</v>
      </c>
      <c r="S24" s="32"/>
      <c r="T24" s="41" t="n">
        <f aca="false">(COUNTIF(L24,"CONCLUÍDO")+COUNTIF(N24,"CONCLUÍDO")+COUNTIF(P24,"CONCLUÍDO")+COUNTIF(R24,"CONCLUÍDO"))/4</f>
        <v>0</v>
      </c>
      <c r="U24" s="34"/>
    </row>
    <row r="25" customFormat="false" ht="15" hidden="false" customHeight="false" outlineLevel="0" collapsed="false">
      <c r="A25" s="25" t="n">
        <v>17</v>
      </c>
      <c r="B25" s="26" t="s">
        <v>220</v>
      </c>
      <c r="C25" s="27" t="s">
        <v>35</v>
      </c>
      <c r="D25" s="28" t="n">
        <v>5014.154</v>
      </c>
      <c r="E25" s="28" t="n">
        <v>3192.43</v>
      </c>
      <c r="F25" s="28" t="n">
        <v>719969.588</v>
      </c>
      <c r="G25" s="28" t="n">
        <v>7492146.82</v>
      </c>
      <c r="H25" s="29" t="str">
        <f aca="false">IF(AND(ABS(D25+Resumo!$C$6-F25)&lt;=0.01,ABS(E25+Resumo!$C$7-G25)&lt;=0.01),"OK","VERIFICAR")</f>
        <v>OK</v>
      </c>
      <c r="I25" s="29" t="s">
        <v>21</v>
      </c>
      <c r="J25" s="29" t="s">
        <v>37</v>
      </c>
      <c r="K25" s="30" t="n">
        <v>18</v>
      </c>
      <c r="L25" s="31" t="s">
        <v>72</v>
      </c>
      <c r="M25" s="32"/>
      <c r="N25" s="31" t="s">
        <v>72</v>
      </c>
      <c r="O25" s="32"/>
      <c r="P25" s="31" t="s">
        <v>72</v>
      </c>
      <c r="Q25" s="32"/>
      <c r="R25" s="31" t="s">
        <v>72</v>
      </c>
      <c r="S25" s="32"/>
      <c r="T25" s="33" t="n">
        <f aca="false">(COUNTIF(L25,"CONCLUÍDO")+COUNTIF(N25,"CONCLUÍDO")+COUNTIF(P25,"CONCLUÍDO")+COUNTIF(R25,"CONCLUÍDO"))/4</f>
        <v>0</v>
      </c>
      <c r="U25" s="34"/>
    </row>
    <row r="26" customFormat="false" ht="15" hidden="false" customHeight="false" outlineLevel="0" collapsed="false">
      <c r="A26" s="35" t="n">
        <v>18</v>
      </c>
      <c r="B26" s="36" t="s">
        <v>221</v>
      </c>
      <c r="C26" s="37" t="s">
        <v>35</v>
      </c>
      <c r="D26" s="38" t="n">
        <v>5015.654</v>
      </c>
      <c r="E26" s="38" t="n">
        <v>3192.43</v>
      </c>
      <c r="F26" s="38" t="n">
        <v>719971.088</v>
      </c>
      <c r="G26" s="38" t="n">
        <v>7492146.82</v>
      </c>
      <c r="H26" s="39" t="str">
        <f aca="false">IF(AND(ABS(D26+Resumo!$C$6-F26)&lt;=0.01,ABS(E26+Resumo!$C$7-G26)&lt;=0.01),"OK","VERIFICAR")</f>
        <v>OK</v>
      </c>
      <c r="I26" s="39" t="s">
        <v>21</v>
      </c>
      <c r="J26" s="39" t="s">
        <v>37</v>
      </c>
      <c r="K26" s="40" t="n">
        <v>18</v>
      </c>
      <c r="L26" s="31" t="s">
        <v>72</v>
      </c>
      <c r="M26" s="32"/>
      <c r="N26" s="31" t="s">
        <v>72</v>
      </c>
      <c r="O26" s="32"/>
      <c r="P26" s="31" t="s">
        <v>72</v>
      </c>
      <c r="Q26" s="32"/>
      <c r="R26" s="31" t="s">
        <v>72</v>
      </c>
      <c r="S26" s="32"/>
      <c r="T26" s="41" t="n">
        <f aca="false">(COUNTIF(L26,"CONCLUÍDO")+COUNTIF(N26,"CONCLUÍDO")+COUNTIF(P26,"CONCLUÍDO")+COUNTIF(R26,"CONCLUÍDO"))/4</f>
        <v>0</v>
      </c>
      <c r="U26" s="34"/>
    </row>
    <row r="27" customFormat="false" ht="15" hidden="false" customHeight="false" outlineLevel="0" collapsed="false">
      <c r="A27" s="25" t="n">
        <v>19</v>
      </c>
      <c r="B27" s="26" t="s">
        <v>222</v>
      </c>
      <c r="C27" s="27" t="s">
        <v>35</v>
      </c>
      <c r="D27" s="28" t="n">
        <v>5017.154</v>
      </c>
      <c r="E27" s="28" t="n">
        <v>3192.43</v>
      </c>
      <c r="F27" s="28" t="n">
        <v>719972.588</v>
      </c>
      <c r="G27" s="28" t="n">
        <v>7492146.82</v>
      </c>
      <c r="H27" s="29" t="str">
        <f aca="false">IF(AND(ABS(D27+Resumo!$C$6-F27)&lt;=0.01,ABS(E27+Resumo!$C$7-G27)&lt;=0.01),"OK","VERIFICAR")</f>
        <v>OK</v>
      </c>
      <c r="I27" s="29" t="s">
        <v>21</v>
      </c>
      <c r="J27" s="29" t="s">
        <v>37</v>
      </c>
      <c r="K27" s="30" t="n">
        <v>18</v>
      </c>
      <c r="L27" s="31" t="s">
        <v>72</v>
      </c>
      <c r="M27" s="32"/>
      <c r="N27" s="31" t="s">
        <v>72</v>
      </c>
      <c r="O27" s="32"/>
      <c r="P27" s="31" t="s">
        <v>72</v>
      </c>
      <c r="Q27" s="32"/>
      <c r="R27" s="31" t="s">
        <v>72</v>
      </c>
      <c r="S27" s="32"/>
      <c r="T27" s="33" t="n">
        <f aca="false">(COUNTIF(L27,"CONCLUÍDO")+COUNTIF(N27,"CONCLUÍDO")+COUNTIF(P27,"CONCLUÍDO")+COUNTIF(R27,"CONCLUÍDO"))/4</f>
        <v>0</v>
      </c>
      <c r="U27" s="34"/>
    </row>
    <row r="28" customFormat="false" ht="15" hidden="false" customHeight="false" outlineLevel="0" collapsed="false">
      <c r="A28" s="35" t="n">
        <v>20</v>
      </c>
      <c r="B28" s="36" t="s">
        <v>223</v>
      </c>
      <c r="C28" s="37" t="s">
        <v>35</v>
      </c>
      <c r="D28" s="38" t="n">
        <v>5018.654</v>
      </c>
      <c r="E28" s="38" t="n">
        <v>3192.43</v>
      </c>
      <c r="F28" s="38" t="n">
        <v>719974.088</v>
      </c>
      <c r="G28" s="38" t="n">
        <v>7492146.82</v>
      </c>
      <c r="H28" s="39" t="str">
        <f aca="false">IF(AND(ABS(D28+Resumo!$C$6-F28)&lt;=0.01,ABS(E28+Resumo!$C$7-G28)&lt;=0.01),"OK","VERIFICAR")</f>
        <v>OK</v>
      </c>
      <c r="I28" s="39" t="s">
        <v>21</v>
      </c>
      <c r="J28" s="39" t="s">
        <v>37</v>
      </c>
      <c r="K28" s="40" t="n">
        <v>18</v>
      </c>
      <c r="L28" s="31" t="s">
        <v>72</v>
      </c>
      <c r="M28" s="32"/>
      <c r="N28" s="31" t="s">
        <v>72</v>
      </c>
      <c r="O28" s="32"/>
      <c r="P28" s="31" t="s">
        <v>72</v>
      </c>
      <c r="Q28" s="32"/>
      <c r="R28" s="31" t="s">
        <v>72</v>
      </c>
      <c r="S28" s="32"/>
      <c r="T28" s="41" t="n">
        <f aca="false">(COUNTIF(L28,"CONCLUÍDO")+COUNTIF(N28,"CONCLUÍDO")+COUNTIF(P28,"CONCLUÍDO")+COUNTIF(R28,"CONCLUÍDO"))/4</f>
        <v>0</v>
      </c>
      <c r="U28" s="34"/>
    </row>
    <row r="29" customFormat="false" ht="15" hidden="false" customHeight="false" outlineLevel="0" collapsed="false">
      <c r="A29" s="25" t="n">
        <v>21</v>
      </c>
      <c r="B29" s="26" t="s">
        <v>224</v>
      </c>
      <c r="C29" s="27" t="s">
        <v>35</v>
      </c>
      <c r="D29" s="28" t="n">
        <v>5020.154</v>
      </c>
      <c r="E29" s="28" t="n">
        <v>3192.43</v>
      </c>
      <c r="F29" s="28" t="n">
        <v>719975.588</v>
      </c>
      <c r="G29" s="28" t="n">
        <v>7492146.82</v>
      </c>
      <c r="H29" s="29" t="str">
        <f aca="false">IF(AND(ABS(D29+Resumo!$C$6-F29)&lt;=0.01,ABS(E29+Resumo!$C$7-G29)&lt;=0.01),"OK","VERIFICAR")</f>
        <v>OK</v>
      </c>
      <c r="I29" s="29" t="s">
        <v>21</v>
      </c>
      <c r="J29" s="29" t="s">
        <v>37</v>
      </c>
      <c r="K29" s="30" t="n">
        <v>18</v>
      </c>
      <c r="L29" s="31" t="s">
        <v>72</v>
      </c>
      <c r="M29" s="32"/>
      <c r="N29" s="31" t="s">
        <v>72</v>
      </c>
      <c r="O29" s="32"/>
      <c r="P29" s="31" t="s">
        <v>72</v>
      </c>
      <c r="Q29" s="32"/>
      <c r="R29" s="31" t="s">
        <v>72</v>
      </c>
      <c r="S29" s="32"/>
      <c r="T29" s="33" t="n">
        <f aca="false">(COUNTIF(L29,"CONCLUÍDO")+COUNTIF(N29,"CONCLUÍDO")+COUNTIF(P29,"CONCLUÍDO")+COUNTIF(R29,"CONCLUÍDO"))/4</f>
        <v>0</v>
      </c>
      <c r="U29" s="34"/>
    </row>
    <row r="30" customFormat="false" ht="15" hidden="false" customHeight="false" outlineLevel="0" collapsed="false">
      <c r="A30" s="35" t="n">
        <v>22</v>
      </c>
      <c r="B30" s="36" t="s">
        <v>225</v>
      </c>
      <c r="C30" s="37" t="s">
        <v>35</v>
      </c>
      <c r="D30" s="38" t="n">
        <v>5021.654</v>
      </c>
      <c r="E30" s="38" t="n">
        <v>3192.43</v>
      </c>
      <c r="F30" s="38" t="n">
        <v>719977.088</v>
      </c>
      <c r="G30" s="38" t="n">
        <v>7492146.82</v>
      </c>
      <c r="H30" s="39" t="str">
        <f aca="false">IF(AND(ABS(D30+Resumo!$C$6-F30)&lt;=0.01,ABS(E30+Resumo!$C$7-G30)&lt;=0.01),"OK","VERIFICAR")</f>
        <v>OK</v>
      </c>
      <c r="I30" s="39" t="s">
        <v>21</v>
      </c>
      <c r="J30" s="39" t="s">
        <v>37</v>
      </c>
      <c r="K30" s="40" t="n">
        <v>18</v>
      </c>
      <c r="L30" s="31" t="s">
        <v>72</v>
      </c>
      <c r="M30" s="32"/>
      <c r="N30" s="31" t="s">
        <v>72</v>
      </c>
      <c r="O30" s="32"/>
      <c r="P30" s="31" t="s">
        <v>72</v>
      </c>
      <c r="Q30" s="32"/>
      <c r="R30" s="31" t="s">
        <v>72</v>
      </c>
      <c r="S30" s="32"/>
      <c r="T30" s="41" t="n">
        <f aca="false">(COUNTIF(L30,"CONCLUÍDO")+COUNTIF(N30,"CONCLUÍDO")+COUNTIF(P30,"CONCLUÍDO")+COUNTIF(R30,"CONCLUÍDO"))/4</f>
        <v>0</v>
      </c>
      <c r="U30" s="34"/>
    </row>
    <row r="31" customFormat="false" ht="15" hidden="false" customHeight="false" outlineLevel="0" collapsed="false">
      <c r="A31" s="25" t="n">
        <v>23</v>
      </c>
      <c r="B31" s="26" t="s">
        <v>226</v>
      </c>
      <c r="C31" s="27" t="s">
        <v>35</v>
      </c>
      <c r="D31" s="28" t="n">
        <v>5006.654</v>
      </c>
      <c r="E31" s="28" t="n">
        <v>3190.93</v>
      </c>
      <c r="F31" s="28" t="n">
        <v>719962.088</v>
      </c>
      <c r="G31" s="28" t="n">
        <v>7492145.32</v>
      </c>
      <c r="H31" s="29" t="str">
        <f aca="false">IF(AND(ABS(D31+Resumo!$C$6-F31)&lt;=0.01,ABS(E31+Resumo!$C$7-G31)&lt;=0.01),"OK","VERIFICAR")</f>
        <v>OK</v>
      </c>
      <c r="I31" s="29" t="s">
        <v>21</v>
      </c>
      <c r="J31" s="29" t="s">
        <v>37</v>
      </c>
      <c r="K31" s="30" t="n">
        <v>18</v>
      </c>
      <c r="L31" s="31" t="s">
        <v>72</v>
      </c>
      <c r="M31" s="32"/>
      <c r="N31" s="31" t="s">
        <v>72</v>
      </c>
      <c r="O31" s="32"/>
      <c r="P31" s="31" t="s">
        <v>72</v>
      </c>
      <c r="Q31" s="32"/>
      <c r="R31" s="31" t="s">
        <v>72</v>
      </c>
      <c r="S31" s="32"/>
      <c r="T31" s="33" t="n">
        <f aca="false">(COUNTIF(L31,"CONCLUÍDO")+COUNTIF(N31,"CONCLUÍDO")+COUNTIF(P31,"CONCLUÍDO")+COUNTIF(R31,"CONCLUÍDO"))/4</f>
        <v>0</v>
      </c>
      <c r="U31" s="34"/>
    </row>
    <row r="32" customFormat="false" ht="15" hidden="false" customHeight="false" outlineLevel="0" collapsed="false">
      <c r="A32" s="35" t="n">
        <v>24</v>
      </c>
      <c r="B32" s="36" t="s">
        <v>227</v>
      </c>
      <c r="C32" s="37" t="s">
        <v>35</v>
      </c>
      <c r="D32" s="38" t="n">
        <v>5008.154</v>
      </c>
      <c r="E32" s="38" t="n">
        <v>3190.93</v>
      </c>
      <c r="F32" s="38" t="n">
        <v>719963.588</v>
      </c>
      <c r="G32" s="38" t="n">
        <v>7492145.32</v>
      </c>
      <c r="H32" s="39" t="str">
        <f aca="false">IF(AND(ABS(D32+Resumo!$C$6-F32)&lt;=0.01,ABS(E32+Resumo!$C$7-G32)&lt;=0.01),"OK","VERIFICAR")</f>
        <v>OK</v>
      </c>
      <c r="I32" s="39" t="s">
        <v>21</v>
      </c>
      <c r="J32" s="39" t="s">
        <v>37</v>
      </c>
      <c r="K32" s="40" t="n">
        <v>18</v>
      </c>
      <c r="L32" s="31" t="s">
        <v>72</v>
      </c>
      <c r="M32" s="32"/>
      <c r="N32" s="31" t="s">
        <v>72</v>
      </c>
      <c r="O32" s="32"/>
      <c r="P32" s="31" t="s">
        <v>72</v>
      </c>
      <c r="Q32" s="32"/>
      <c r="R32" s="31" t="s">
        <v>72</v>
      </c>
      <c r="S32" s="32"/>
      <c r="T32" s="41" t="n">
        <f aca="false">(COUNTIF(L32,"CONCLUÍDO")+COUNTIF(N32,"CONCLUÍDO")+COUNTIF(P32,"CONCLUÍDO")+COUNTIF(R32,"CONCLUÍDO"))/4</f>
        <v>0</v>
      </c>
      <c r="U32" s="34"/>
    </row>
    <row r="33" customFormat="false" ht="15" hidden="false" customHeight="false" outlineLevel="0" collapsed="false">
      <c r="A33" s="25" t="n">
        <v>25</v>
      </c>
      <c r="B33" s="26" t="s">
        <v>228</v>
      </c>
      <c r="C33" s="27" t="s">
        <v>35</v>
      </c>
      <c r="D33" s="28" t="n">
        <v>5009.654</v>
      </c>
      <c r="E33" s="28" t="n">
        <v>3190.93</v>
      </c>
      <c r="F33" s="28" t="n">
        <v>719965.088</v>
      </c>
      <c r="G33" s="28" t="n">
        <v>7492145.32</v>
      </c>
      <c r="H33" s="29" t="str">
        <f aca="false">IF(AND(ABS(D33+Resumo!$C$6-F33)&lt;=0.01,ABS(E33+Resumo!$C$7-G33)&lt;=0.01),"OK","VERIFICAR")</f>
        <v>OK</v>
      </c>
      <c r="I33" s="29" t="s">
        <v>21</v>
      </c>
      <c r="J33" s="29" t="s">
        <v>37</v>
      </c>
      <c r="K33" s="30" t="n">
        <v>18</v>
      </c>
      <c r="L33" s="31" t="s">
        <v>72</v>
      </c>
      <c r="M33" s="32"/>
      <c r="N33" s="31" t="s">
        <v>72</v>
      </c>
      <c r="O33" s="32"/>
      <c r="P33" s="31" t="s">
        <v>72</v>
      </c>
      <c r="Q33" s="32"/>
      <c r="R33" s="31" t="s">
        <v>72</v>
      </c>
      <c r="S33" s="32"/>
      <c r="T33" s="33" t="n">
        <f aca="false">(COUNTIF(L33,"CONCLUÍDO")+COUNTIF(N33,"CONCLUÍDO")+COUNTIF(P33,"CONCLUÍDO")+COUNTIF(R33,"CONCLUÍDO"))/4</f>
        <v>0</v>
      </c>
      <c r="U33" s="34"/>
    </row>
    <row r="34" customFormat="false" ht="15" hidden="false" customHeight="false" outlineLevel="0" collapsed="false">
      <c r="A34" s="35" t="n">
        <v>26</v>
      </c>
      <c r="B34" s="36" t="s">
        <v>229</v>
      </c>
      <c r="C34" s="37" t="s">
        <v>35</v>
      </c>
      <c r="D34" s="38" t="n">
        <v>5011.154</v>
      </c>
      <c r="E34" s="38" t="n">
        <v>3190.93</v>
      </c>
      <c r="F34" s="38" t="n">
        <v>719966.588</v>
      </c>
      <c r="G34" s="38" t="n">
        <v>7492145.32</v>
      </c>
      <c r="H34" s="39" t="str">
        <f aca="false">IF(AND(ABS(D34+Resumo!$C$6-F34)&lt;=0.01,ABS(E34+Resumo!$C$7-G34)&lt;=0.01),"OK","VERIFICAR")</f>
        <v>OK</v>
      </c>
      <c r="I34" s="39" t="s">
        <v>21</v>
      </c>
      <c r="J34" s="39" t="s">
        <v>37</v>
      </c>
      <c r="K34" s="40" t="n">
        <v>18</v>
      </c>
      <c r="L34" s="31" t="s">
        <v>72</v>
      </c>
      <c r="M34" s="32"/>
      <c r="N34" s="31" t="s">
        <v>72</v>
      </c>
      <c r="O34" s="32"/>
      <c r="P34" s="31" t="s">
        <v>72</v>
      </c>
      <c r="Q34" s="32"/>
      <c r="R34" s="31" t="s">
        <v>72</v>
      </c>
      <c r="S34" s="32"/>
      <c r="T34" s="41" t="n">
        <f aca="false">(COUNTIF(L34,"CONCLUÍDO")+COUNTIF(N34,"CONCLUÍDO")+COUNTIF(P34,"CONCLUÍDO")+COUNTIF(R34,"CONCLUÍDO"))/4</f>
        <v>0</v>
      </c>
      <c r="U34" s="34"/>
    </row>
    <row r="35" customFormat="false" ht="15" hidden="false" customHeight="false" outlineLevel="0" collapsed="false">
      <c r="A35" s="25" t="n">
        <v>27</v>
      </c>
      <c r="B35" s="26" t="s">
        <v>230</v>
      </c>
      <c r="C35" s="27" t="s">
        <v>35</v>
      </c>
      <c r="D35" s="28" t="n">
        <v>5012.654</v>
      </c>
      <c r="E35" s="28" t="n">
        <v>3190.93</v>
      </c>
      <c r="F35" s="28" t="n">
        <v>719968.088</v>
      </c>
      <c r="G35" s="28" t="n">
        <v>7492145.32</v>
      </c>
      <c r="H35" s="29" t="str">
        <f aca="false">IF(AND(ABS(D35+Resumo!$C$6-F35)&lt;=0.01,ABS(E35+Resumo!$C$7-G35)&lt;=0.01),"OK","VERIFICAR")</f>
        <v>OK</v>
      </c>
      <c r="I35" s="29" t="s">
        <v>21</v>
      </c>
      <c r="J35" s="29" t="s">
        <v>37</v>
      </c>
      <c r="K35" s="30" t="n">
        <v>18</v>
      </c>
      <c r="L35" s="31" t="s">
        <v>72</v>
      </c>
      <c r="M35" s="32"/>
      <c r="N35" s="31" t="s">
        <v>72</v>
      </c>
      <c r="O35" s="32"/>
      <c r="P35" s="31" t="s">
        <v>72</v>
      </c>
      <c r="Q35" s="32"/>
      <c r="R35" s="31" t="s">
        <v>72</v>
      </c>
      <c r="S35" s="32"/>
      <c r="T35" s="33" t="n">
        <f aca="false">(COUNTIF(L35,"CONCLUÍDO")+COUNTIF(N35,"CONCLUÍDO")+COUNTIF(P35,"CONCLUÍDO")+COUNTIF(R35,"CONCLUÍDO"))/4</f>
        <v>0</v>
      </c>
      <c r="U35" s="34"/>
    </row>
    <row r="36" customFormat="false" ht="15" hidden="false" customHeight="false" outlineLevel="0" collapsed="false">
      <c r="A36" s="35" t="n">
        <v>28</v>
      </c>
      <c r="B36" s="36" t="s">
        <v>231</v>
      </c>
      <c r="C36" s="37" t="s">
        <v>35</v>
      </c>
      <c r="D36" s="38" t="n">
        <v>5014.154</v>
      </c>
      <c r="E36" s="38" t="n">
        <v>3190.93</v>
      </c>
      <c r="F36" s="38" t="n">
        <v>719969.588</v>
      </c>
      <c r="G36" s="38" t="n">
        <v>7492145.32</v>
      </c>
      <c r="H36" s="39" t="str">
        <f aca="false">IF(AND(ABS(D36+Resumo!$C$6-F36)&lt;=0.01,ABS(E36+Resumo!$C$7-G36)&lt;=0.01),"OK","VERIFICAR")</f>
        <v>OK</v>
      </c>
      <c r="I36" s="39" t="s">
        <v>21</v>
      </c>
      <c r="J36" s="39" t="s">
        <v>37</v>
      </c>
      <c r="K36" s="40" t="n">
        <v>18</v>
      </c>
      <c r="L36" s="31" t="s">
        <v>72</v>
      </c>
      <c r="M36" s="32"/>
      <c r="N36" s="31" t="s">
        <v>72</v>
      </c>
      <c r="O36" s="32"/>
      <c r="P36" s="31" t="s">
        <v>72</v>
      </c>
      <c r="Q36" s="32"/>
      <c r="R36" s="31" t="s">
        <v>72</v>
      </c>
      <c r="S36" s="32"/>
      <c r="T36" s="41" t="n">
        <f aca="false">(COUNTIF(L36,"CONCLUÍDO")+COUNTIF(N36,"CONCLUÍDO")+COUNTIF(P36,"CONCLUÍDO")+COUNTIF(R36,"CONCLUÍDO"))/4</f>
        <v>0</v>
      </c>
      <c r="U36" s="34"/>
    </row>
    <row r="37" customFormat="false" ht="15" hidden="false" customHeight="false" outlineLevel="0" collapsed="false">
      <c r="A37" s="25" t="n">
        <v>29</v>
      </c>
      <c r="B37" s="26" t="s">
        <v>232</v>
      </c>
      <c r="C37" s="27" t="s">
        <v>35</v>
      </c>
      <c r="D37" s="28" t="n">
        <v>5015.654</v>
      </c>
      <c r="E37" s="28" t="n">
        <v>3190.93</v>
      </c>
      <c r="F37" s="28" t="n">
        <v>719971.088</v>
      </c>
      <c r="G37" s="28" t="n">
        <v>7492145.32</v>
      </c>
      <c r="H37" s="29" t="str">
        <f aca="false">IF(AND(ABS(D37+Resumo!$C$6-F37)&lt;=0.01,ABS(E37+Resumo!$C$7-G37)&lt;=0.01),"OK","VERIFICAR")</f>
        <v>OK</v>
      </c>
      <c r="I37" s="29" t="s">
        <v>21</v>
      </c>
      <c r="J37" s="29" t="s">
        <v>37</v>
      </c>
      <c r="K37" s="30" t="n">
        <v>18</v>
      </c>
      <c r="L37" s="31" t="s">
        <v>72</v>
      </c>
      <c r="M37" s="32"/>
      <c r="N37" s="31" t="s">
        <v>72</v>
      </c>
      <c r="O37" s="32"/>
      <c r="P37" s="31" t="s">
        <v>72</v>
      </c>
      <c r="Q37" s="32"/>
      <c r="R37" s="31" t="s">
        <v>72</v>
      </c>
      <c r="S37" s="32"/>
      <c r="T37" s="33" t="n">
        <f aca="false">(COUNTIF(L37,"CONCLUÍDO")+COUNTIF(N37,"CONCLUÍDO")+COUNTIF(P37,"CONCLUÍDO")+COUNTIF(R37,"CONCLUÍDO"))/4</f>
        <v>0</v>
      </c>
      <c r="U37" s="34"/>
    </row>
    <row r="38" customFormat="false" ht="15" hidden="false" customHeight="false" outlineLevel="0" collapsed="false">
      <c r="A38" s="35" t="n">
        <v>30</v>
      </c>
      <c r="B38" s="36" t="s">
        <v>233</v>
      </c>
      <c r="C38" s="37" t="s">
        <v>35</v>
      </c>
      <c r="D38" s="38" t="n">
        <v>5017.154</v>
      </c>
      <c r="E38" s="38" t="n">
        <v>3190.93</v>
      </c>
      <c r="F38" s="38" t="n">
        <v>719972.588</v>
      </c>
      <c r="G38" s="38" t="n">
        <v>7492145.32</v>
      </c>
      <c r="H38" s="39" t="str">
        <f aca="false">IF(AND(ABS(D38+Resumo!$C$6-F38)&lt;=0.01,ABS(E38+Resumo!$C$7-G38)&lt;=0.01),"OK","VERIFICAR")</f>
        <v>OK</v>
      </c>
      <c r="I38" s="39" t="s">
        <v>21</v>
      </c>
      <c r="J38" s="39" t="s">
        <v>37</v>
      </c>
      <c r="K38" s="40" t="n">
        <v>18</v>
      </c>
      <c r="L38" s="31" t="s">
        <v>72</v>
      </c>
      <c r="M38" s="32"/>
      <c r="N38" s="31" t="s">
        <v>72</v>
      </c>
      <c r="O38" s="32"/>
      <c r="P38" s="31" t="s">
        <v>72</v>
      </c>
      <c r="Q38" s="32"/>
      <c r="R38" s="31" t="s">
        <v>72</v>
      </c>
      <c r="S38" s="32"/>
      <c r="T38" s="41" t="n">
        <f aca="false">(COUNTIF(L38,"CONCLUÍDO")+COUNTIF(N38,"CONCLUÍDO")+COUNTIF(P38,"CONCLUÍDO")+COUNTIF(R38,"CONCLUÍDO"))/4</f>
        <v>0</v>
      </c>
      <c r="U38" s="34"/>
    </row>
    <row r="39" customFormat="false" ht="15" hidden="false" customHeight="false" outlineLevel="0" collapsed="false">
      <c r="A39" s="25" t="n">
        <v>31</v>
      </c>
      <c r="B39" s="26" t="s">
        <v>234</v>
      </c>
      <c r="C39" s="27" t="s">
        <v>35</v>
      </c>
      <c r="D39" s="28" t="n">
        <v>5018.654</v>
      </c>
      <c r="E39" s="28" t="n">
        <v>3190.93</v>
      </c>
      <c r="F39" s="28" t="n">
        <v>719974.088</v>
      </c>
      <c r="G39" s="28" t="n">
        <v>7492145.32</v>
      </c>
      <c r="H39" s="29" t="str">
        <f aca="false">IF(AND(ABS(D39+Resumo!$C$6-F39)&lt;=0.01,ABS(E39+Resumo!$C$7-G39)&lt;=0.01),"OK","VERIFICAR")</f>
        <v>OK</v>
      </c>
      <c r="I39" s="29" t="s">
        <v>21</v>
      </c>
      <c r="J39" s="29" t="s">
        <v>37</v>
      </c>
      <c r="K39" s="30" t="n">
        <v>18</v>
      </c>
      <c r="L39" s="31" t="s">
        <v>72</v>
      </c>
      <c r="M39" s="32"/>
      <c r="N39" s="31" t="s">
        <v>72</v>
      </c>
      <c r="O39" s="32"/>
      <c r="P39" s="31" t="s">
        <v>72</v>
      </c>
      <c r="Q39" s="32"/>
      <c r="R39" s="31" t="s">
        <v>72</v>
      </c>
      <c r="S39" s="32"/>
      <c r="T39" s="33" t="n">
        <f aca="false">(COUNTIF(L39,"CONCLUÍDO")+COUNTIF(N39,"CONCLUÍDO")+COUNTIF(P39,"CONCLUÍDO")+COUNTIF(R39,"CONCLUÍDO"))/4</f>
        <v>0</v>
      </c>
      <c r="U39" s="34"/>
    </row>
    <row r="40" customFormat="false" ht="15" hidden="false" customHeight="false" outlineLevel="0" collapsed="false">
      <c r="A40" s="35" t="n">
        <v>32</v>
      </c>
      <c r="B40" s="36" t="s">
        <v>235</v>
      </c>
      <c r="C40" s="37" t="s">
        <v>35</v>
      </c>
      <c r="D40" s="38" t="n">
        <v>5020.154</v>
      </c>
      <c r="E40" s="38" t="n">
        <v>3190.93</v>
      </c>
      <c r="F40" s="38" t="n">
        <v>719975.588</v>
      </c>
      <c r="G40" s="38" t="n">
        <v>7492145.32</v>
      </c>
      <c r="H40" s="39" t="str">
        <f aca="false">IF(AND(ABS(D40+Resumo!$C$6-F40)&lt;=0.01,ABS(E40+Resumo!$C$7-G40)&lt;=0.01),"OK","VERIFICAR")</f>
        <v>OK</v>
      </c>
      <c r="I40" s="39" t="s">
        <v>21</v>
      </c>
      <c r="J40" s="39" t="s">
        <v>37</v>
      </c>
      <c r="K40" s="40" t="n">
        <v>18</v>
      </c>
      <c r="L40" s="31" t="s">
        <v>72</v>
      </c>
      <c r="M40" s="32"/>
      <c r="N40" s="31" t="s">
        <v>72</v>
      </c>
      <c r="O40" s="32"/>
      <c r="P40" s="31" t="s">
        <v>72</v>
      </c>
      <c r="Q40" s="32"/>
      <c r="R40" s="31" t="s">
        <v>72</v>
      </c>
      <c r="S40" s="32"/>
      <c r="T40" s="41" t="n">
        <f aca="false">(COUNTIF(L40,"CONCLUÍDO")+COUNTIF(N40,"CONCLUÍDO")+COUNTIF(P40,"CONCLUÍDO")+COUNTIF(R40,"CONCLUÍDO"))/4</f>
        <v>0</v>
      </c>
      <c r="U40" s="34"/>
    </row>
    <row r="41" customFormat="false" ht="15" hidden="false" customHeight="false" outlineLevel="0" collapsed="false">
      <c r="A41" s="25" t="n">
        <v>33</v>
      </c>
      <c r="B41" s="26" t="s">
        <v>236</v>
      </c>
      <c r="C41" s="27" t="s">
        <v>35</v>
      </c>
      <c r="D41" s="28" t="n">
        <v>5021.654</v>
      </c>
      <c r="E41" s="28" t="n">
        <v>3190.93</v>
      </c>
      <c r="F41" s="28" t="n">
        <v>719977.088</v>
      </c>
      <c r="G41" s="28" t="n">
        <v>7492145.32</v>
      </c>
      <c r="H41" s="29" t="str">
        <f aca="false">IF(AND(ABS(D41+Resumo!$C$6-F41)&lt;=0.01,ABS(E41+Resumo!$C$7-G41)&lt;=0.01),"OK","VERIFICAR")</f>
        <v>OK</v>
      </c>
      <c r="I41" s="29" t="s">
        <v>21</v>
      </c>
      <c r="J41" s="29" t="s">
        <v>37</v>
      </c>
      <c r="K41" s="30" t="n">
        <v>18</v>
      </c>
      <c r="L41" s="31" t="s">
        <v>72</v>
      </c>
      <c r="M41" s="32"/>
      <c r="N41" s="31" t="s">
        <v>72</v>
      </c>
      <c r="O41" s="32"/>
      <c r="P41" s="31" t="s">
        <v>72</v>
      </c>
      <c r="Q41" s="32"/>
      <c r="R41" s="31" t="s">
        <v>72</v>
      </c>
      <c r="S41" s="32"/>
      <c r="T41" s="33" t="n">
        <f aca="false">(COUNTIF(L41,"CONCLUÍDO")+COUNTIF(N41,"CONCLUÍDO")+COUNTIF(P41,"CONCLUÍDO")+COUNTIF(R41,"CONCLUÍDO"))/4</f>
        <v>0</v>
      </c>
      <c r="U41" s="34"/>
    </row>
    <row r="42" customFormat="false" ht="15" hidden="false" customHeight="false" outlineLevel="0" collapsed="false">
      <c r="A42" s="35" t="n">
        <v>34</v>
      </c>
      <c r="B42" s="36" t="s">
        <v>237</v>
      </c>
      <c r="C42" s="37" t="s">
        <v>35</v>
      </c>
      <c r="D42" s="38" t="n">
        <v>5006.654</v>
      </c>
      <c r="E42" s="38" t="n">
        <v>3189.43</v>
      </c>
      <c r="F42" s="38" t="n">
        <v>719962.088</v>
      </c>
      <c r="G42" s="38" t="n">
        <v>7492143.82</v>
      </c>
      <c r="H42" s="39" t="str">
        <f aca="false">IF(AND(ABS(D42+Resumo!$C$6-F42)&lt;=0.01,ABS(E42+Resumo!$C$7-G42)&lt;=0.01),"OK","VERIFICAR")</f>
        <v>OK</v>
      </c>
      <c r="I42" s="39" t="s">
        <v>21</v>
      </c>
      <c r="J42" s="39" t="s">
        <v>37</v>
      </c>
      <c r="K42" s="40" t="n">
        <v>18</v>
      </c>
      <c r="L42" s="31" t="s">
        <v>72</v>
      </c>
      <c r="M42" s="32"/>
      <c r="N42" s="31" t="s">
        <v>72</v>
      </c>
      <c r="O42" s="32"/>
      <c r="P42" s="31" t="s">
        <v>72</v>
      </c>
      <c r="Q42" s="32"/>
      <c r="R42" s="31" t="s">
        <v>72</v>
      </c>
      <c r="S42" s="32"/>
      <c r="T42" s="41" t="n">
        <f aca="false">(COUNTIF(L42,"CONCLUÍDO")+COUNTIF(N42,"CONCLUÍDO")+COUNTIF(P42,"CONCLUÍDO")+COUNTIF(R42,"CONCLUÍDO"))/4</f>
        <v>0</v>
      </c>
      <c r="U42" s="34"/>
    </row>
    <row r="43" customFormat="false" ht="15" hidden="false" customHeight="false" outlineLevel="0" collapsed="false">
      <c r="A43" s="25" t="n">
        <v>35</v>
      </c>
      <c r="B43" s="26" t="s">
        <v>238</v>
      </c>
      <c r="C43" s="27" t="s">
        <v>35</v>
      </c>
      <c r="D43" s="28" t="n">
        <v>5008.154</v>
      </c>
      <c r="E43" s="28" t="n">
        <v>3189.43</v>
      </c>
      <c r="F43" s="28" t="n">
        <v>719963.588</v>
      </c>
      <c r="G43" s="28" t="n">
        <v>7492143.82</v>
      </c>
      <c r="H43" s="29" t="str">
        <f aca="false">IF(AND(ABS(D43+Resumo!$C$6-F43)&lt;=0.01,ABS(E43+Resumo!$C$7-G43)&lt;=0.01),"OK","VERIFICAR")</f>
        <v>OK</v>
      </c>
      <c r="I43" s="29" t="s">
        <v>21</v>
      </c>
      <c r="J43" s="29" t="s">
        <v>37</v>
      </c>
      <c r="K43" s="30" t="n">
        <v>18</v>
      </c>
      <c r="L43" s="31" t="s">
        <v>72</v>
      </c>
      <c r="M43" s="32"/>
      <c r="N43" s="31" t="s">
        <v>72</v>
      </c>
      <c r="O43" s="32"/>
      <c r="P43" s="31" t="s">
        <v>72</v>
      </c>
      <c r="Q43" s="32"/>
      <c r="R43" s="31" t="s">
        <v>72</v>
      </c>
      <c r="S43" s="32"/>
      <c r="T43" s="33" t="n">
        <f aca="false">(COUNTIF(L43,"CONCLUÍDO")+COUNTIF(N43,"CONCLUÍDO")+COUNTIF(P43,"CONCLUÍDO")+COUNTIF(R43,"CONCLUÍDO"))/4</f>
        <v>0</v>
      </c>
      <c r="U43" s="34"/>
    </row>
    <row r="44" customFormat="false" ht="15" hidden="false" customHeight="false" outlineLevel="0" collapsed="false">
      <c r="A44" s="35" t="n">
        <v>36</v>
      </c>
      <c r="B44" s="36" t="s">
        <v>239</v>
      </c>
      <c r="C44" s="37" t="s">
        <v>35</v>
      </c>
      <c r="D44" s="38" t="n">
        <v>5009.654</v>
      </c>
      <c r="E44" s="38" t="n">
        <v>3189.43</v>
      </c>
      <c r="F44" s="38" t="n">
        <v>719965.088</v>
      </c>
      <c r="G44" s="38" t="n">
        <v>7492143.82</v>
      </c>
      <c r="H44" s="39" t="str">
        <f aca="false">IF(AND(ABS(D44+Resumo!$C$6-F44)&lt;=0.01,ABS(E44+Resumo!$C$7-G44)&lt;=0.01),"OK","VERIFICAR")</f>
        <v>OK</v>
      </c>
      <c r="I44" s="39" t="s">
        <v>21</v>
      </c>
      <c r="J44" s="39" t="s">
        <v>37</v>
      </c>
      <c r="K44" s="40" t="n">
        <v>18</v>
      </c>
      <c r="L44" s="31" t="s">
        <v>72</v>
      </c>
      <c r="M44" s="32"/>
      <c r="N44" s="31" t="s">
        <v>72</v>
      </c>
      <c r="O44" s="32"/>
      <c r="P44" s="31" t="s">
        <v>72</v>
      </c>
      <c r="Q44" s="32"/>
      <c r="R44" s="31" t="s">
        <v>72</v>
      </c>
      <c r="S44" s="32"/>
      <c r="T44" s="41" t="n">
        <f aca="false">(COUNTIF(L44,"CONCLUÍDO")+COUNTIF(N44,"CONCLUÍDO")+COUNTIF(P44,"CONCLUÍDO")+COUNTIF(R44,"CONCLUÍDO"))/4</f>
        <v>0</v>
      </c>
      <c r="U44" s="34"/>
    </row>
    <row r="45" customFormat="false" ht="15" hidden="false" customHeight="false" outlineLevel="0" collapsed="false">
      <c r="A45" s="25" t="n">
        <v>37</v>
      </c>
      <c r="B45" s="26" t="s">
        <v>240</v>
      </c>
      <c r="C45" s="27" t="s">
        <v>35</v>
      </c>
      <c r="D45" s="28" t="n">
        <v>5018.654</v>
      </c>
      <c r="E45" s="28" t="n">
        <v>3189.43</v>
      </c>
      <c r="F45" s="28" t="n">
        <v>719974.088</v>
      </c>
      <c r="G45" s="28" t="n">
        <v>7492143.82</v>
      </c>
      <c r="H45" s="29" t="str">
        <f aca="false">IF(AND(ABS(D45+Resumo!$C$6-F45)&lt;=0.01,ABS(E45+Resumo!$C$7-G45)&lt;=0.01),"OK","VERIFICAR")</f>
        <v>OK</v>
      </c>
      <c r="I45" s="29" t="s">
        <v>21</v>
      </c>
      <c r="J45" s="29" t="s">
        <v>37</v>
      </c>
      <c r="K45" s="30" t="n">
        <v>18</v>
      </c>
      <c r="L45" s="31" t="s">
        <v>72</v>
      </c>
      <c r="M45" s="32"/>
      <c r="N45" s="31" t="s">
        <v>72</v>
      </c>
      <c r="O45" s="32"/>
      <c r="P45" s="31" t="s">
        <v>72</v>
      </c>
      <c r="Q45" s="32"/>
      <c r="R45" s="31" t="s">
        <v>72</v>
      </c>
      <c r="S45" s="32"/>
      <c r="T45" s="33" t="n">
        <f aca="false">(COUNTIF(L45,"CONCLUÍDO")+COUNTIF(N45,"CONCLUÍDO")+COUNTIF(P45,"CONCLUÍDO")+COUNTIF(R45,"CONCLUÍDO"))/4</f>
        <v>0</v>
      </c>
      <c r="U45" s="34"/>
    </row>
    <row r="46" customFormat="false" ht="15" hidden="false" customHeight="false" outlineLevel="0" collapsed="false">
      <c r="A46" s="35" t="n">
        <v>38</v>
      </c>
      <c r="B46" s="36" t="s">
        <v>241</v>
      </c>
      <c r="C46" s="37" t="s">
        <v>35</v>
      </c>
      <c r="D46" s="38" t="n">
        <v>5020.154</v>
      </c>
      <c r="E46" s="38" t="n">
        <v>3189.43</v>
      </c>
      <c r="F46" s="38" t="n">
        <v>719975.588</v>
      </c>
      <c r="G46" s="38" t="n">
        <v>7492143.82</v>
      </c>
      <c r="H46" s="39" t="str">
        <f aca="false">IF(AND(ABS(D46+Resumo!$C$6-F46)&lt;=0.01,ABS(E46+Resumo!$C$7-G46)&lt;=0.01),"OK","VERIFICAR")</f>
        <v>OK</v>
      </c>
      <c r="I46" s="39" t="s">
        <v>21</v>
      </c>
      <c r="J46" s="39" t="s">
        <v>37</v>
      </c>
      <c r="K46" s="40" t="n">
        <v>18</v>
      </c>
      <c r="L46" s="31" t="s">
        <v>72</v>
      </c>
      <c r="M46" s="32"/>
      <c r="N46" s="31" t="s">
        <v>72</v>
      </c>
      <c r="O46" s="32"/>
      <c r="P46" s="31" t="s">
        <v>72</v>
      </c>
      <c r="Q46" s="32"/>
      <c r="R46" s="31" t="s">
        <v>72</v>
      </c>
      <c r="S46" s="32"/>
      <c r="T46" s="41" t="n">
        <f aca="false">(COUNTIF(L46,"CONCLUÍDO")+COUNTIF(N46,"CONCLUÍDO")+COUNTIF(P46,"CONCLUÍDO")+COUNTIF(R46,"CONCLUÍDO"))/4</f>
        <v>0</v>
      </c>
      <c r="U46" s="34"/>
    </row>
    <row r="47" customFormat="false" ht="15" hidden="false" customHeight="false" outlineLevel="0" collapsed="false">
      <c r="A47" s="25" t="n">
        <v>39</v>
      </c>
      <c r="B47" s="26" t="s">
        <v>242</v>
      </c>
      <c r="C47" s="27" t="s">
        <v>35</v>
      </c>
      <c r="D47" s="28" t="n">
        <v>5021.654</v>
      </c>
      <c r="E47" s="28" t="n">
        <v>3189.43</v>
      </c>
      <c r="F47" s="28" t="n">
        <v>719977.088</v>
      </c>
      <c r="G47" s="28" t="n">
        <v>7492143.82</v>
      </c>
      <c r="H47" s="29" t="str">
        <f aca="false">IF(AND(ABS(D47+Resumo!$C$6-F47)&lt;=0.01,ABS(E47+Resumo!$C$7-G47)&lt;=0.01),"OK","VERIFICAR")</f>
        <v>OK</v>
      </c>
      <c r="I47" s="29" t="s">
        <v>21</v>
      </c>
      <c r="J47" s="29" t="s">
        <v>37</v>
      </c>
      <c r="K47" s="30" t="n">
        <v>18</v>
      </c>
      <c r="L47" s="31" t="s">
        <v>72</v>
      </c>
      <c r="M47" s="32"/>
      <c r="N47" s="31" t="s">
        <v>72</v>
      </c>
      <c r="O47" s="32"/>
      <c r="P47" s="31" t="s">
        <v>72</v>
      </c>
      <c r="Q47" s="32"/>
      <c r="R47" s="31" t="s">
        <v>72</v>
      </c>
      <c r="S47" s="32"/>
      <c r="T47" s="33" t="n">
        <f aca="false">(COUNTIF(L47,"CONCLUÍDO")+COUNTIF(N47,"CONCLUÍDO")+COUNTIF(P47,"CONCLUÍDO")+COUNTIF(R47,"CONCLUÍDO"))/4</f>
        <v>0</v>
      </c>
      <c r="U47" s="34"/>
    </row>
    <row r="48" customFormat="false" ht="15" hidden="false" customHeight="false" outlineLevel="0" collapsed="false">
      <c r="A48" s="35" t="n">
        <v>40</v>
      </c>
      <c r="B48" s="36" t="s">
        <v>243</v>
      </c>
      <c r="C48" s="37" t="s">
        <v>35</v>
      </c>
      <c r="D48" s="38" t="n">
        <v>5006.654</v>
      </c>
      <c r="E48" s="38" t="n">
        <v>3187.93</v>
      </c>
      <c r="F48" s="38" t="n">
        <v>719962.088</v>
      </c>
      <c r="G48" s="38" t="n">
        <v>7492142.32</v>
      </c>
      <c r="H48" s="39" t="str">
        <f aca="false">IF(AND(ABS(D48+Resumo!$C$6-F48)&lt;=0.01,ABS(E48+Resumo!$C$7-G48)&lt;=0.01),"OK","VERIFICAR")</f>
        <v>OK</v>
      </c>
      <c r="I48" s="39" t="s">
        <v>21</v>
      </c>
      <c r="J48" s="39" t="s">
        <v>37</v>
      </c>
      <c r="K48" s="40" t="n">
        <v>18</v>
      </c>
      <c r="L48" s="31" t="s">
        <v>72</v>
      </c>
      <c r="M48" s="32"/>
      <c r="N48" s="31" t="s">
        <v>72</v>
      </c>
      <c r="O48" s="32"/>
      <c r="P48" s="31" t="s">
        <v>72</v>
      </c>
      <c r="Q48" s="32"/>
      <c r="R48" s="31" t="s">
        <v>72</v>
      </c>
      <c r="S48" s="32"/>
      <c r="T48" s="41" t="n">
        <f aca="false">(COUNTIF(L48,"CONCLUÍDO")+COUNTIF(N48,"CONCLUÍDO")+COUNTIF(P48,"CONCLUÍDO")+COUNTIF(R48,"CONCLUÍDO"))/4</f>
        <v>0</v>
      </c>
      <c r="U48" s="34"/>
    </row>
    <row r="49" customFormat="false" ht="15" hidden="false" customHeight="false" outlineLevel="0" collapsed="false">
      <c r="A49" s="25" t="n">
        <v>41</v>
      </c>
      <c r="B49" s="26" t="s">
        <v>244</v>
      </c>
      <c r="C49" s="27" t="s">
        <v>35</v>
      </c>
      <c r="D49" s="28" t="n">
        <v>5008.154</v>
      </c>
      <c r="E49" s="28" t="n">
        <v>3187.93</v>
      </c>
      <c r="F49" s="28" t="n">
        <v>719963.588</v>
      </c>
      <c r="G49" s="28" t="n">
        <v>7492142.32</v>
      </c>
      <c r="H49" s="29" t="str">
        <f aca="false">IF(AND(ABS(D49+Resumo!$C$6-F49)&lt;=0.01,ABS(E49+Resumo!$C$7-G49)&lt;=0.01),"OK","VERIFICAR")</f>
        <v>OK</v>
      </c>
      <c r="I49" s="29" t="s">
        <v>21</v>
      </c>
      <c r="J49" s="29" t="s">
        <v>37</v>
      </c>
      <c r="K49" s="30" t="n">
        <v>18</v>
      </c>
      <c r="L49" s="31" t="s">
        <v>72</v>
      </c>
      <c r="M49" s="32"/>
      <c r="N49" s="31" t="s">
        <v>72</v>
      </c>
      <c r="O49" s="32"/>
      <c r="P49" s="31" t="s">
        <v>72</v>
      </c>
      <c r="Q49" s="32"/>
      <c r="R49" s="31" t="s">
        <v>72</v>
      </c>
      <c r="S49" s="32"/>
      <c r="T49" s="33" t="n">
        <f aca="false">(COUNTIF(L49,"CONCLUÍDO")+COUNTIF(N49,"CONCLUÍDO")+COUNTIF(P49,"CONCLUÍDO")+COUNTIF(R49,"CONCLUÍDO"))/4</f>
        <v>0</v>
      </c>
      <c r="U49" s="34"/>
    </row>
    <row r="50" customFormat="false" ht="15" hidden="false" customHeight="false" outlineLevel="0" collapsed="false">
      <c r="A50" s="35" t="n">
        <v>42</v>
      </c>
      <c r="B50" s="36" t="s">
        <v>245</v>
      </c>
      <c r="C50" s="37" t="s">
        <v>35</v>
      </c>
      <c r="D50" s="38" t="n">
        <v>5009.654</v>
      </c>
      <c r="E50" s="38" t="n">
        <v>3187.93</v>
      </c>
      <c r="F50" s="38" t="n">
        <v>719965.088</v>
      </c>
      <c r="G50" s="38" t="n">
        <v>7492142.32</v>
      </c>
      <c r="H50" s="39" t="str">
        <f aca="false">IF(AND(ABS(D50+Resumo!$C$6-F50)&lt;=0.01,ABS(E50+Resumo!$C$7-G50)&lt;=0.01),"OK","VERIFICAR")</f>
        <v>OK</v>
      </c>
      <c r="I50" s="39" t="s">
        <v>21</v>
      </c>
      <c r="J50" s="39" t="s">
        <v>37</v>
      </c>
      <c r="K50" s="40" t="n">
        <v>18</v>
      </c>
      <c r="L50" s="31" t="s">
        <v>72</v>
      </c>
      <c r="M50" s="32"/>
      <c r="N50" s="31" t="s">
        <v>72</v>
      </c>
      <c r="O50" s="32"/>
      <c r="P50" s="31" t="s">
        <v>72</v>
      </c>
      <c r="Q50" s="32"/>
      <c r="R50" s="31" t="s">
        <v>72</v>
      </c>
      <c r="S50" s="32"/>
      <c r="T50" s="41" t="n">
        <f aca="false">(COUNTIF(L50,"CONCLUÍDO")+COUNTIF(N50,"CONCLUÍDO")+COUNTIF(P50,"CONCLUÍDO")+COUNTIF(R50,"CONCLUÍDO"))/4</f>
        <v>0</v>
      </c>
      <c r="U50" s="34"/>
    </row>
    <row r="51" customFormat="false" ht="15" hidden="false" customHeight="false" outlineLevel="0" collapsed="false">
      <c r="A51" s="25" t="n">
        <v>43</v>
      </c>
      <c r="B51" s="26" t="s">
        <v>246</v>
      </c>
      <c r="C51" s="27" t="s">
        <v>35</v>
      </c>
      <c r="D51" s="28" t="n">
        <v>5018.654</v>
      </c>
      <c r="E51" s="28" t="n">
        <v>3187.93</v>
      </c>
      <c r="F51" s="28" t="n">
        <v>719974.088</v>
      </c>
      <c r="G51" s="28" t="n">
        <v>7492142.32</v>
      </c>
      <c r="H51" s="29" t="str">
        <f aca="false">IF(AND(ABS(D51+Resumo!$C$6-F51)&lt;=0.01,ABS(E51+Resumo!$C$7-G51)&lt;=0.01),"OK","VERIFICAR")</f>
        <v>OK</v>
      </c>
      <c r="I51" s="29" t="s">
        <v>21</v>
      </c>
      <c r="J51" s="29" t="s">
        <v>37</v>
      </c>
      <c r="K51" s="30" t="n">
        <v>18</v>
      </c>
      <c r="L51" s="31" t="s">
        <v>72</v>
      </c>
      <c r="M51" s="32"/>
      <c r="N51" s="31" t="s">
        <v>72</v>
      </c>
      <c r="O51" s="32"/>
      <c r="P51" s="31" t="s">
        <v>72</v>
      </c>
      <c r="Q51" s="32"/>
      <c r="R51" s="31" t="s">
        <v>72</v>
      </c>
      <c r="S51" s="32"/>
      <c r="T51" s="33" t="n">
        <f aca="false">(COUNTIF(L51,"CONCLUÍDO")+COUNTIF(N51,"CONCLUÍDO")+COUNTIF(P51,"CONCLUÍDO")+COUNTIF(R51,"CONCLUÍDO"))/4</f>
        <v>0</v>
      </c>
      <c r="U51" s="34"/>
    </row>
    <row r="52" customFormat="false" ht="15" hidden="false" customHeight="false" outlineLevel="0" collapsed="false">
      <c r="A52" s="35" t="n">
        <v>44</v>
      </c>
      <c r="B52" s="36" t="s">
        <v>247</v>
      </c>
      <c r="C52" s="37" t="s">
        <v>35</v>
      </c>
      <c r="D52" s="38" t="n">
        <v>5020.154</v>
      </c>
      <c r="E52" s="38" t="n">
        <v>3187.93</v>
      </c>
      <c r="F52" s="38" t="n">
        <v>719975.588</v>
      </c>
      <c r="G52" s="38" t="n">
        <v>7492142.32</v>
      </c>
      <c r="H52" s="39" t="str">
        <f aca="false">IF(AND(ABS(D52+Resumo!$C$6-F52)&lt;=0.01,ABS(E52+Resumo!$C$7-G52)&lt;=0.01),"OK","VERIFICAR")</f>
        <v>OK</v>
      </c>
      <c r="I52" s="39" t="s">
        <v>21</v>
      </c>
      <c r="J52" s="39" t="s">
        <v>37</v>
      </c>
      <c r="K52" s="40" t="n">
        <v>18</v>
      </c>
      <c r="L52" s="31" t="s">
        <v>72</v>
      </c>
      <c r="M52" s="32"/>
      <c r="N52" s="31" t="s">
        <v>72</v>
      </c>
      <c r="O52" s="32"/>
      <c r="P52" s="31" t="s">
        <v>72</v>
      </c>
      <c r="Q52" s="32"/>
      <c r="R52" s="31" t="s">
        <v>72</v>
      </c>
      <c r="S52" s="32"/>
      <c r="T52" s="41" t="n">
        <f aca="false">(COUNTIF(L52,"CONCLUÍDO")+COUNTIF(N52,"CONCLUÍDO")+COUNTIF(P52,"CONCLUÍDO")+COUNTIF(R52,"CONCLUÍDO"))/4</f>
        <v>0</v>
      </c>
      <c r="U52" s="34"/>
    </row>
    <row r="53" customFormat="false" ht="15" hidden="false" customHeight="false" outlineLevel="0" collapsed="false">
      <c r="A53" s="25" t="n">
        <v>45</v>
      </c>
      <c r="B53" s="26" t="s">
        <v>248</v>
      </c>
      <c r="C53" s="27" t="s">
        <v>35</v>
      </c>
      <c r="D53" s="28" t="n">
        <v>5021.654</v>
      </c>
      <c r="E53" s="28" t="n">
        <v>3187.93</v>
      </c>
      <c r="F53" s="28" t="n">
        <v>719977.088</v>
      </c>
      <c r="G53" s="28" t="n">
        <v>7492142.32</v>
      </c>
      <c r="H53" s="29" t="str">
        <f aca="false">IF(AND(ABS(D53+Resumo!$C$6-F53)&lt;=0.01,ABS(E53+Resumo!$C$7-G53)&lt;=0.01),"OK","VERIFICAR")</f>
        <v>OK</v>
      </c>
      <c r="I53" s="29" t="s">
        <v>21</v>
      </c>
      <c r="J53" s="29" t="s">
        <v>37</v>
      </c>
      <c r="K53" s="30" t="n">
        <v>18</v>
      </c>
      <c r="L53" s="31" t="s">
        <v>72</v>
      </c>
      <c r="M53" s="32"/>
      <c r="N53" s="31" t="s">
        <v>72</v>
      </c>
      <c r="O53" s="32"/>
      <c r="P53" s="31" t="s">
        <v>72</v>
      </c>
      <c r="Q53" s="32"/>
      <c r="R53" s="31" t="s">
        <v>72</v>
      </c>
      <c r="S53" s="32"/>
      <c r="T53" s="33" t="n">
        <f aca="false">(COUNTIF(L53,"CONCLUÍDO")+COUNTIF(N53,"CONCLUÍDO")+COUNTIF(P53,"CONCLUÍDO")+COUNTIF(R53,"CONCLUÍDO"))/4</f>
        <v>0</v>
      </c>
      <c r="U53" s="34"/>
    </row>
    <row r="54" customFormat="false" ht="15" hidden="false" customHeight="false" outlineLevel="0" collapsed="false">
      <c r="A54" s="35" t="n">
        <v>46</v>
      </c>
      <c r="B54" s="36" t="s">
        <v>249</v>
      </c>
      <c r="C54" s="37" t="s">
        <v>35</v>
      </c>
      <c r="D54" s="38" t="n">
        <v>5006.654</v>
      </c>
      <c r="E54" s="38" t="n">
        <v>3186.43</v>
      </c>
      <c r="F54" s="38" t="n">
        <v>719962.088</v>
      </c>
      <c r="G54" s="38" t="n">
        <v>7492140.82</v>
      </c>
      <c r="H54" s="39" t="str">
        <f aca="false">IF(AND(ABS(D54+Resumo!$C$6-F54)&lt;=0.01,ABS(E54+Resumo!$C$7-G54)&lt;=0.01),"OK","VERIFICAR")</f>
        <v>OK</v>
      </c>
      <c r="I54" s="39" t="s">
        <v>21</v>
      </c>
      <c r="J54" s="39" t="s">
        <v>37</v>
      </c>
      <c r="K54" s="40" t="n">
        <v>18</v>
      </c>
      <c r="L54" s="31" t="s">
        <v>72</v>
      </c>
      <c r="M54" s="32"/>
      <c r="N54" s="31" t="s">
        <v>72</v>
      </c>
      <c r="O54" s="32"/>
      <c r="P54" s="31" t="s">
        <v>72</v>
      </c>
      <c r="Q54" s="32"/>
      <c r="R54" s="31" t="s">
        <v>72</v>
      </c>
      <c r="S54" s="32"/>
      <c r="T54" s="41" t="n">
        <f aca="false">(COUNTIF(L54,"CONCLUÍDO")+COUNTIF(N54,"CONCLUÍDO")+COUNTIF(P54,"CONCLUÍDO")+COUNTIF(R54,"CONCLUÍDO"))/4</f>
        <v>0</v>
      </c>
      <c r="U54" s="34"/>
    </row>
    <row r="55" customFormat="false" ht="15" hidden="false" customHeight="false" outlineLevel="0" collapsed="false">
      <c r="A55" s="25" t="n">
        <v>47</v>
      </c>
      <c r="B55" s="26" t="s">
        <v>250</v>
      </c>
      <c r="C55" s="27" t="s">
        <v>35</v>
      </c>
      <c r="D55" s="28" t="n">
        <v>5008.154</v>
      </c>
      <c r="E55" s="28" t="n">
        <v>3186.43</v>
      </c>
      <c r="F55" s="28" t="n">
        <v>719963.588</v>
      </c>
      <c r="G55" s="28" t="n">
        <v>7492140.82</v>
      </c>
      <c r="H55" s="29" t="str">
        <f aca="false">IF(AND(ABS(D55+Resumo!$C$6-F55)&lt;=0.01,ABS(E55+Resumo!$C$7-G55)&lt;=0.01),"OK","VERIFICAR")</f>
        <v>OK</v>
      </c>
      <c r="I55" s="29" t="s">
        <v>21</v>
      </c>
      <c r="J55" s="29" t="s">
        <v>37</v>
      </c>
      <c r="K55" s="30" t="n">
        <v>18</v>
      </c>
      <c r="L55" s="31" t="s">
        <v>72</v>
      </c>
      <c r="M55" s="32"/>
      <c r="N55" s="31" t="s">
        <v>72</v>
      </c>
      <c r="O55" s="32"/>
      <c r="P55" s="31" t="s">
        <v>72</v>
      </c>
      <c r="Q55" s="32"/>
      <c r="R55" s="31" t="s">
        <v>72</v>
      </c>
      <c r="S55" s="32"/>
      <c r="T55" s="33" t="n">
        <f aca="false">(COUNTIF(L55,"CONCLUÍDO")+COUNTIF(N55,"CONCLUÍDO")+COUNTIF(P55,"CONCLUÍDO")+COUNTIF(R55,"CONCLUÍDO"))/4</f>
        <v>0</v>
      </c>
      <c r="U55" s="34"/>
    </row>
    <row r="56" customFormat="false" ht="15" hidden="false" customHeight="false" outlineLevel="0" collapsed="false">
      <c r="A56" s="35" t="n">
        <v>48</v>
      </c>
      <c r="B56" s="36" t="s">
        <v>251</v>
      </c>
      <c r="C56" s="37" t="s">
        <v>35</v>
      </c>
      <c r="D56" s="38" t="n">
        <v>5009.654</v>
      </c>
      <c r="E56" s="38" t="n">
        <v>3186.43</v>
      </c>
      <c r="F56" s="38" t="n">
        <v>719965.088</v>
      </c>
      <c r="G56" s="38" t="n">
        <v>7492140.82</v>
      </c>
      <c r="H56" s="39" t="str">
        <f aca="false">IF(AND(ABS(D56+Resumo!$C$6-F56)&lt;=0.01,ABS(E56+Resumo!$C$7-G56)&lt;=0.01),"OK","VERIFICAR")</f>
        <v>OK</v>
      </c>
      <c r="I56" s="39" t="s">
        <v>21</v>
      </c>
      <c r="J56" s="39" t="s">
        <v>37</v>
      </c>
      <c r="K56" s="40" t="n">
        <v>18</v>
      </c>
      <c r="L56" s="31" t="s">
        <v>72</v>
      </c>
      <c r="M56" s="32"/>
      <c r="N56" s="31" t="s">
        <v>72</v>
      </c>
      <c r="O56" s="32"/>
      <c r="P56" s="31" t="s">
        <v>72</v>
      </c>
      <c r="Q56" s="32"/>
      <c r="R56" s="31" t="s">
        <v>72</v>
      </c>
      <c r="S56" s="32"/>
      <c r="T56" s="41" t="n">
        <f aca="false">(COUNTIF(L56,"CONCLUÍDO")+COUNTIF(N56,"CONCLUÍDO")+COUNTIF(P56,"CONCLUÍDO")+COUNTIF(R56,"CONCLUÍDO"))/4</f>
        <v>0</v>
      </c>
      <c r="U56" s="34"/>
    </row>
    <row r="57" customFormat="false" ht="15" hidden="false" customHeight="false" outlineLevel="0" collapsed="false">
      <c r="A57" s="25" t="n">
        <v>49</v>
      </c>
      <c r="B57" s="26" t="s">
        <v>252</v>
      </c>
      <c r="C57" s="27" t="s">
        <v>35</v>
      </c>
      <c r="D57" s="28" t="n">
        <v>5018.654</v>
      </c>
      <c r="E57" s="28" t="n">
        <v>3186.43</v>
      </c>
      <c r="F57" s="28" t="n">
        <v>719974.088</v>
      </c>
      <c r="G57" s="28" t="n">
        <v>7492140.82</v>
      </c>
      <c r="H57" s="29" t="str">
        <f aca="false">IF(AND(ABS(D57+Resumo!$C$6-F57)&lt;=0.01,ABS(E57+Resumo!$C$7-G57)&lt;=0.01),"OK","VERIFICAR")</f>
        <v>OK</v>
      </c>
      <c r="I57" s="29" t="s">
        <v>21</v>
      </c>
      <c r="J57" s="29" t="s">
        <v>37</v>
      </c>
      <c r="K57" s="30" t="n">
        <v>18</v>
      </c>
      <c r="L57" s="31" t="s">
        <v>72</v>
      </c>
      <c r="M57" s="32"/>
      <c r="N57" s="31" t="s">
        <v>72</v>
      </c>
      <c r="O57" s="32"/>
      <c r="P57" s="31" t="s">
        <v>72</v>
      </c>
      <c r="Q57" s="32"/>
      <c r="R57" s="31" t="s">
        <v>72</v>
      </c>
      <c r="S57" s="32"/>
      <c r="T57" s="33" t="n">
        <f aca="false">(COUNTIF(L57,"CONCLUÍDO")+COUNTIF(N57,"CONCLUÍDO")+COUNTIF(P57,"CONCLUÍDO")+COUNTIF(R57,"CONCLUÍDO"))/4</f>
        <v>0</v>
      </c>
      <c r="U57" s="34"/>
    </row>
    <row r="58" customFormat="false" ht="15" hidden="false" customHeight="false" outlineLevel="0" collapsed="false">
      <c r="A58" s="35" t="n">
        <v>50</v>
      </c>
      <c r="B58" s="36" t="s">
        <v>253</v>
      </c>
      <c r="C58" s="37" t="s">
        <v>35</v>
      </c>
      <c r="D58" s="38" t="n">
        <v>5020.154</v>
      </c>
      <c r="E58" s="38" t="n">
        <v>3186.43</v>
      </c>
      <c r="F58" s="38" t="n">
        <v>719975.588</v>
      </c>
      <c r="G58" s="38" t="n">
        <v>7492140.82</v>
      </c>
      <c r="H58" s="39" t="str">
        <f aca="false">IF(AND(ABS(D58+Resumo!$C$6-F58)&lt;=0.01,ABS(E58+Resumo!$C$7-G58)&lt;=0.01),"OK","VERIFICAR")</f>
        <v>OK</v>
      </c>
      <c r="I58" s="39" t="s">
        <v>21</v>
      </c>
      <c r="J58" s="39" t="s">
        <v>37</v>
      </c>
      <c r="K58" s="40" t="n">
        <v>18</v>
      </c>
      <c r="L58" s="31" t="s">
        <v>72</v>
      </c>
      <c r="M58" s="32"/>
      <c r="N58" s="31" t="s">
        <v>72</v>
      </c>
      <c r="O58" s="32"/>
      <c r="P58" s="31" t="s">
        <v>72</v>
      </c>
      <c r="Q58" s="32"/>
      <c r="R58" s="31" t="s">
        <v>72</v>
      </c>
      <c r="S58" s="32"/>
      <c r="T58" s="41" t="n">
        <f aca="false">(COUNTIF(L58,"CONCLUÍDO")+COUNTIF(N58,"CONCLUÍDO")+COUNTIF(P58,"CONCLUÍDO")+COUNTIF(R58,"CONCLUÍDO"))/4</f>
        <v>0</v>
      </c>
      <c r="U58" s="34"/>
    </row>
    <row r="59" customFormat="false" ht="15" hidden="false" customHeight="false" outlineLevel="0" collapsed="false">
      <c r="A59" s="25" t="n">
        <v>51</v>
      </c>
      <c r="B59" s="26" t="s">
        <v>254</v>
      </c>
      <c r="C59" s="27" t="s">
        <v>35</v>
      </c>
      <c r="D59" s="28" t="n">
        <v>5021.654</v>
      </c>
      <c r="E59" s="28" t="n">
        <v>3186.43</v>
      </c>
      <c r="F59" s="28" t="n">
        <v>719977.088</v>
      </c>
      <c r="G59" s="28" t="n">
        <v>7492140.82</v>
      </c>
      <c r="H59" s="29" t="str">
        <f aca="false">IF(AND(ABS(D59+Resumo!$C$6-F59)&lt;=0.01,ABS(E59+Resumo!$C$7-G59)&lt;=0.01),"OK","VERIFICAR")</f>
        <v>OK</v>
      </c>
      <c r="I59" s="29" t="s">
        <v>21</v>
      </c>
      <c r="J59" s="29" t="s">
        <v>37</v>
      </c>
      <c r="K59" s="30" t="n">
        <v>18</v>
      </c>
      <c r="L59" s="31" t="s">
        <v>72</v>
      </c>
      <c r="M59" s="32"/>
      <c r="N59" s="31" t="s">
        <v>72</v>
      </c>
      <c r="O59" s="32"/>
      <c r="P59" s="31" t="s">
        <v>72</v>
      </c>
      <c r="Q59" s="32"/>
      <c r="R59" s="31" t="s">
        <v>72</v>
      </c>
      <c r="S59" s="32"/>
      <c r="T59" s="33" t="n">
        <f aca="false">(COUNTIF(L59,"CONCLUÍDO")+COUNTIF(N59,"CONCLUÍDO")+COUNTIF(P59,"CONCLUÍDO")+COUNTIF(R59,"CONCLUÍDO"))/4</f>
        <v>0</v>
      </c>
      <c r="U59" s="34"/>
    </row>
    <row r="60" customFormat="false" ht="15" hidden="false" customHeight="false" outlineLevel="0" collapsed="false">
      <c r="A60" s="35" t="n">
        <v>52</v>
      </c>
      <c r="B60" s="36" t="s">
        <v>255</v>
      </c>
      <c r="C60" s="37" t="s">
        <v>35</v>
      </c>
      <c r="D60" s="38" t="n">
        <v>5006.654</v>
      </c>
      <c r="E60" s="38" t="n">
        <v>3184.93</v>
      </c>
      <c r="F60" s="38" t="n">
        <v>719962.088</v>
      </c>
      <c r="G60" s="38" t="n">
        <v>7492139.32</v>
      </c>
      <c r="H60" s="39" t="str">
        <f aca="false">IF(AND(ABS(D60+Resumo!$C$6-F60)&lt;=0.01,ABS(E60+Resumo!$C$7-G60)&lt;=0.01),"OK","VERIFICAR")</f>
        <v>OK</v>
      </c>
      <c r="I60" s="39" t="s">
        <v>21</v>
      </c>
      <c r="J60" s="39" t="s">
        <v>37</v>
      </c>
      <c r="K60" s="40" t="n">
        <v>18</v>
      </c>
      <c r="L60" s="31" t="s">
        <v>72</v>
      </c>
      <c r="M60" s="32"/>
      <c r="N60" s="31" t="s">
        <v>72</v>
      </c>
      <c r="O60" s="32"/>
      <c r="P60" s="31" t="s">
        <v>72</v>
      </c>
      <c r="Q60" s="32"/>
      <c r="R60" s="31" t="s">
        <v>72</v>
      </c>
      <c r="S60" s="32"/>
      <c r="T60" s="41" t="n">
        <f aca="false">(COUNTIF(L60,"CONCLUÍDO")+COUNTIF(N60,"CONCLUÍDO")+COUNTIF(P60,"CONCLUÍDO")+COUNTIF(R60,"CONCLUÍDO"))/4</f>
        <v>0</v>
      </c>
      <c r="U60" s="34"/>
    </row>
    <row r="61" customFormat="false" ht="15" hidden="false" customHeight="false" outlineLevel="0" collapsed="false">
      <c r="A61" s="25" t="n">
        <v>53</v>
      </c>
      <c r="B61" s="26" t="s">
        <v>256</v>
      </c>
      <c r="C61" s="27" t="s">
        <v>35</v>
      </c>
      <c r="D61" s="28" t="n">
        <v>5008.154</v>
      </c>
      <c r="E61" s="28" t="n">
        <v>3184.93</v>
      </c>
      <c r="F61" s="28" t="n">
        <v>719963.588</v>
      </c>
      <c r="G61" s="28" t="n">
        <v>7492139.32</v>
      </c>
      <c r="H61" s="29" t="str">
        <f aca="false">IF(AND(ABS(D61+Resumo!$C$6-F61)&lt;=0.01,ABS(E61+Resumo!$C$7-G61)&lt;=0.01),"OK","VERIFICAR")</f>
        <v>OK</v>
      </c>
      <c r="I61" s="29" t="s">
        <v>21</v>
      </c>
      <c r="J61" s="29" t="s">
        <v>37</v>
      </c>
      <c r="K61" s="30" t="n">
        <v>18</v>
      </c>
      <c r="L61" s="31" t="s">
        <v>72</v>
      </c>
      <c r="M61" s="32"/>
      <c r="N61" s="31" t="s">
        <v>72</v>
      </c>
      <c r="O61" s="32"/>
      <c r="P61" s="31" t="s">
        <v>72</v>
      </c>
      <c r="Q61" s="32"/>
      <c r="R61" s="31" t="s">
        <v>72</v>
      </c>
      <c r="S61" s="32"/>
      <c r="T61" s="33" t="n">
        <f aca="false">(COUNTIF(L61,"CONCLUÍDO")+COUNTIF(N61,"CONCLUÍDO")+COUNTIF(P61,"CONCLUÍDO")+COUNTIF(R61,"CONCLUÍDO"))/4</f>
        <v>0</v>
      </c>
      <c r="U61" s="34"/>
    </row>
    <row r="62" customFormat="false" ht="15" hidden="false" customHeight="false" outlineLevel="0" collapsed="false">
      <c r="A62" s="35" t="n">
        <v>54</v>
      </c>
      <c r="B62" s="36" t="s">
        <v>257</v>
      </c>
      <c r="C62" s="37" t="s">
        <v>35</v>
      </c>
      <c r="D62" s="38" t="n">
        <v>5009.654</v>
      </c>
      <c r="E62" s="38" t="n">
        <v>3184.93</v>
      </c>
      <c r="F62" s="38" t="n">
        <v>719965.088</v>
      </c>
      <c r="G62" s="38" t="n">
        <v>7492139.32</v>
      </c>
      <c r="H62" s="39" t="str">
        <f aca="false">IF(AND(ABS(D62+Resumo!$C$6-F62)&lt;=0.01,ABS(E62+Resumo!$C$7-G62)&lt;=0.01),"OK","VERIFICAR")</f>
        <v>OK</v>
      </c>
      <c r="I62" s="39" t="s">
        <v>21</v>
      </c>
      <c r="J62" s="39" t="s">
        <v>37</v>
      </c>
      <c r="K62" s="40" t="n">
        <v>18</v>
      </c>
      <c r="L62" s="31" t="s">
        <v>72</v>
      </c>
      <c r="M62" s="32"/>
      <c r="N62" s="31" t="s">
        <v>72</v>
      </c>
      <c r="O62" s="32"/>
      <c r="P62" s="31" t="s">
        <v>72</v>
      </c>
      <c r="Q62" s="32"/>
      <c r="R62" s="31" t="s">
        <v>72</v>
      </c>
      <c r="S62" s="32"/>
      <c r="T62" s="41" t="n">
        <f aca="false">(COUNTIF(L62,"CONCLUÍDO")+COUNTIF(N62,"CONCLUÍDO")+COUNTIF(P62,"CONCLUÍDO")+COUNTIF(R62,"CONCLUÍDO"))/4</f>
        <v>0</v>
      </c>
      <c r="U62" s="34"/>
    </row>
    <row r="63" customFormat="false" ht="15" hidden="false" customHeight="false" outlineLevel="0" collapsed="false">
      <c r="A63" s="25" t="n">
        <v>55</v>
      </c>
      <c r="B63" s="26" t="s">
        <v>258</v>
      </c>
      <c r="C63" s="27" t="s">
        <v>35</v>
      </c>
      <c r="D63" s="28" t="n">
        <v>5018.654</v>
      </c>
      <c r="E63" s="28" t="n">
        <v>3184.93</v>
      </c>
      <c r="F63" s="28" t="n">
        <v>719974.088</v>
      </c>
      <c r="G63" s="28" t="n">
        <v>7492139.32</v>
      </c>
      <c r="H63" s="29" t="str">
        <f aca="false">IF(AND(ABS(D63+Resumo!$C$6-F63)&lt;=0.01,ABS(E63+Resumo!$C$7-G63)&lt;=0.01),"OK","VERIFICAR")</f>
        <v>OK</v>
      </c>
      <c r="I63" s="29" t="s">
        <v>21</v>
      </c>
      <c r="J63" s="29" t="s">
        <v>37</v>
      </c>
      <c r="K63" s="30" t="n">
        <v>18</v>
      </c>
      <c r="L63" s="31" t="s">
        <v>72</v>
      </c>
      <c r="M63" s="32"/>
      <c r="N63" s="31" t="s">
        <v>72</v>
      </c>
      <c r="O63" s="32"/>
      <c r="P63" s="31" t="s">
        <v>72</v>
      </c>
      <c r="Q63" s="32"/>
      <c r="R63" s="31" t="s">
        <v>72</v>
      </c>
      <c r="S63" s="32"/>
      <c r="T63" s="33" t="n">
        <f aca="false">(COUNTIF(L63,"CONCLUÍDO")+COUNTIF(N63,"CONCLUÍDO")+COUNTIF(P63,"CONCLUÍDO")+COUNTIF(R63,"CONCLUÍDO"))/4</f>
        <v>0</v>
      </c>
      <c r="U63" s="34"/>
    </row>
    <row r="64" customFormat="false" ht="15" hidden="false" customHeight="false" outlineLevel="0" collapsed="false">
      <c r="A64" s="35" t="n">
        <v>56</v>
      </c>
      <c r="B64" s="36" t="s">
        <v>259</v>
      </c>
      <c r="C64" s="37" t="s">
        <v>35</v>
      </c>
      <c r="D64" s="38" t="n">
        <v>5020.154</v>
      </c>
      <c r="E64" s="38" t="n">
        <v>3184.93</v>
      </c>
      <c r="F64" s="38" t="n">
        <v>719975.588</v>
      </c>
      <c r="G64" s="38" t="n">
        <v>7492139.32</v>
      </c>
      <c r="H64" s="39" t="str">
        <f aca="false">IF(AND(ABS(D64+Resumo!$C$6-F64)&lt;=0.01,ABS(E64+Resumo!$C$7-G64)&lt;=0.01),"OK","VERIFICAR")</f>
        <v>OK</v>
      </c>
      <c r="I64" s="39" t="s">
        <v>21</v>
      </c>
      <c r="J64" s="39" t="s">
        <v>37</v>
      </c>
      <c r="K64" s="40" t="n">
        <v>18</v>
      </c>
      <c r="L64" s="31" t="s">
        <v>72</v>
      </c>
      <c r="M64" s="32"/>
      <c r="N64" s="31" t="s">
        <v>72</v>
      </c>
      <c r="O64" s="32"/>
      <c r="P64" s="31" t="s">
        <v>72</v>
      </c>
      <c r="Q64" s="32"/>
      <c r="R64" s="31" t="s">
        <v>72</v>
      </c>
      <c r="S64" s="32"/>
      <c r="T64" s="41" t="n">
        <f aca="false">(COUNTIF(L64,"CONCLUÍDO")+COUNTIF(N64,"CONCLUÍDO")+COUNTIF(P64,"CONCLUÍDO")+COUNTIF(R64,"CONCLUÍDO"))/4</f>
        <v>0</v>
      </c>
      <c r="U64" s="34"/>
    </row>
    <row r="65" customFormat="false" ht="15" hidden="false" customHeight="false" outlineLevel="0" collapsed="false">
      <c r="A65" s="25" t="n">
        <v>57</v>
      </c>
      <c r="B65" s="26" t="s">
        <v>260</v>
      </c>
      <c r="C65" s="27" t="s">
        <v>35</v>
      </c>
      <c r="D65" s="28" t="n">
        <v>5021.654</v>
      </c>
      <c r="E65" s="28" t="n">
        <v>3184.93</v>
      </c>
      <c r="F65" s="28" t="n">
        <v>719977.088</v>
      </c>
      <c r="G65" s="28" t="n">
        <v>7492139.32</v>
      </c>
      <c r="H65" s="29" t="str">
        <f aca="false">IF(AND(ABS(D65+Resumo!$C$6-F65)&lt;=0.01,ABS(E65+Resumo!$C$7-G65)&lt;=0.01),"OK","VERIFICAR")</f>
        <v>OK</v>
      </c>
      <c r="I65" s="29" t="s">
        <v>21</v>
      </c>
      <c r="J65" s="29" t="s">
        <v>37</v>
      </c>
      <c r="K65" s="30" t="n">
        <v>18</v>
      </c>
      <c r="L65" s="31" t="s">
        <v>72</v>
      </c>
      <c r="M65" s="32"/>
      <c r="N65" s="31" t="s">
        <v>72</v>
      </c>
      <c r="O65" s="32"/>
      <c r="P65" s="31" t="s">
        <v>72</v>
      </c>
      <c r="Q65" s="32"/>
      <c r="R65" s="31" t="s">
        <v>72</v>
      </c>
      <c r="S65" s="32"/>
      <c r="T65" s="33" t="n">
        <f aca="false">(COUNTIF(L65,"CONCLUÍDO")+COUNTIF(N65,"CONCLUÍDO")+COUNTIF(P65,"CONCLUÍDO")+COUNTIF(R65,"CONCLUÍDO"))/4</f>
        <v>0</v>
      </c>
      <c r="U65" s="34"/>
    </row>
    <row r="66" customFormat="false" ht="15" hidden="false" customHeight="false" outlineLevel="0" collapsed="false">
      <c r="A66" s="35" t="n">
        <v>58</v>
      </c>
      <c r="B66" s="36" t="s">
        <v>261</v>
      </c>
      <c r="C66" s="37" t="s">
        <v>35</v>
      </c>
      <c r="D66" s="38" t="n">
        <v>5006.654</v>
      </c>
      <c r="E66" s="38" t="n">
        <v>3183.43</v>
      </c>
      <c r="F66" s="38" t="n">
        <v>719962.088</v>
      </c>
      <c r="G66" s="38" t="n">
        <v>7492137.82</v>
      </c>
      <c r="H66" s="39" t="str">
        <f aca="false">IF(AND(ABS(D66+Resumo!$C$6-F66)&lt;=0.01,ABS(E66+Resumo!$C$7-G66)&lt;=0.01),"OK","VERIFICAR")</f>
        <v>OK</v>
      </c>
      <c r="I66" s="39" t="s">
        <v>21</v>
      </c>
      <c r="J66" s="39" t="s">
        <v>37</v>
      </c>
      <c r="K66" s="40" t="n">
        <v>18</v>
      </c>
      <c r="L66" s="31" t="s">
        <v>72</v>
      </c>
      <c r="M66" s="32"/>
      <c r="N66" s="31" t="s">
        <v>72</v>
      </c>
      <c r="O66" s="32"/>
      <c r="P66" s="31" t="s">
        <v>72</v>
      </c>
      <c r="Q66" s="32"/>
      <c r="R66" s="31" t="s">
        <v>72</v>
      </c>
      <c r="S66" s="32"/>
      <c r="T66" s="41" t="n">
        <f aca="false">(COUNTIF(L66,"CONCLUÍDO")+COUNTIF(N66,"CONCLUÍDO")+COUNTIF(P66,"CONCLUÍDO")+COUNTIF(R66,"CONCLUÍDO"))/4</f>
        <v>0</v>
      </c>
      <c r="U66" s="34"/>
    </row>
    <row r="67" customFormat="false" ht="15" hidden="false" customHeight="false" outlineLevel="0" collapsed="false">
      <c r="A67" s="25" t="n">
        <v>59</v>
      </c>
      <c r="B67" s="26" t="s">
        <v>262</v>
      </c>
      <c r="C67" s="27" t="s">
        <v>35</v>
      </c>
      <c r="D67" s="28" t="n">
        <v>5008.154</v>
      </c>
      <c r="E67" s="28" t="n">
        <v>3183.43</v>
      </c>
      <c r="F67" s="28" t="n">
        <v>719963.588</v>
      </c>
      <c r="G67" s="28" t="n">
        <v>7492137.82</v>
      </c>
      <c r="H67" s="29" t="str">
        <f aca="false">IF(AND(ABS(D67+Resumo!$C$6-F67)&lt;=0.01,ABS(E67+Resumo!$C$7-G67)&lt;=0.01),"OK","VERIFICAR")</f>
        <v>OK</v>
      </c>
      <c r="I67" s="29" t="s">
        <v>21</v>
      </c>
      <c r="J67" s="29" t="s">
        <v>37</v>
      </c>
      <c r="K67" s="30" t="n">
        <v>18</v>
      </c>
      <c r="L67" s="31" t="s">
        <v>72</v>
      </c>
      <c r="M67" s="32"/>
      <c r="N67" s="31" t="s">
        <v>72</v>
      </c>
      <c r="O67" s="32"/>
      <c r="P67" s="31" t="s">
        <v>72</v>
      </c>
      <c r="Q67" s="32"/>
      <c r="R67" s="31" t="s">
        <v>72</v>
      </c>
      <c r="S67" s="32"/>
      <c r="T67" s="33" t="n">
        <f aca="false">(COUNTIF(L67,"CONCLUÍDO")+COUNTIF(N67,"CONCLUÍDO")+COUNTIF(P67,"CONCLUÍDO")+COUNTIF(R67,"CONCLUÍDO"))/4</f>
        <v>0</v>
      </c>
      <c r="U67" s="34"/>
    </row>
    <row r="68" customFormat="false" ht="15" hidden="false" customHeight="false" outlineLevel="0" collapsed="false">
      <c r="A68" s="35" t="n">
        <v>60</v>
      </c>
      <c r="B68" s="36" t="s">
        <v>263</v>
      </c>
      <c r="C68" s="37" t="s">
        <v>35</v>
      </c>
      <c r="D68" s="38" t="n">
        <v>5009.654</v>
      </c>
      <c r="E68" s="38" t="n">
        <v>3183.43</v>
      </c>
      <c r="F68" s="38" t="n">
        <v>719965.088</v>
      </c>
      <c r="G68" s="38" t="n">
        <v>7492137.82</v>
      </c>
      <c r="H68" s="39" t="str">
        <f aca="false">IF(AND(ABS(D68+Resumo!$C$6-F68)&lt;=0.01,ABS(E68+Resumo!$C$7-G68)&lt;=0.01),"OK","VERIFICAR")</f>
        <v>OK</v>
      </c>
      <c r="I68" s="39" t="s">
        <v>21</v>
      </c>
      <c r="J68" s="39" t="s">
        <v>37</v>
      </c>
      <c r="K68" s="40" t="n">
        <v>18</v>
      </c>
      <c r="L68" s="31" t="s">
        <v>72</v>
      </c>
      <c r="M68" s="32"/>
      <c r="N68" s="31" t="s">
        <v>72</v>
      </c>
      <c r="O68" s="32"/>
      <c r="P68" s="31" t="s">
        <v>72</v>
      </c>
      <c r="Q68" s="32"/>
      <c r="R68" s="31" t="s">
        <v>72</v>
      </c>
      <c r="S68" s="32"/>
      <c r="T68" s="41" t="n">
        <f aca="false">(COUNTIF(L68,"CONCLUÍDO")+COUNTIF(N68,"CONCLUÍDO")+COUNTIF(P68,"CONCLUÍDO")+COUNTIF(R68,"CONCLUÍDO"))/4</f>
        <v>0</v>
      </c>
      <c r="U68" s="34"/>
    </row>
    <row r="69" customFormat="false" ht="15" hidden="false" customHeight="false" outlineLevel="0" collapsed="false">
      <c r="A69" s="25" t="n">
        <v>61</v>
      </c>
      <c r="B69" s="26" t="s">
        <v>264</v>
      </c>
      <c r="C69" s="27" t="s">
        <v>35</v>
      </c>
      <c r="D69" s="28" t="n">
        <v>5018.654</v>
      </c>
      <c r="E69" s="28" t="n">
        <v>3183.43</v>
      </c>
      <c r="F69" s="28" t="n">
        <v>719974.088</v>
      </c>
      <c r="G69" s="28" t="n">
        <v>7492137.82</v>
      </c>
      <c r="H69" s="29" t="str">
        <f aca="false">IF(AND(ABS(D69+Resumo!$C$6-F69)&lt;=0.01,ABS(E69+Resumo!$C$7-G69)&lt;=0.01),"OK","VERIFICAR")</f>
        <v>OK</v>
      </c>
      <c r="I69" s="29" t="s">
        <v>21</v>
      </c>
      <c r="J69" s="29" t="s">
        <v>37</v>
      </c>
      <c r="K69" s="30" t="n">
        <v>18</v>
      </c>
      <c r="L69" s="31" t="s">
        <v>72</v>
      </c>
      <c r="M69" s="32"/>
      <c r="N69" s="31" t="s">
        <v>72</v>
      </c>
      <c r="O69" s="32"/>
      <c r="P69" s="31" t="s">
        <v>72</v>
      </c>
      <c r="Q69" s="32"/>
      <c r="R69" s="31" t="s">
        <v>72</v>
      </c>
      <c r="S69" s="32"/>
      <c r="T69" s="33" t="n">
        <f aca="false">(COUNTIF(L69,"CONCLUÍDO")+COUNTIF(N69,"CONCLUÍDO")+COUNTIF(P69,"CONCLUÍDO")+COUNTIF(R69,"CONCLUÍDO"))/4</f>
        <v>0</v>
      </c>
      <c r="U69" s="34"/>
    </row>
    <row r="70" customFormat="false" ht="15" hidden="false" customHeight="false" outlineLevel="0" collapsed="false">
      <c r="A70" s="35" t="n">
        <v>62</v>
      </c>
      <c r="B70" s="36" t="s">
        <v>265</v>
      </c>
      <c r="C70" s="37" t="s">
        <v>35</v>
      </c>
      <c r="D70" s="38" t="n">
        <v>5020.154</v>
      </c>
      <c r="E70" s="38" t="n">
        <v>3183.43</v>
      </c>
      <c r="F70" s="38" t="n">
        <v>719975.588</v>
      </c>
      <c r="G70" s="38" t="n">
        <v>7492137.82</v>
      </c>
      <c r="H70" s="39" t="str">
        <f aca="false">IF(AND(ABS(D70+Resumo!$C$6-F70)&lt;=0.01,ABS(E70+Resumo!$C$7-G70)&lt;=0.01),"OK","VERIFICAR")</f>
        <v>OK</v>
      </c>
      <c r="I70" s="39" t="s">
        <v>21</v>
      </c>
      <c r="J70" s="39" t="s">
        <v>37</v>
      </c>
      <c r="K70" s="40" t="n">
        <v>18</v>
      </c>
      <c r="L70" s="31" t="s">
        <v>72</v>
      </c>
      <c r="M70" s="32"/>
      <c r="N70" s="31" t="s">
        <v>72</v>
      </c>
      <c r="O70" s="32"/>
      <c r="P70" s="31" t="s">
        <v>72</v>
      </c>
      <c r="Q70" s="32"/>
      <c r="R70" s="31" t="s">
        <v>72</v>
      </c>
      <c r="S70" s="32"/>
      <c r="T70" s="41" t="n">
        <f aca="false">(COUNTIF(L70,"CONCLUÍDO")+COUNTIF(N70,"CONCLUÍDO")+COUNTIF(P70,"CONCLUÍDO")+COUNTIF(R70,"CONCLUÍDO"))/4</f>
        <v>0</v>
      </c>
      <c r="U70" s="34"/>
    </row>
    <row r="71" customFormat="false" ht="15" hidden="false" customHeight="false" outlineLevel="0" collapsed="false">
      <c r="A71" s="25" t="n">
        <v>63</v>
      </c>
      <c r="B71" s="26" t="s">
        <v>266</v>
      </c>
      <c r="C71" s="27" t="s">
        <v>35</v>
      </c>
      <c r="D71" s="28" t="n">
        <v>5021.654</v>
      </c>
      <c r="E71" s="28" t="n">
        <v>3183.43</v>
      </c>
      <c r="F71" s="28" t="n">
        <v>719977.088</v>
      </c>
      <c r="G71" s="28" t="n">
        <v>7492137.82</v>
      </c>
      <c r="H71" s="29" t="str">
        <f aca="false">IF(AND(ABS(D71+Resumo!$C$6-F71)&lt;=0.01,ABS(E71+Resumo!$C$7-G71)&lt;=0.01),"OK","VERIFICAR")</f>
        <v>OK</v>
      </c>
      <c r="I71" s="29" t="s">
        <v>21</v>
      </c>
      <c r="J71" s="29" t="s">
        <v>37</v>
      </c>
      <c r="K71" s="30" t="n">
        <v>18</v>
      </c>
      <c r="L71" s="31" t="s">
        <v>72</v>
      </c>
      <c r="M71" s="32"/>
      <c r="N71" s="31" t="s">
        <v>72</v>
      </c>
      <c r="O71" s="32"/>
      <c r="P71" s="31" t="s">
        <v>72</v>
      </c>
      <c r="Q71" s="32"/>
      <c r="R71" s="31" t="s">
        <v>72</v>
      </c>
      <c r="S71" s="32"/>
      <c r="T71" s="33" t="n">
        <f aca="false">(COUNTIF(L71,"CONCLUÍDO")+COUNTIF(N71,"CONCLUÍDO")+COUNTIF(P71,"CONCLUÍDO")+COUNTIF(R71,"CONCLUÍDO"))/4</f>
        <v>0</v>
      </c>
      <c r="U71" s="34"/>
    </row>
    <row r="72" customFormat="false" ht="15" hidden="false" customHeight="false" outlineLevel="0" collapsed="false">
      <c r="A72" s="35" t="n">
        <v>64</v>
      </c>
      <c r="B72" s="36" t="s">
        <v>267</v>
      </c>
      <c r="C72" s="37" t="s">
        <v>35</v>
      </c>
      <c r="D72" s="38" t="n">
        <v>5006.654</v>
      </c>
      <c r="E72" s="38" t="n">
        <v>3181.93</v>
      </c>
      <c r="F72" s="38" t="n">
        <v>719962.088</v>
      </c>
      <c r="G72" s="38" t="n">
        <v>7492136.32</v>
      </c>
      <c r="H72" s="39" t="str">
        <f aca="false">IF(AND(ABS(D72+Resumo!$C$6-F72)&lt;=0.01,ABS(E72+Resumo!$C$7-G72)&lt;=0.01),"OK","VERIFICAR")</f>
        <v>OK</v>
      </c>
      <c r="I72" s="39" t="s">
        <v>21</v>
      </c>
      <c r="J72" s="39" t="s">
        <v>37</v>
      </c>
      <c r="K72" s="40" t="n">
        <v>18</v>
      </c>
      <c r="L72" s="31" t="s">
        <v>72</v>
      </c>
      <c r="M72" s="32"/>
      <c r="N72" s="31" t="s">
        <v>72</v>
      </c>
      <c r="O72" s="32"/>
      <c r="P72" s="31" t="s">
        <v>72</v>
      </c>
      <c r="Q72" s="32"/>
      <c r="R72" s="31" t="s">
        <v>72</v>
      </c>
      <c r="S72" s="32"/>
      <c r="T72" s="41" t="n">
        <f aca="false">(COUNTIF(L72,"CONCLUÍDO")+COUNTIF(N72,"CONCLUÍDO")+COUNTIF(P72,"CONCLUÍDO")+COUNTIF(R72,"CONCLUÍDO"))/4</f>
        <v>0</v>
      </c>
      <c r="U72" s="34"/>
    </row>
    <row r="73" customFormat="false" ht="15" hidden="false" customHeight="false" outlineLevel="0" collapsed="false">
      <c r="A73" s="25" t="n">
        <v>65</v>
      </c>
      <c r="B73" s="26" t="s">
        <v>268</v>
      </c>
      <c r="C73" s="27" t="s">
        <v>35</v>
      </c>
      <c r="D73" s="28" t="n">
        <v>5008.154</v>
      </c>
      <c r="E73" s="28" t="n">
        <v>3181.93</v>
      </c>
      <c r="F73" s="28" t="n">
        <v>719963.588</v>
      </c>
      <c r="G73" s="28" t="n">
        <v>7492136.32</v>
      </c>
      <c r="H73" s="29" t="str">
        <f aca="false">IF(AND(ABS(D73+Resumo!$C$6-F73)&lt;=0.01,ABS(E73+Resumo!$C$7-G73)&lt;=0.01),"OK","VERIFICAR")</f>
        <v>OK</v>
      </c>
      <c r="I73" s="29" t="s">
        <v>21</v>
      </c>
      <c r="J73" s="29" t="s">
        <v>37</v>
      </c>
      <c r="K73" s="30" t="n">
        <v>18</v>
      </c>
      <c r="L73" s="31" t="s">
        <v>72</v>
      </c>
      <c r="M73" s="32"/>
      <c r="N73" s="31" t="s">
        <v>72</v>
      </c>
      <c r="O73" s="32"/>
      <c r="P73" s="31" t="s">
        <v>72</v>
      </c>
      <c r="Q73" s="32"/>
      <c r="R73" s="31" t="s">
        <v>72</v>
      </c>
      <c r="S73" s="32"/>
      <c r="T73" s="33" t="n">
        <f aca="false">(COUNTIF(L73,"CONCLUÍDO")+COUNTIF(N73,"CONCLUÍDO")+COUNTIF(P73,"CONCLUÍDO")+COUNTIF(R73,"CONCLUÍDO"))/4</f>
        <v>0</v>
      </c>
      <c r="U73" s="34"/>
    </row>
    <row r="74" customFormat="false" ht="15" hidden="false" customHeight="false" outlineLevel="0" collapsed="false">
      <c r="A74" s="35" t="n">
        <v>66</v>
      </c>
      <c r="B74" s="36" t="s">
        <v>269</v>
      </c>
      <c r="C74" s="37" t="s">
        <v>35</v>
      </c>
      <c r="D74" s="38" t="n">
        <v>5009.654</v>
      </c>
      <c r="E74" s="38" t="n">
        <v>3181.93</v>
      </c>
      <c r="F74" s="38" t="n">
        <v>719965.088</v>
      </c>
      <c r="G74" s="38" t="n">
        <v>7492136.32</v>
      </c>
      <c r="H74" s="39" t="str">
        <f aca="false">IF(AND(ABS(D74+Resumo!$C$6-F74)&lt;=0.01,ABS(E74+Resumo!$C$7-G74)&lt;=0.01),"OK","VERIFICAR")</f>
        <v>OK</v>
      </c>
      <c r="I74" s="39" t="s">
        <v>21</v>
      </c>
      <c r="J74" s="39" t="s">
        <v>37</v>
      </c>
      <c r="K74" s="40" t="n">
        <v>18</v>
      </c>
      <c r="L74" s="31" t="s">
        <v>72</v>
      </c>
      <c r="M74" s="32"/>
      <c r="N74" s="31" t="s">
        <v>72</v>
      </c>
      <c r="O74" s="32"/>
      <c r="P74" s="31" t="s">
        <v>72</v>
      </c>
      <c r="Q74" s="32"/>
      <c r="R74" s="31" t="s">
        <v>72</v>
      </c>
      <c r="S74" s="32"/>
      <c r="T74" s="41" t="n">
        <f aca="false">(COUNTIF(L74,"CONCLUÍDO")+COUNTIF(N74,"CONCLUÍDO")+COUNTIF(P74,"CONCLUÍDO")+COUNTIF(R74,"CONCLUÍDO"))/4</f>
        <v>0</v>
      </c>
      <c r="U74" s="34"/>
    </row>
    <row r="75" customFormat="false" ht="15" hidden="false" customHeight="false" outlineLevel="0" collapsed="false">
      <c r="A75" s="25" t="n">
        <v>67</v>
      </c>
      <c r="B75" s="26" t="s">
        <v>270</v>
      </c>
      <c r="C75" s="27" t="s">
        <v>35</v>
      </c>
      <c r="D75" s="28" t="n">
        <v>5011.154</v>
      </c>
      <c r="E75" s="28" t="n">
        <v>3181.93</v>
      </c>
      <c r="F75" s="28" t="n">
        <v>719966.588</v>
      </c>
      <c r="G75" s="28" t="n">
        <v>7492136.32</v>
      </c>
      <c r="H75" s="29" t="str">
        <f aca="false">IF(AND(ABS(D75+Resumo!$C$6-F75)&lt;=0.01,ABS(E75+Resumo!$C$7-G75)&lt;=0.01),"OK","VERIFICAR")</f>
        <v>OK</v>
      </c>
      <c r="I75" s="29" t="s">
        <v>21</v>
      </c>
      <c r="J75" s="29" t="s">
        <v>37</v>
      </c>
      <c r="K75" s="30" t="n">
        <v>18</v>
      </c>
      <c r="L75" s="31" t="s">
        <v>72</v>
      </c>
      <c r="M75" s="32"/>
      <c r="N75" s="31" t="s">
        <v>72</v>
      </c>
      <c r="O75" s="32"/>
      <c r="P75" s="31" t="s">
        <v>72</v>
      </c>
      <c r="Q75" s="32"/>
      <c r="R75" s="31" t="s">
        <v>72</v>
      </c>
      <c r="S75" s="32"/>
      <c r="T75" s="33" t="n">
        <f aca="false">(COUNTIF(L75,"CONCLUÍDO")+COUNTIF(N75,"CONCLUÍDO")+COUNTIF(P75,"CONCLUÍDO")+COUNTIF(R75,"CONCLUÍDO"))/4</f>
        <v>0</v>
      </c>
      <c r="U75" s="34"/>
    </row>
    <row r="76" customFormat="false" ht="15" hidden="false" customHeight="false" outlineLevel="0" collapsed="false">
      <c r="A76" s="35" t="n">
        <v>68</v>
      </c>
      <c r="B76" s="36" t="s">
        <v>271</v>
      </c>
      <c r="C76" s="37" t="s">
        <v>35</v>
      </c>
      <c r="D76" s="38" t="n">
        <v>5012.654</v>
      </c>
      <c r="E76" s="38" t="n">
        <v>3181.93</v>
      </c>
      <c r="F76" s="38" t="n">
        <v>719968.088</v>
      </c>
      <c r="G76" s="38" t="n">
        <v>7492136.32</v>
      </c>
      <c r="H76" s="39" t="str">
        <f aca="false">IF(AND(ABS(D76+Resumo!$C$6-F76)&lt;=0.01,ABS(E76+Resumo!$C$7-G76)&lt;=0.01),"OK","VERIFICAR")</f>
        <v>OK</v>
      </c>
      <c r="I76" s="39" t="s">
        <v>21</v>
      </c>
      <c r="J76" s="39" t="s">
        <v>37</v>
      </c>
      <c r="K76" s="40" t="n">
        <v>18</v>
      </c>
      <c r="L76" s="31" t="s">
        <v>72</v>
      </c>
      <c r="M76" s="32"/>
      <c r="N76" s="31" t="s">
        <v>72</v>
      </c>
      <c r="O76" s="32"/>
      <c r="P76" s="31" t="s">
        <v>72</v>
      </c>
      <c r="Q76" s="32"/>
      <c r="R76" s="31" t="s">
        <v>72</v>
      </c>
      <c r="S76" s="32"/>
      <c r="T76" s="41" t="n">
        <f aca="false">(COUNTIF(L76,"CONCLUÍDO")+COUNTIF(N76,"CONCLUÍDO")+COUNTIF(P76,"CONCLUÍDO")+COUNTIF(R76,"CONCLUÍDO"))/4</f>
        <v>0</v>
      </c>
      <c r="U76" s="34"/>
    </row>
    <row r="77" customFormat="false" ht="15" hidden="false" customHeight="false" outlineLevel="0" collapsed="false">
      <c r="A77" s="25" t="n">
        <v>69</v>
      </c>
      <c r="B77" s="26" t="s">
        <v>272</v>
      </c>
      <c r="C77" s="27" t="s">
        <v>35</v>
      </c>
      <c r="D77" s="28" t="n">
        <v>5014.154</v>
      </c>
      <c r="E77" s="28" t="n">
        <v>3181.93</v>
      </c>
      <c r="F77" s="28" t="n">
        <v>719969.588</v>
      </c>
      <c r="G77" s="28" t="n">
        <v>7492136.32</v>
      </c>
      <c r="H77" s="29" t="str">
        <f aca="false">IF(AND(ABS(D77+Resumo!$C$6-F77)&lt;=0.01,ABS(E77+Resumo!$C$7-G77)&lt;=0.01),"OK","VERIFICAR")</f>
        <v>OK</v>
      </c>
      <c r="I77" s="29" t="s">
        <v>21</v>
      </c>
      <c r="J77" s="29" t="s">
        <v>37</v>
      </c>
      <c r="K77" s="30" t="n">
        <v>18</v>
      </c>
      <c r="L77" s="31" t="s">
        <v>72</v>
      </c>
      <c r="M77" s="32"/>
      <c r="N77" s="31" t="s">
        <v>72</v>
      </c>
      <c r="O77" s="32"/>
      <c r="P77" s="31" t="s">
        <v>72</v>
      </c>
      <c r="Q77" s="32"/>
      <c r="R77" s="31" t="s">
        <v>72</v>
      </c>
      <c r="S77" s="32"/>
      <c r="T77" s="33" t="n">
        <f aca="false">(COUNTIF(L77,"CONCLUÍDO")+COUNTIF(N77,"CONCLUÍDO")+COUNTIF(P77,"CONCLUÍDO")+COUNTIF(R77,"CONCLUÍDO"))/4</f>
        <v>0</v>
      </c>
      <c r="U77" s="34"/>
    </row>
    <row r="78" customFormat="false" ht="15" hidden="false" customHeight="false" outlineLevel="0" collapsed="false">
      <c r="A78" s="35" t="n">
        <v>70</v>
      </c>
      <c r="B78" s="36" t="s">
        <v>273</v>
      </c>
      <c r="C78" s="37" t="s">
        <v>35</v>
      </c>
      <c r="D78" s="38" t="n">
        <v>5015.654</v>
      </c>
      <c r="E78" s="38" t="n">
        <v>3181.93</v>
      </c>
      <c r="F78" s="38" t="n">
        <v>719971.088</v>
      </c>
      <c r="G78" s="38" t="n">
        <v>7492136.32</v>
      </c>
      <c r="H78" s="39" t="str">
        <f aca="false">IF(AND(ABS(D78+Resumo!$C$6-F78)&lt;=0.01,ABS(E78+Resumo!$C$7-G78)&lt;=0.01),"OK","VERIFICAR")</f>
        <v>OK</v>
      </c>
      <c r="I78" s="39" t="s">
        <v>21</v>
      </c>
      <c r="J78" s="39" t="s">
        <v>37</v>
      </c>
      <c r="K78" s="40" t="n">
        <v>18</v>
      </c>
      <c r="L78" s="31" t="s">
        <v>72</v>
      </c>
      <c r="M78" s="32"/>
      <c r="N78" s="31" t="s">
        <v>72</v>
      </c>
      <c r="O78" s="32"/>
      <c r="P78" s="31" t="s">
        <v>72</v>
      </c>
      <c r="Q78" s="32"/>
      <c r="R78" s="31" t="s">
        <v>72</v>
      </c>
      <c r="S78" s="32"/>
      <c r="T78" s="41" t="n">
        <f aca="false">(COUNTIF(L78,"CONCLUÍDO")+COUNTIF(N78,"CONCLUÍDO")+COUNTIF(P78,"CONCLUÍDO")+COUNTIF(R78,"CONCLUÍDO"))/4</f>
        <v>0</v>
      </c>
      <c r="U78" s="34"/>
    </row>
    <row r="79" customFormat="false" ht="15" hidden="false" customHeight="false" outlineLevel="0" collapsed="false">
      <c r="A79" s="25" t="n">
        <v>71</v>
      </c>
      <c r="B79" s="26" t="s">
        <v>274</v>
      </c>
      <c r="C79" s="27" t="s">
        <v>35</v>
      </c>
      <c r="D79" s="28" t="n">
        <v>5017.154</v>
      </c>
      <c r="E79" s="28" t="n">
        <v>3181.93</v>
      </c>
      <c r="F79" s="28" t="n">
        <v>719972.588</v>
      </c>
      <c r="G79" s="28" t="n">
        <v>7492136.32</v>
      </c>
      <c r="H79" s="29" t="str">
        <f aca="false">IF(AND(ABS(D79+Resumo!$C$6-F79)&lt;=0.01,ABS(E79+Resumo!$C$7-G79)&lt;=0.01),"OK","VERIFICAR")</f>
        <v>OK</v>
      </c>
      <c r="I79" s="29" t="s">
        <v>21</v>
      </c>
      <c r="J79" s="29" t="s">
        <v>37</v>
      </c>
      <c r="K79" s="30" t="n">
        <v>18</v>
      </c>
      <c r="L79" s="31" t="s">
        <v>72</v>
      </c>
      <c r="M79" s="32"/>
      <c r="N79" s="31" t="s">
        <v>72</v>
      </c>
      <c r="O79" s="32"/>
      <c r="P79" s="31" t="s">
        <v>72</v>
      </c>
      <c r="Q79" s="32"/>
      <c r="R79" s="31" t="s">
        <v>72</v>
      </c>
      <c r="S79" s="32"/>
      <c r="T79" s="33" t="n">
        <f aca="false">(COUNTIF(L79,"CONCLUÍDO")+COUNTIF(N79,"CONCLUÍDO")+COUNTIF(P79,"CONCLUÍDO")+COUNTIF(R79,"CONCLUÍDO"))/4</f>
        <v>0</v>
      </c>
      <c r="U79" s="34"/>
    </row>
    <row r="80" customFormat="false" ht="15" hidden="false" customHeight="false" outlineLevel="0" collapsed="false">
      <c r="A80" s="35" t="n">
        <v>72</v>
      </c>
      <c r="B80" s="36" t="s">
        <v>275</v>
      </c>
      <c r="C80" s="37" t="s">
        <v>35</v>
      </c>
      <c r="D80" s="38" t="n">
        <v>5018.654</v>
      </c>
      <c r="E80" s="38" t="n">
        <v>3181.93</v>
      </c>
      <c r="F80" s="38" t="n">
        <v>719974.088</v>
      </c>
      <c r="G80" s="38" t="n">
        <v>7492136.32</v>
      </c>
      <c r="H80" s="39" t="str">
        <f aca="false">IF(AND(ABS(D80+Resumo!$C$6-F80)&lt;=0.01,ABS(E80+Resumo!$C$7-G80)&lt;=0.01),"OK","VERIFICAR")</f>
        <v>OK</v>
      </c>
      <c r="I80" s="39" t="s">
        <v>21</v>
      </c>
      <c r="J80" s="39" t="s">
        <v>37</v>
      </c>
      <c r="K80" s="40" t="n">
        <v>18</v>
      </c>
      <c r="L80" s="31" t="s">
        <v>72</v>
      </c>
      <c r="M80" s="32"/>
      <c r="N80" s="31" t="s">
        <v>72</v>
      </c>
      <c r="O80" s="32"/>
      <c r="P80" s="31" t="s">
        <v>72</v>
      </c>
      <c r="Q80" s="32"/>
      <c r="R80" s="31" t="s">
        <v>72</v>
      </c>
      <c r="S80" s="32"/>
      <c r="T80" s="41" t="n">
        <f aca="false">(COUNTIF(L80,"CONCLUÍDO")+COUNTIF(N80,"CONCLUÍDO")+COUNTIF(P80,"CONCLUÍDO")+COUNTIF(R80,"CONCLUÍDO"))/4</f>
        <v>0</v>
      </c>
      <c r="U80" s="34"/>
    </row>
    <row r="81" customFormat="false" ht="15" hidden="false" customHeight="false" outlineLevel="0" collapsed="false">
      <c r="A81" s="25" t="n">
        <v>73</v>
      </c>
      <c r="B81" s="26" t="s">
        <v>276</v>
      </c>
      <c r="C81" s="27" t="s">
        <v>35</v>
      </c>
      <c r="D81" s="28" t="n">
        <v>5020.154</v>
      </c>
      <c r="E81" s="28" t="n">
        <v>3181.93</v>
      </c>
      <c r="F81" s="28" t="n">
        <v>719975.588</v>
      </c>
      <c r="G81" s="28" t="n">
        <v>7492136.32</v>
      </c>
      <c r="H81" s="29" t="str">
        <f aca="false">IF(AND(ABS(D81+Resumo!$C$6-F81)&lt;=0.01,ABS(E81+Resumo!$C$7-G81)&lt;=0.01),"OK","VERIFICAR")</f>
        <v>OK</v>
      </c>
      <c r="I81" s="29" t="s">
        <v>21</v>
      </c>
      <c r="J81" s="29" t="s">
        <v>37</v>
      </c>
      <c r="K81" s="30" t="n">
        <v>18</v>
      </c>
      <c r="L81" s="31" t="s">
        <v>72</v>
      </c>
      <c r="M81" s="32"/>
      <c r="N81" s="31" t="s">
        <v>72</v>
      </c>
      <c r="O81" s="32"/>
      <c r="P81" s="31" t="s">
        <v>72</v>
      </c>
      <c r="Q81" s="32"/>
      <c r="R81" s="31" t="s">
        <v>72</v>
      </c>
      <c r="S81" s="32"/>
      <c r="T81" s="33" t="n">
        <f aca="false">(COUNTIF(L81,"CONCLUÍDO")+COUNTIF(N81,"CONCLUÍDO")+COUNTIF(P81,"CONCLUÍDO")+COUNTIF(R81,"CONCLUÍDO"))/4</f>
        <v>0</v>
      </c>
      <c r="U81" s="34"/>
    </row>
    <row r="82" customFormat="false" ht="15" hidden="false" customHeight="false" outlineLevel="0" collapsed="false">
      <c r="A82" s="35" t="n">
        <v>74</v>
      </c>
      <c r="B82" s="36" t="s">
        <v>277</v>
      </c>
      <c r="C82" s="37" t="s">
        <v>35</v>
      </c>
      <c r="D82" s="38" t="n">
        <v>5021.654</v>
      </c>
      <c r="E82" s="38" t="n">
        <v>3181.93</v>
      </c>
      <c r="F82" s="38" t="n">
        <v>719977.088</v>
      </c>
      <c r="G82" s="38" t="n">
        <v>7492136.32</v>
      </c>
      <c r="H82" s="39" t="str">
        <f aca="false">IF(AND(ABS(D82+Resumo!$C$6-F82)&lt;=0.01,ABS(E82+Resumo!$C$7-G82)&lt;=0.01),"OK","VERIFICAR")</f>
        <v>OK</v>
      </c>
      <c r="I82" s="39" t="s">
        <v>21</v>
      </c>
      <c r="J82" s="39" t="s">
        <v>37</v>
      </c>
      <c r="K82" s="40" t="n">
        <v>18</v>
      </c>
      <c r="L82" s="31" t="s">
        <v>72</v>
      </c>
      <c r="M82" s="32"/>
      <c r="N82" s="31" t="s">
        <v>72</v>
      </c>
      <c r="O82" s="32"/>
      <c r="P82" s="31" t="s">
        <v>72</v>
      </c>
      <c r="Q82" s="32"/>
      <c r="R82" s="31" t="s">
        <v>72</v>
      </c>
      <c r="S82" s="32"/>
      <c r="T82" s="41" t="n">
        <f aca="false">(COUNTIF(L82,"CONCLUÍDO")+COUNTIF(N82,"CONCLUÍDO")+COUNTIF(P82,"CONCLUÍDO")+COUNTIF(R82,"CONCLUÍDO"))/4</f>
        <v>0</v>
      </c>
      <c r="U82" s="34"/>
    </row>
    <row r="83" customFormat="false" ht="15" hidden="false" customHeight="false" outlineLevel="0" collapsed="false">
      <c r="A83" s="25" t="n">
        <v>75</v>
      </c>
      <c r="B83" s="26" t="s">
        <v>278</v>
      </c>
      <c r="C83" s="27" t="s">
        <v>35</v>
      </c>
      <c r="D83" s="28" t="n">
        <v>5006.654</v>
      </c>
      <c r="E83" s="28" t="n">
        <v>3180.43</v>
      </c>
      <c r="F83" s="28" t="n">
        <v>719962.088</v>
      </c>
      <c r="G83" s="28" t="n">
        <v>7492134.82</v>
      </c>
      <c r="H83" s="29" t="str">
        <f aca="false">IF(AND(ABS(D83+Resumo!$C$6-F83)&lt;=0.01,ABS(E83+Resumo!$C$7-G83)&lt;=0.01),"OK","VERIFICAR")</f>
        <v>OK</v>
      </c>
      <c r="I83" s="29" t="s">
        <v>21</v>
      </c>
      <c r="J83" s="29" t="s">
        <v>37</v>
      </c>
      <c r="K83" s="30" t="n">
        <v>18</v>
      </c>
      <c r="L83" s="31" t="s">
        <v>72</v>
      </c>
      <c r="M83" s="32"/>
      <c r="N83" s="31" t="s">
        <v>72</v>
      </c>
      <c r="O83" s="32"/>
      <c r="P83" s="31" t="s">
        <v>72</v>
      </c>
      <c r="Q83" s="32"/>
      <c r="R83" s="31" t="s">
        <v>72</v>
      </c>
      <c r="S83" s="32"/>
      <c r="T83" s="33" t="n">
        <f aca="false">(COUNTIF(L83,"CONCLUÍDO")+COUNTIF(N83,"CONCLUÍDO")+COUNTIF(P83,"CONCLUÍDO")+COUNTIF(R83,"CONCLUÍDO"))/4</f>
        <v>0</v>
      </c>
      <c r="U83" s="34"/>
    </row>
    <row r="84" customFormat="false" ht="15" hidden="false" customHeight="false" outlineLevel="0" collapsed="false">
      <c r="A84" s="35" t="n">
        <v>76</v>
      </c>
      <c r="B84" s="36" t="s">
        <v>279</v>
      </c>
      <c r="C84" s="37" t="s">
        <v>35</v>
      </c>
      <c r="D84" s="38" t="n">
        <v>5008.154</v>
      </c>
      <c r="E84" s="38" t="n">
        <v>3180.43</v>
      </c>
      <c r="F84" s="38" t="n">
        <v>719963.588</v>
      </c>
      <c r="G84" s="38" t="n">
        <v>7492134.82</v>
      </c>
      <c r="H84" s="39" t="str">
        <f aca="false">IF(AND(ABS(D84+Resumo!$C$6-F84)&lt;=0.01,ABS(E84+Resumo!$C$7-G84)&lt;=0.01),"OK","VERIFICAR")</f>
        <v>OK</v>
      </c>
      <c r="I84" s="39" t="s">
        <v>21</v>
      </c>
      <c r="J84" s="39" t="s">
        <v>37</v>
      </c>
      <c r="K84" s="40" t="n">
        <v>18</v>
      </c>
      <c r="L84" s="31" t="s">
        <v>72</v>
      </c>
      <c r="M84" s="32"/>
      <c r="N84" s="31" t="s">
        <v>72</v>
      </c>
      <c r="O84" s="32"/>
      <c r="P84" s="31" t="s">
        <v>72</v>
      </c>
      <c r="Q84" s="32"/>
      <c r="R84" s="31" t="s">
        <v>72</v>
      </c>
      <c r="S84" s="32"/>
      <c r="T84" s="41" t="n">
        <f aca="false">(COUNTIF(L84,"CONCLUÍDO")+COUNTIF(N84,"CONCLUÍDO")+COUNTIF(P84,"CONCLUÍDO")+COUNTIF(R84,"CONCLUÍDO"))/4</f>
        <v>0</v>
      </c>
      <c r="U84" s="34"/>
    </row>
    <row r="85" customFormat="false" ht="15" hidden="false" customHeight="false" outlineLevel="0" collapsed="false">
      <c r="A85" s="25" t="n">
        <v>77</v>
      </c>
      <c r="B85" s="26" t="s">
        <v>280</v>
      </c>
      <c r="C85" s="27" t="s">
        <v>35</v>
      </c>
      <c r="D85" s="28" t="n">
        <v>5009.654</v>
      </c>
      <c r="E85" s="28" t="n">
        <v>3180.43</v>
      </c>
      <c r="F85" s="28" t="n">
        <v>719965.088</v>
      </c>
      <c r="G85" s="28" t="n">
        <v>7492134.82</v>
      </c>
      <c r="H85" s="29" t="str">
        <f aca="false">IF(AND(ABS(D85+Resumo!$C$6-F85)&lt;=0.01,ABS(E85+Resumo!$C$7-G85)&lt;=0.01),"OK","VERIFICAR")</f>
        <v>OK</v>
      </c>
      <c r="I85" s="29" t="s">
        <v>21</v>
      </c>
      <c r="J85" s="29" t="s">
        <v>37</v>
      </c>
      <c r="K85" s="30" t="n">
        <v>18</v>
      </c>
      <c r="L85" s="31" t="s">
        <v>72</v>
      </c>
      <c r="M85" s="32"/>
      <c r="N85" s="31" t="s">
        <v>72</v>
      </c>
      <c r="O85" s="32"/>
      <c r="P85" s="31" t="s">
        <v>72</v>
      </c>
      <c r="Q85" s="32"/>
      <c r="R85" s="31" t="s">
        <v>72</v>
      </c>
      <c r="S85" s="32"/>
      <c r="T85" s="33" t="n">
        <f aca="false">(COUNTIF(L85,"CONCLUÍDO")+COUNTIF(N85,"CONCLUÍDO")+COUNTIF(P85,"CONCLUÍDO")+COUNTIF(R85,"CONCLUÍDO"))/4</f>
        <v>0</v>
      </c>
      <c r="U85" s="34"/>
    </row>
    <row r="86" customFormat="false" ht="15" hidden="false" customHeight="false" outlineLevel="0" collapsed="false">
      <c r="A86" s="35" t="n">
        <v>78</v>
      </c>
      <c r="B86" s="36" t="s">
        <v>281</v>
      </c>
      <c r="C86" s="37" t="s">
        <v>35</v>
      </c>
      <c r="D86" s="38" t="n">
        <v>5011.154</v>
      </c>
      <c r="E86" s="38" t="n">
        <v>3180.43</v>
      </c>
      <c r="F86" s="38" t="n">
        <v>719966.588</v>
      </c>
      <c r="G86" s="38" t="n">
        <v>7492134.82</v>
      </c>
      <c r="H86" s="39" t="str">
        <f aca="false">IF(AND(ABS(D86+Resumo!$C$6-F86)&lt;=0.01,ABS(E86+Resumo!$C$7-G86)&lt;=0.01),"OK","VERIFICAR")</f>
        <v>OK</v>
      </c>
      <c r="I86" s="39" t="s">
        <v>21</v>
      </c>
      <c r="J86" s="39" t="s">
        <v>37</v>
      </c>
      <c r="K86" s="40" t="n">
        <v>18</v>
      </c>
      <c r="L86" s="31" t="s">
        <v>72</v>
      </c>
      <c r="M86" s="32"/>
      <c r="N86" s="31" t="s">
        <v>72</v>
      </c>
      <c r="O86" s="32"/>
      <c r="P86" s="31" t="s">
        <v>72</v>
      </c>
      <c r="Q86" s="32"/>
      <c r="R86" s="31" t="s">
        <v>72</v>
      </c>
      <c r="S86" s="32"/>
      <c r="T86" s="41" t="n">
        <f aca="false">(COUNTIF(L86,"CONCLUÍDO")+COUNTIF(N86,"CONCLUÍDO")+COUNTIF(P86,"CONCLUÍDO")+COUNTIF(R86,"CONCLUÍDO"))/4</f>
        <v>0</v>
      </c>
      <c r="U86" s="34"/>
    </row>
    <row r="87" customFormat="false" ht="15" hidden="false" customHeight="false" outlineLevel="0" collapsed="false">
      <c r="A87" s="25" t="n">
        <v>79</v>
      </c>
      <c r="B87" s="26" t="s">
        <v>282</v>
      </c>
      <c r="C87" s="27" t="s">
        <v>35</v>
      </c>
      <c r="D87" s="28" t="n">
        <v>5012.654</v>
      </c>
      <c r="E87" s="28" t="n">
        <v>3180.43</v>
      </c>
      <c r="F87" s="28" t="n">
        <v>719968.088</v>
      </c>
      <c r="G87" s="28" t="n">
        <v>7492134.82</v>
      </c>
      <c r="H87" s="29" t="str">
        <f aca="false">IF(AND(ABS(D87+Resumo!$C$6-F87)&lt;=0.01,ABS(E87+Resumo!$C$7-G87)&lt;=0.01),"OK","VERIFICAR")</f>
        <v>OK</v>
      </c>
      <c r="I87" s="29" t="s">
        <v>21</v>
      </c>
      <c r="J87" s="29" t="s">
        <v>37</v>
      </c>
      <c r="K87" s="30" t="n">
        <v>18</v>
      </c>
      <c r="L87" s="31" t="s">
        <v>72</v>
      </c>
      <c r="M87" s="32"/>
      <c r="N87" s="31" t="s">
        <v>72</v>
      </c>
      <c r="O87" s="32"/>
      <c r="P87" s="31" t="s">
        <v>72</v>
      </c>
      <c r="Q87" s="32"/>
      <c r="R87" s="31" t="s">
        <v>72</v>
      </c>
      <c r="S87" s="32"/>
      <c r="T87" s="33" t="n">
        <f aca="false">(COUNTIF(L87,"CONCLUÍDO")+COUNTIF(N87,"CONCLUÍDO")+COUNTIF(P87,"CONCLUÍDO")+COUNTIF(R87,"CONCLUÍDO"))/4</f>
        <v>0</v>
      </c>
      <c r="U87" s="34"/>
    </row>
    <row r="88" customFormat="false" ht="15" hidden="false" customHeight="false" outlineLevel="0" collapsed="false">
      <c r="A88" s="35" t="n">
        <v>80</v>
      </c>
      <c r="B88" s="36" t="s">
        <v>283</v>
      </c>
      <c r="C88" s="37" t="s">
        <v>35</v>
      </c>
      <c r="D88" s="38" t="n">
        <v>5014.154</v>
      </c>
      <c r="E88" s="38" t="n">
        <v>3180.43</v>
      </c>
      <c r="F88" s="38" t="n">
        <v>719969.588</v>
      </c>
      <c r="G88" s="38" t="n">
        <v>7492134.82</v>
      </c>
      <c r="H88" s="39" t="str">
        <f aca="false">IF(AND(ABS(D88+Resumo!$C$6-F88)&lt;=0.01,ABS(E88+Resumo!$C$7-G88)&lt;=0.01),"OK","VERIFICAR")</f>
        <v>OK</v>
      </c>
      <c r="I88" s="39" t="s">
        <v>21</v>
      </c>
      <c r="J88" s="39" t="s">
        <v>37</v>
      </c>
      <c r="K88" s="40" t="n">
        <v>18</v>
      </c>
      <c r="L88" s="31" t="s">
        <v>72</v>
      </c>
      <c r="M88" s="32"/>
      <c r="N88" s="31" t="s">
        <v>72</v>
      </c>
      <c r="O88" s="32"/>
      <c r="P88" s="31" t="s">
        <v>72</v>
      </c>
      <c r="Q88" s="32"/>
      <c r="R88" s="31" t="s">
        <v>72</v>
      </c>
      <c r="S88" s="32"/>
      <c r="T88" s="41" t="n">
        <f aca="false">(COUNTIF(L88,"CONCLUÍDO")+COUNTIF(N88,"CONCLUÍDO")+COUNTIF(P88,"CONCLUÍDO")+COUNTIF(R88,"CONCLUÍDO"))/4</f>
        <v>0</v>
      </c>
      <c r="U88" s="34"/>
    </row>
    <row r="89" customFormat="false" ht="15" hidden="false" customHeight="false" outlineLevel="0" collapsed="false">
      <c r="A89" s="25" t="n">
        <v>81</v>
      </c>
      <c r="B89" s="26" t="s">
        <v>284</v>
      </c>
      <c r="C89" s="27" t="s">
        <v>35</v>
      </c>
      <c r="D89" s="28" t="n">
        <v>5015.654</v>
      </c>
      <c r="E89" s="28" t="n">
        <v>3180.43</v>
      </c>
      <c r="F89" s="28" t="n">
        <v>719971.088</v>
      </c>
      <c r="G89" s="28" t="n">
        <v>7492134.82</v>
      </c>
      <c r="H89" s="29" t="str">
        <f aca="false">IF(AND(ABS(D89+Resumo!$C$6-F89)&lt;=0.01,ABS(E89+Resumo!$C$7-G89)&lt;=0.01),"OK","VERIFICAR")</f>
        <v>OK</v>
      </c>
      <c r="I89" s="29" t="s">
        <v>21</v>
      </c>
      <c r="J89" s="29" t="s">
        <v>37</v>
      </c>
      <c r="K89" s="30" t="n">
        <v>18</v>
      </c>
      <c r="L89" s="31" t="s">
        <v>72</v>
      </c>
      <c r="M89" s="32"/>
      <c r="N89" s="31" t="s">
        <v>72</v>
      </c>
      <c r="O89" s="32"/>
      <c r="P89" s="31" t="s">
        <v>72</v>
      </c>
      <c r="Q89" s="32"/>
      <c r="R89" s="31" t="s">
        <v>72</v>
      </c>
      <c r="S89" s="32"/>
      <c r="T89" s="33" t="n">
        <f aca="false">(COUNTIF(L89,"CONCLUÍDO")+COUNTIF(N89,"CONCLUÍDO")+COUNTIF(P89,"CONCLUÍDO")+COUNTIF(R89,"CONCLUÍDO"))/4</f>
        <v>0</v>
      </c>
      <c r="U89" s="34"/>
    </row>
    <row r="90" customFormat="false" ht="15" hidden="false" customHeight="false" outlineLevel="0" collapsed="false">
      <c r="A90" s="35" t="n">
        <v>82</v>
      </c>
      <c r="B90" s="36" t="s">
        <v>285</v>
      </c>
      <c r="C90" s="37" t="s">
        <v>35</v>
      </c>
      <c r="D90" s="38" t="n">
        <v>5017.154</v>
      </c>
      <c r="E90" s="38" t="n">
        <v>3180.43</v>
      </c>
      <c r="F90" s="38" t="n">
        <v>719972.588</v>
      </c>
      <c r="G90" s="38" t="n">
        <v>7492134.82</v>
      </c>
      <c r="H90" s="39" t="str">
        <f aca="false">IF(AND(ABS(D90+Resumo!$C$6-F90)&lt;=0.01,ABS(E90+Resumo!$C$7-G90)&lt;=0.01),"OK","VERIFICAR")</f>
        <v>OK</v>
      </c>
      <c r="I90" s="39" t="s">
        <v>21</v>
      </c>
      <c r="J90" s="39" t="s">
        <v>37</v>
      </c>
      <c r="K90" s="40" t="n">
        <v>18</v>
      </c>
      <c r="L90" s="31" t="s">
        <v>72</v>
      </c>
      <c r="M90" s="32"/>
      <c r="N90" s="31" t="s">
        <v>72</v>
      </c>
      <c r="O90" s="32"/>
      <c r="P90" s="31" t="s">
        <v>72</v>
      </c>
      <c r="Q90" s="32"/>
      <c r="R90" s="31" t="s">
        <v>72</v>
      </c>
      <c r="S90" s="32"/>
      <c r="T90" s="41" t="n">
        <f aca="false">(COUNTIF(L90,"CONCLUÍDO")+COUNTIF(N90,"CONCLUÍDO")+COUNTIF(P90,"CONCLUÍDO")+COUNTIF(R90,"CONCLUÍDO"))/4</f>
        <v>0</v>
      </c>
      <c r="U90" s="34"/>
    </row>
    <row r="91" customFormat="false" ht="15" hidden="false" customHeight="false" outlineLevel="0" collapsed="false">
      <c r="A91" s="25" t="n">
        <v>83</v>
      </c>
      <c r="B91" s="26" t="s">
        <v>286</v>
      </c>
      <c r="C91" s="27" t="s">
        <v>35</v>
      </c>
      <c r="D91" s="28" t="n">
        <v>5018.654</v>
      </c>
      <c r="E91" s="28" t="n">
        <v>3180.43</v>
      </c>
      <c r="F91" s="28" t="n">
        <v>719974.088</v>
      </c>
      <c r="G91" s="28" t="n">
        <v>7492134.82</v>
      </c>
      <c r="H91" s="29" t="str">
        <f aca="false">IF(AND(ABS(D91+Resumo!$C$6-F91)&lt;=0.01,ABS(E91+Resumo!$C$7-G91)&lt;=0.01),"OK","VERIFICAR")</f>
        <v>OK</v>
      </c>
      <c r="I91" s="29" t="s">
        <v>21</v>
      </c>
      <c r="J91" s="29" t="s">
        <v>37</v>
      </c>
      <c r="K91" s="30" t="n">
        <v>18</v>
      </c>
      <c r="L91" s="31" t="s">
        <v>72</v>
      </c>
      <c r="M91" s="32"/>
      <c r="N91" s="31" t="s">
        <v>72</v>
      </c>
      <c r="O91" s="32"/>
      <c r="P91" s="31" t="s">
        <v>72</v>
      </c>
      <c r="Q91" s="32"/>
      <c r="R91" s="31" t="s">
        <v>72</v>
      </c>
      <c r="S91" s="32"/>
      <c r="T91" s="33" t="n">
        <f aca="false">(COUNTIF(L91,"CONCLUÍDO")+COUNTIF(N91,"CONCLUÍDO")+COUNTIF(P91,"CONCLUÍDO")+COUNTIF(R91,"CONCLUÍDO"))/4</f>
        <v>0</v>
      </c>
      <c r="U91" s="34"/>
    </row>
    <row r="92" customFormat="false" ht="15" hidden="false" customHeight="false" outlineLevel="0" collapsed="false">
      <c r="A92" s="35" t="n">
        <v>84</v>
      </c>
      <c r="B92" s="36" t="s">
        <v>287</v>
      </c>
      <c r="C92" s="37" t="s">
        <v>35</v>
      </c>
      <c r="D92" s="38" t="n">
        <v>5020.154</v>
      </c>
      <c r="E92" s="38" t="n">
        <v>3180.43</v>
      </c>
      <c r="F92" s="38" t="n">
        <v>719975.588</v>
      </c>
      <c r="G92" s="38" t="n">
        <v>7492134.82</v>
      </c>
      <c r="H92" s="39" t="str">
        <f aca="false">IF(AND(ABS(D92+Resumo!$C$6-F92)&lt;=0.01,ABS(E92+Resumo!$C$7-G92)&lt;=0.01),"OK","VERIFICAR")</f>
        <v>OK</v>
      </c>
      <c r="I92" s="39" t="s">
        <v>21</v>
      </c>
      <c r="J92" s="39" t="s">
        <v>37</v>
      </c>
      <c r="K92" s="40" t="n">
        <v>18</v>
      </c>
      <c r="L92" s="31" t="s">
        <v>72</v>
      </c>
      <c r="M92" s="32"/>
      <c r="N92" s="31" t="s">
        <v>72</v>
      </c>
      <c r="O92" s="32"/>
      <c r="P92" s="31" t="s">
        <v>72</v>
      </c>
      <c r="Q92" s="32"/>
      <c r="R92" s="31" t="s">
        <v>72</v>
      </c>
      <c r="S92" s="32"/>
      <c r="T92" s="41" t="n">
        <f aca="false">(COUNTIF(L92,"CONCLUÍDO")+COUNTIF(N92,"CONCLUÍDO")+COUNTIF(P92,"CONCLUÍDO")+COUNTIF(R92,"CONCLUÍDO"))/4</f>
        <v>0</v>
      </c>
      <c r="U92" s="34"/>
    </row>
    <row r="93" customFormat="false" ht="15" hidden="false" customHeight="false" outlineLevel="0" collapsed="false">
      <c r="A93" s="25" t="n">
        <v>85</v>
      </c>
      <c r="B93" s="26" t="s">
        <v>288</v>
      </c>
      <c r="C93" s="27" t="s">
        <v>35</v>
      </c>
      <c r="D93" s="28" t="n">
        <v>5021.654</v>
      </c>
      <c r="E93" s="28" t="n">
        <v>3180.43</v>
      </c>
      <c r="F93" s="28" t="n">
        <v>719977.088</v>
      </c>
      <c r="G93" s="28" t="n">
        <v>7492134.82</v>
      </c>
      <c r="H93" s="29" t="str">
        <f aca="false">IF(AND(ABS(D93+Resumo!$C$6-F93)&lt;=0.01,ABS(E93+Resumo!$C$7-G93)&lt;=0.01),"OK","VERIFICAR")</f>
        <v>OK</v>
      </c>
      <c r="I93" s="29" t="s">
        <v>21</v>
      </c>
      <c r="J93" s="29" t="s">
        <v>37</v>
      </c>
      <c r="K93" s="30" t="n">
        <v>18</v>
      </c>
      <c r="L93" s="31" t="s">
        <v>72</v>
      </c>
      <c r="M93" s="32"/>
      <c r="N93" s="31" t="s">
        <v>72</v>
      </c>
      <c r="O93" s="32"/>
      <c r="P93" s="31" t="s">
        <v>72</v>
      </c>
      <c r="Q93" s="32"/>
      <c r="R93" s="31" t="s">
        <v>72</v>
      </c>
      <c r="S93" s="32"/>
      <c r="T93" s="33" t="n">
        <f aca="false">(COUNTIF(L93,"CONCLUÍDO")+COUNTIF(N93,"CONCLUÍDO")+COUNTIF(P93,"CONCLUÍDO")+COUNTIF(R93,"CONCLUÍDO"))/4</f>
        <v>0</v>
      </c>
      <c r="U93" s="34"/>
    </row>
    <row r="94" customFormat="false" ht="15" hidden="false" customHeight="false" outlineLevel="0" collapsed="false">
      <c r="A94" s="35" t="n">
        <v>86</v>
      </c>
      <c r="B94" s="36" t="s">
        <v>289</v>
      </c>
      <c r="C94" s="37" t="s">
        <v>35</v>
      </c>
      <c r="D94" s="38" t="n">
        <v>5006.654</v>
      </c>
      <c r="E94" s="38" t="n">
        <v>3178.93</v>
      </c>
      <c r="F94" s="38" t="n">
        <v>719962.088</v>
      </c>
      <c r="G94" s="38" t="n">
        <v>7492133.32</v>
      </c>
      <c r="H94" s="39" t="str">
        <f aca="false">IF(AND(ABS(D94+Resumo!$C$6-F94)&lt;=0.01,ABS(E94+Resumo!$C$7-G94)&lt;=0.01),"OK","VERIFICAR")</f>
        <v>OK</v>
      </c>
      <c r="I94" s="39" t="s">
        <v>21</v>
      </c>
      <c r="J94" s="39" t="s">
        <v>37</v>
      </c>
      <c r="K94" s="40" t="n">
        <v>18</v>
      </c>
      <c r="L94" s="31" t="s">
        <v>72</v>
      </c>
      <c r="M94" s="32"/>
      <c r="N94" s="31" t="s">
        <v>72</v>
      </c>
      <c r="O94" s="32"/>
      <c r="P94" s="31" t="s">
        <v>72</v>
      </c>
      <c r="Q94" s="32"/>
      <c r="R94" s="31" t="s">
        <v>72</v>
      </c>
      <c r="S94" s="32"/>
      <c r="T94" s="41" t="n">
        <f aca="false">(COUNTIF(L94,"CONCLUÍDO")+COUNTIF(N94,"CONCLUÍDO")+COUNTIF(P94,"CONCLUÍDO")+COUNTIF(R94,"CONCLUÍDO"))/4</f>
        <v>0</v>
      </c>
      <c r="U94" s="34"/>
    </row>
    <row r="95" customFormat="false" ht="15" hidden="false" customHeight="false" outlineLevel="0" collapsed="false">
      <c r="A95" s="25" t="n">
        <v>87</v>
      </c>
      <c r="B95" s="26" t="s">
        <v>290</v>
      </c>
      <c r="C95" s="27" t="s">
        <v>35</v>
      </c>
      <c r="D95" s="28" t="n">
        <v>5008.154</v>
      </c>
      <c r="E95" s="28" t="n">
        <v>3178.93</v>
      </c>
      <c r="F95" s="28" t="n">
        <v>719963.588</v>
      </c>
      <c r="G95" s="28" t="n">
        <v>7492133.32</v>
      </c>
      <c r="H95" s="29" t="str">
        <f aca="false">IF(AND(ABS(D95+Resumo!$C$6-F95)&lt;=0.01,ABS(E95+Resumo!$C$7-G95)&lt;=0.01),"OK","VERIFICAR")</f>
        <v>OK</v>
      </c>
      <c r="I95" s="29" t="s">
        <v>21</v>
      </c>
      <c r="J95" s="29" t="s">
        <v>37</v>
      </c>
      <c r="K95" s="30" t="n">
        <v>18</v>
      </c>
      <c r="L95" s="31" t="s">
        <v>72</v>
      </c>
      <c r="M95" s="32"/>
      <c r="N95" s="31" t="s">
        <v>72</v>
      </c>
      <c r="O95" s="32"/>
      <c r="P95" s="31" t="s">
        <v>72</v>
      </c>
      <c r="Q95" s="32"/>
      <c r="R95" s="31" t="s">
        <v>72</v>
      </c>
      <c r="S95" s="32"/>
      <c r="T95" s="33" t="n">
        <f aca="false">(COUNTIF(L95,"CONCLUÍDO")+COUNTIF(N95,"CONCLUÍDO")+COUNTIF(P95,"CONCLUÍDO")+COUNTIF(R95,"CONCLUÍDO"))/4</f>
        <v>0</v>
      </c>
      <c r="U95" s="34"/>
    </row>
    <row r="96" customFormat="false" ht="15" hidden="false" customHeight="false" outlineLevel="0" collapsed="false">
      <c r="A96" s="35" t="n">
        <v>88</v>
      </c>
      <c r="B96" s="36" t="s">
        <v>291</v>
      </c>
      <c r="C96" s="37" t="s">
        <v>35</v>
      </c>
      <c r="D96" s="38" t="n">
        <v>5009.654</v>
      </c>
      <c r="E96" s="38" t="n">
        <v>3178.93</v>
      </c>
      <c r="F96" s="38" t="n">
        <v>719965.088</v>
      </c>
      <c r="G96" s="38" t="n">
        <v>7492133.32</v>
      </c>
      <c r="H96" s="39" t="str">
        <f aca="false">IF(AND(ABS(D96+Resumo!$C$6-F96)&lt;=0.01,ABS(E96+Resumo!$C$7-G96)&lt;=0.01),"OK","VERIFICAR")</f>
        <v>OK</v>
      </c>
      <c r="I96" s="39" t="s">
        <v>21</v>
      </c>
      <c r="J96" s="39" t="s">
        <v>37</v>
      </c>
      <c r="K96" s="40" t="n">
        <v>18</v>
      </c>
      <c r="L96" s="31" t="s">
        <v>72</v>
      </c>
      <c r="M96" s="32"/>
      <c r="N96" s="31" t="s">
        <v>72</v>
      </c>
      <c r="O96" s="32"/>
      <c r="P96" s="31" t="s">
        <v>72</v>
      </c>
      <c r="Q96" s="32"/>
      <c r="R96" s="31" t="s">
        <v>72</v>
      </c>
      <c r="S96" s="32"/>
      <c r="T96" s="41" t="n">
        <f aca="false">(COUNTIF(L96,"CONCLUÍDO")+COUNTIF(N96,"CONCLUÍDO")+COUNTIF(P96,"CONCLUÍDO")+COUNTIF(R96,"CONCLUÍDO"))/4</f>
        <v>0</v>
      </c>
      <c r="U96" s="34"/>
    </row>
    <row r="97" customFormat="false" ht="15" hidden="false" customHeight="false" outlineLevel="0" collapsed="false">
      <c r="A97" s="25" t="n">
        <v>89</v>
      </c>
      <c r="B97" s="26" t="s">
        <v>292</v>
      </c>
      <c r="C97" s="27" t="s">
        <v>35</v>
      </c>
      <c r="D97" s="28" t="n">
        <v>5011.154</v>
      </c>
      <c r="E97" s="28" t="n">
        <v>3178.93</v>
      </c>
      <c r="F97" s="28" t="n">
        <v>719966.588</v>
      </c>
      <c r="G97" s="28" t="n">
        <v>7492133.32</v>
      </c>
      <c r="H97" s="29" t="str">
        <f aca="false">IF(AND(ABS(D97+Resumo!$C$6-F97)&lt;=0.01,ABS(E97+Resumo!$C$7-G97)&lt;=0.01),"OK","VERIFICAR")</f>
        <v>OK</v>
      </c>
      <c r="I97" s="29" t="s">
        <v>21</v>
      </c>
      <c r="J97" s="29" t="s">
        <v>37</v>
      </c>
      <c r="K97" s="30" t="n">
        <v>18</v>
      </c>
      <c r="L97" s="31" t="s">
        <v>72</v>
      </c>
      <c r="M97" s="32"/>
      <c r="N97" s="31" t="s">
        <v>72</v>
      </c>
      <c r="O97" s="32"/>
      <c r="P97" s="31" t="s">
        <v>72</v>
      </c>
      <c r="Q97" s="32"/>
      <c r="R97" s="31" t="s">
        <v>72</v>
      </c>
      <c r="S97" s="32"/>
      <c r="T97" s="33" t="n">
        <f aca="false">(COUNTIF(L97,"CONCLUÍDO")+COUNTIF(N97,"CONCLUÍDO")+COUNTIF(P97,"CONCLUÍDO")+COUNTIF(R97,"CONCLUÍDO"))/4</f>
        <v>0</v>
      </c>
      <c r="U97" s="34"/>
    </row>
    <row r="98" customFormat="false" ht="15" hidden="false" customHeight="false" outlineLevel="0" collapsed="false">
      <c r="A98" s="35" t="n">
        <v>90</v>
      </c>
      <c r="B98" s="36" t="s">
        <v>293</v>
      </c>
      <c r="C98" s="37" t="s">
        <v>35</v>
      </c>
      <c r="D98" s="38" t="n">
        <v>5012.654</v>
      </c>
      <c r="E98" s="38" t="n">
        <v>3178.93</v>
      </c>
      <c r="F98" s="38" t="n">
        <v>719968.088</v>
      </c>
      <c r="G98" s="38" t="n">
        <v>7492133.32</v>
      </c>
      <c r="H98" s="39" t="str">
        <f aca="false">IF(AND(ABS(D98+Resumo!$C$6-F98)&lt;=0.01,ABS(E98+Resumo!$C$7-G98)&lt;=0.01),"OK","VERIFICAR")</f>
        <v>OK</v>
      </c>
      <c r="I98" s="39" t="s">
        <v>21</v>
      </c>
      <c r="J98" s="39" t="s">
        <v>37</v>
      </c>
      <c r="K98" s="40" t="n">
        <v>18</v>
      </c>
      <c r="L98" s="31" t="s">
        <v>72</v>
      </c>
      <c r="M98" s="32"/>
      <c r="N98" s="31" t="s">
        <v>72</v>
      </c>
      <c r="O98" s="32"/>
      <c r="P98" s="31" t="s">
        <v>72</v>
      </c>
      <c r="Q98" s="32"/>
      <c r="R98" s="31" t="s">
        <v>72</v>
      </c>
      <c r="S98" s="32"/>
      <c r="T98" s="41" t="n">
        <f aca="false">(COUNTIF(L98,"CONCLUÍDO")+COUNTIF(N98,"CONCLUÍDO")+COUNTIF(P98,"CONCLUÍDO")+COUNTIF(R98,"CONCLUÍDO"))/4</f>
        <v>0</v>
      </c>
      <c r="U98" s="34"/>
    </row>
    <row r="99" customFormat="false" ht="15" hidden="false" customHeight="false" outlineLevel="0" collapsed="false">
      <c r="A99" s="25" t="n">
        <v>91</v>
      </c>
      <c r="B99" s="26" t="s">
        <v>294</v>
      </c>
      <c r="C99" s="27" t="s">
        <v>35</v>
      </c>
      <c r="D99" s="28" t="n">
        <v>5014.154</v>
      </c>
      <c r="E99" s="28" t="n">
        <v>3178.93</v>
      </c>
      <c r="F99" s="28" t="n">
        <v>719969.588</v>
      </c>
      <c r="G99" s="28" t="n">
        <v>7492133.32</v>
      </c>
      <c r="H99" s="29" t="str">
        <f aca="false">IF(AND(ABS(D99+Resumo!$C$6-F99)&lt;=0.01,ABS(E99+Resumo!$C$7-G99)&lt;=0.01),"OK","VERIFICAR")</f>
        <v>OK</v>
      </c>
      <c r="I99" s="29" t="s">
        <v>21</v>
      </c>
      <c r="J99" s="29" t="s">
        <v>37</v>
      </c>
      <c r="K99" s="30" t="n">
        <v>18</v>
      </c>
      <c r="L99" s="31" t="s">
        <v>72</v>
      </c>
      <c r="M99" s="32"/>
      <c r="N99" s="31" t="s">
        <v>72</v>
      </c>
      <c r="O99" s="32"/>
      <c r="P99" s="31" t="s">
        <v>72</v>
      </c>
      <c r="Q99" s="32"/>
      <c r="R99" s="31" t="s">
        <v>72</v>
      </c>
      <c r="S99" s="32"/>
      <c r="T99" s="33" t="n">
        <f aca="false">(COUNTIF(L99,"CONCLUÍDO")+COUNTIF(N99,"CONCLUÍDO")+COUNTIF(P99,"CONCLUÍDO")+COUNTIF(R99,"CONCLUÍDO"))/4</f>
        <v>0</v>
      </c>
      <c r="U99" s="34"/>
    </row>
    <row r="100" customFormat="false" ht="15" hidden="false" customHeight="false" outlineLevel="0" collapsed="false">
      <c r="A100" s="35" t="n">
        <v>92</v>
      </c>
      <c r="B100" s="36" t="s">
        <v>295</v>
      </c>
      <c r="C100" s="37" t="s">
        <v>35</v>
      </c>
      <c r="D100" s="38" t="n">
        <v>5015.654</v>
      </c>
      <c r="E100" s="38" t="n">
        <v>3178.93</v>
      </c>
      <c r="F100" s="38" t="n">
        <v>719971.088</v>
      </c>
      <c r="G100" s="38" t="n">
        <v>7492133.32</v>
      </c>
      <c r="H100" s="39" t="str">
        <f aca="false">IF(AND(ABS(D100+Resumo!$C$6-F100)&lt;=0.01,ABS(E100+Resumo!$C$7-G100)&lt;=0.01),"OK","VERIFICAR")</f>
        <v>OK</v>
      </c>
      <c r="I100" s="39" t="s">
        <v>21</v>
      </c>
      <c r="J100" s="39" t="s">
        <v>37</v>
      </c>
      <c r="K100" s="40" t="n">
        <v>18</v>
      </c>
      <c r="L100" s="31" t="s">
        <v>72</v>
      </c>
      <c r="M100" s="32"/>
      <c r="N100" s="31" t="s">
        <v>72</v>
      </c>
      <c r="O100" s="32"/>
      <c r="P100" s="31" t="s">
        <v>72</v>
      </c>
      <c r="Q100" s="32"/>
      <c r="R100" s="31" t="s">
        <v>72</v>
      </c>
      <c r="S100" s="32"/>
      <c r="T100" s="41" t="n">
        <f aca="false">(COUNTIF(L100,"CONCLUÍDO")+COUNTIF(N100,"CONCLUÍDO")+COUNTIF(P100,"CONCLUÍDO")+COUNTIF(R100,"CONCLUÍDO"))/4</f>
        <v>0</v>
      </c>
      <c r="U100" s="34"/>
    </row>
    <row r="101" customFormat="false" ht="15" hidden="false" customHeight="false" outlineLevel="0" collapsed="false">
      <c r="A101" s="25" t="n">
        <v>93</v>
      </c>
      <c r="B101" s="26" t="s">
        <v>296</v>
      </c>
      <c r="C101" s="27" t="s">
        <v>35</v>
      </c>
      <c r="D101" s="28" t="n">
        <v>5017.154</v>
      </c>
      <c r="E101" s="28" t="n">
        <v>3178.93</v>
      </c>
      <c r="F101" s="28" t="n">
        <v>719972.588</v>
      </c>
      <c r="G101" s="28" t="n">
        <v>7492133.32</v>
      </c>
      <c r="H101" s="29" t="str">
        <f aca="false">IF(AND(ABS(D101+Resumo!$C$6-F101)&lt;=0.01,ABS(E101+Resumo!$C$7-G101)&lt;=0.01),"OK","VERIFICAR")</f>
        <v>OK</v>
      </c>
      <c r="I101" s="29" t="s">
        <v>21</v>
      </c>
      <c r="J101" s="29" t="s">
        <v>37</v>
      </c>
      <c r="K101" s="30" t="n">
        <v>18</v>
      </c>
      <c r="L101" s="31" t="s">
        <v>72</v>
      </c>
      <c r="M101" s="32"/>
      <c r="N101" s="31" t="s">
        <v>72</v>
      </c>
      <c r="O101" s="32"/>
      <c r="P101" s="31" t="s">
        <v>72</v>
      </c>
      <c r="Q101" s="32"/>
      <c r="R101" s="31" t="s">
        <v>72</v>
      </c>
      <c r="S101" s="32"/>
      <c r="T101" s="33" t="n">
        <f aca="false">(COUNTIF(L101,"CONCLUÍDO")+COUNTIF(N101,"CONCLUÍDO")+COUNTIF(P101,"CONCLUÍDO")+COUNTIF(R101,"CONCLUÍDO"))/4</f>
        <v>0</v>
      </c>
      <c r="U101" s="34"/>
    </row>
    <row r="102" customFormat="false" ht="15" hidden="false" customHeight="false" outlineLevel="0" collapsed="false">
      <c r="A102" s="35" t="n">
        <v>94</v>
      </c>
      <c r="B102" s="36" t="s">
        <v>297</v>
      </c>
      <c r="C102" s="37" t="s">
        <v>35</v>
      </c>
      <c r="D102" s="38" t="n">
        <v>5018.654</v>
      </c>
      <c r="E102" s="38" t="n">
        <v>3178.93</v>
      </c>
      <c r="F102" s="38" t="n">
        <v>719974.088</v>
      </c>
      <c r="G102" s="38" t="n">
        <v>7492133.32</v>
      </c>
      <c r="H102" s="39" t="str">
        <f aca="false">IF(AND(ABS(D102+Resumo!$C$6-F102)&lt;=0.01,ABS(E102+Resumo!$C$7-G102)&lt;=0.01),"OK","VERIFICAR")</f>
        <v>OK</v>
      </c>
      <c r="I102" s="39" t="s">
        <v>21</v>
      </c>
      <c r="J102" s="39" t="s">
        <v>37</v>
      </c>
      <c r="K102" s="40" t="n">
        <v>18</v>
      </c>
      <c r="L102" s="31" t="s">
        <v>72</v>
      </c>
      <c r="M102" s="32"/>
      <c r="N102" s="31" t="s">
        <v>72</v>
      </c>
      <c r="O102" s="32"/>
      <c r="P102" s="31" t="s">
        <v>72</v>
      </c>
      <c r="Q102" s="32"/>
      <c r="R102" s="31" t="s">
        <v>72</v>
      </c>
      <c r="S102" s="32"/>
      <c r="T102" s="41" t="n">
        <f aca="false">(COUNTIF(L102,"CONCLUÍDO")+COUNTIF(N102,"CONCLUÍDO")+COUNTIF(P102,"CONCLUÍDO")+COUNTIF(R102,"CONCLUÍDO"))/4</f>
        <v>0</v>
      </c>
      <c r="U102" s="34"/>
    </row>
    <row r="103" customFormat="false" ht="15" hidden="false" customHeight="false" outlineLevel="0" collapsed="false">
      <c r="A103" s="25" t="n">
        <v>95</v>
      </c>
      <c r="B103" s="26" t="s">
        <v>298</v>
      </c>
      <c r="C103" s="27" t="s">
        <v>35</v>
      </c>
      <c r="D103" s="28" t="n">
        <v>5020.154</v>
      </c>
      <c r="E103" s="28" t="n">
        <v>3178.93</v>
      </c>
      <c r="F103" s="28" t="n">
        <v>719975.588</v>
      </c>
      <c r="G103" s="28" t="n">
        <v>7492133.32</v>
      </c>
      <c r="H103" s="29" t="str">
        <f aca="false">IF(AND(ABS(D103+Resumo!$C$6-F103)&lt;=0.01,ABS(E103+Resumo!$C$7-G103)&lt;=0.01),"OK","VERIFICAR")</f>
        <v>OK</v>
      </c>
      <c r="I103" s="29" t="s">
        <v>21</v>
      </c>
      <c r="J103" s="29" t="s">
        <v>37</v>
      </c>
      <c r="K103" s="30" t="n">
        <v>18</v>
      </c>
      <c r="L103" s="31" t="s">
        <v>72</v>
      </c>
      <c r="M103" s="32"/>
      <c r="N103" s="31" t="s">
        <v>72</v>
      </c>
      <c r="O103" s="32"/>
      <c r="P103" s="31" t="s">
        <v>72</v>
      </c>
      <c r="Q103" s="32"/>
      <c r="R103" s="31" t="s">
        <v>72</v>
      </c>
      <c r="S103" s="32"/>
      <c r="T103" s="33" t="n">
        <f aca="false">(COUNTIF(L103,"CONCLUÍDO")+COUNTIF(N103,"CONCLUÍDO")+COUNTIF(P103,"CONCLUÍDO")+COUNTIF(R103,"CONCLUÍDO"))/4</f>
        <v>0</v>
      </c>
      <c r="U103" s="34"/>
    </row>
    <row r="104" customFormat="false" ht="15" hidden="false" customHeight="false" outlineLevel="0" collapsed="false">
      <c r="A104" s="35" t="n">
        <v>96</v>
      </c>
      <c r="B104" s="36" t="s">
        <v>299</v>
      </c>
      <c r="C104" s="37" t="s">
        <v>35</v>
      </c>
      <c r="D104" s="38" t="n">
        <v>5021.654</v>
      </c>
      <c r="E104" s="38" t="n">
        <v>3178.93</v>
      </c>
      <c r="F104" s="38" t="n">
        <v>719977.088</v>
      </c>
      <c r="G104" s="38" t="n">
        <v>7492133.32</v>
      </c>
      <c r="H104" s="39" t="str">
        <f aca="false">IF(AND(ABS(D104+Resumo!$C$6-F104)&lt;=0.01,ABS(E104+Resumo!$C$7-G104)&lt;=0.01),"OK","VERIFICAR")</f>
        <v>OK</v>
      </c>
      <c r="I104" s="39" t="s">
        <v>21</v>
      </c>
      <c r="J104" s="39" t="s">
        <v>37</v>
      </c>
      <c r="K104" s="40" t="n">
        <v>18</v>
      </c>
      <c r="L104" s="31" t="s">
        <v>72</v>
      </c>
      <c r="M104" s="32"/>
      <c r="N104" s="31" t="s">
        <v>72</v>
      </c>
      <c r="O104" s="32"/>
      <c r="P104" s="31" t="s">
        <v>72</v>
      </c>
      <c r="Q104" s="32"/>
      <c r="R104" s="31" t="s">
        <v>72</v>
      </c>
      <c r="S104" s="32"/>
      <c r="T104" s="41" t="n">
        <f aca="false">(COUNTIF(L104,"CONCLUÍDO")+COUNTIF(N104,"CONCLUÍDO")+COUNTIF(P104,"CONCLUÍDO")+COUNTIF(R104,"CONCLUÍDO"))/4</f>
        <v>0</v>
      </c>
      <c r="U104" s="34"/>
    </row>
    <row r="105" customFormat="false" ht="15" hidden="false" customHeight="false" outlineLevel="0" collapsed="false">
      <c r="A105" s="42" t="s">
        <v>50</v>
      </c>
      <c r="B105" s="42"/>
      <c r="C105" s="42"/>
      <c r="D105" s="43" t="n">
        <f aca="false">COUNTA(B9:B104)</f>
        <v>96</v>
      </c>
      <c r="E105" s="44" t="s">
        <v>161</v>
      </c>
      <c r="F105" s="45"/>
      <c r="G105" s="45"/>
      <c r="H105" s="45"/>
      <c r="I105" s="45"/>
      <c r="J105" s="45"/>
      <c r="K105" s="45"/>
      <c r="L105" s="46" t="str">
        <f aca="false">COUNTIF(L9:L104,"CONCLUÍDO")&amp;" / "&amp;COUNTA(B9:B104)</f>
        <v>0 / 96</v>
      </c>
      <c r="M105" s="45"/>
      <c r="N105" s="46" t="str">
        <f aca="false">COUNTIF(N9:N104,"CONCLUÍDO")&amp;" / "&amp;COUNTA(B9:B104)</f>
        <v>0 / 96</v>
      </c>
      <c r="O105" s="45"/>
      <c r="P105" s="46" t="str">
        <f aca="false">COUNTIF(P9:P104,"CONCLUÍDO")&amp;" / "&amp;COUNTA(B9:B104)</f>
        <v>0 / 96</v>
      </c>
      <c r="Q105" s="45"/>
      <c r="R105" s="46" t="str">
        <f aca="false">COUNTIF(R9:R104,"CONCLUÍDO")&amp;" / "&amp;COUNTA(B9:B104)</f>
        <v>0 / 96</v>
      </c>
      <c r="S105" s="45"/>
      <c r="T105" s="47" t="n">
        <f aca="false">AVERAGE(T9:T104)</f>
        <v>0</v>
      </c>
      <c r="U105" s="45"/>
    </row>
  </sheetData>
  <autoFilter ref="A8:U104"/>
  <mergeCells count="25">
    <mergeCell ref="A1:U1"/>
    <mergeCell ref="A2:U2"/>
    <mergeCell ref="A3:U3"/>
    <mergeCell ref="A4:U4"/>
    <mergeCell ref="A6:A8"/>
    <mergeCell ref="B6:B8"/>
    <mergeCell ref="C6:C8"/>
    <mergeCell ref="D6:G6"/>
    <mergeCell ref="H6:H8"/>
    <mergeCell ref="I6:K6"/>
    <mergeCell ref="L6:S6"/>
    <mergeCell ref="T6:T8"/>
    <mergeCell ref="U6:U8"/>
    <mergeCell ref="D7:D8"/>
    <mergeCell ref="E7:E8"/>
    <mergeCell ref="F7:F8"/>
    <mergeCell ref="G7:G8"/>
    <mergeCell ref="I7:I8"/>
    <mergeCell ref="J7:J8"/>
    <mergeCell ref="K7:K8"/>
    <mergeCell ref="L7:M7"/>
    <mergeCell ref="N7:O7"/>
    <mergeCell ref="P7:Q7"/>
    <mergeCell ref="R7:S7"/>
    <mergeCell ref="A105:C105"/>
  </mergeCells>
  <conditionalFormatting sqref="L9:L104">
    <cfRule type="cellIs" priority="2" operator="equal" aboveAverage="0" equalAverage="0" bottom="0" percent="0" rank="0" text="" dxfId="9">
      <formula>"CONCLUÍDO"</formula>
    </cfRule>
    <cfRule type="cellIs" priority="3" operator="equal" aboveAverage="0" equalAverage="0" bottom="0" percent="0" rank="0" text="" dxfId="10">
      <formula>"EM ANDAMENTO"</formula>
    </cfRule>
    <cfRule type="cellIs" priority="4" operator="equal" aboveAverage="0" equalAverage="0" bottom="0" percent="0" rank="0" text="" dxfId="11">
      <formula>"NÃO INICIADO"</formula>
    </cfRule>
  </conditionalFormatting>
  <conditionalFormatting sqref="N9:N104">
    <cfRule type="cellIs" priority="5" operator="equal" aboveAverage="0" equalAverage="0" bottom="0" percent="0" rank="0" text="" dxfId="9">
      <formula>"CONCLUÍDO"</formula>
    </cfRule>
    <cfRule type="cellIs" priority="6" operator="equal" aboveAverage="0" equalAverage="0" bottom="0" percent="0" rank="0" text="" dxfId="10">
      <formula>"EM ANDAMENTO"</formula>
    </cfRule>
    <cfRule type="cellIs" priority="7" operator="equal" aboveAverage="0" equalAverage="0" bottom="0" percent="0" rank="0" text="" dxfId="11">
      <formula>"NÃO INICIADO"</formula>
    </cfRule>
  </conditionalFormatting>
  <conditionalFormatting sqref="P9:P104">
    <cfRule type="cellIs" priority="8" operator="equal" aboveAverage="0" equalAverage="0" bottom="0" percent="0" rank="0" text="" dxfId="9">
      <formula>"CONCLUÍDO"</formula>
    </cfRule>
    <cfRule type="cellIs" priority="9" operator="equal" aboveAverage="0" equalAverage="0" bottom="0" percent="0" rank="0" text="" dxfId="10">
      <formula>"EM ANDAMENTO"</formula>
    </cfRule>
    <cfRule type="cellIs" priority="10" operator="equal" aboveAverage="0" equalAverage="0" bottom="0" percent="0" rank="0" text="" dxfId="11">
      <formula>"NÃO INICIADO"</formula>
    </cfRule>
  </conditionalFormatting>
  <conditionalFormatting sqref="R9:R104">
    <cfRule type="cellIs" priority="11" operator="equal" aboveAverage="0" equalAverage="0" bottom="0" percent="0" rank="0" text="" dxfId="9">
      <formula>"CONCLUÍDO"</formula>
    </cfRule>
    <cfRule type="cellIs" priority="12" operator="equal" aboveAverage="0" equalAverage="0" bottom="0" percent="0" rank="0" text="" dxfId="10">
      <formula>"EM ANDAMENTO"</formula>
    </cfRule>
    <cfRule type="cellIs" priority="13" operator="equal" aboveAverage="0" equalAverage="0" bottom="0" percent="0" rank="0" text="" dxfId="11">
      <formula>"NÃO INICIADO"</formula>
    </cfRule>
  </conditionalFormatting>
  <conditionalFormatting sqref="H9:H104">
    <cfRule type="cellIs" priority="14" operator="equal" aboveAverage="0" equalAverage="0" bottom="0" percent="0" rank="0" text="" dxfId="12">
      <formula>"VERIFICAR"</formula>
    </cfRule>
  </conditionalFormatting>
  <dataValidations count="1">
    <dataValidation allowBlank="false" error="Selecione: NÃO INICIADO, EM ANDAMENTO, CONCLUÍDO ou N/A" errorStyle="stop" errorTitle="Status inválido" operator="between" prompt="Escolha o status da etapa" promptTitle="Status" showDropDown="false" showErrorMessage="false" showInputMessage="false" sqref="L9:L104 N9:N104 P9:P104 R9:R104" type="list">
      <formula1>"NÃO INICIADO,EM ANDAMENTO,CONCLUÍDO,N/A"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7" min="6" style="0" width="17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5"/>
    <col collapsed="false" customWidth="true" hidden="false" outlineLevel="0" max="15" min="15" style="0" width="11"/>
    <col collapsed="false" customWidth="true" hidden="false" outlineLevel="0" max="16" min="16" style="0" width="15"/>
    <col collapsed="false" customWidth="true" hidden="false" outlineLevel="0" max="17" min="17" style="0" width="11"/>
    <col collapsed="false" customWidth="true" hidden="false" outlineLevel="0" max="18" min="18" style="0" width="15"/>
    <col collapsed="false" customWidth="true" hidden="false" outlineLevel="0" max="19" min="19" style="0" width="11"/>
    <col collapsed="false" customWidth="true" hidden="false" outlineLevel="0" max="20" min="20" style="0" width="10"/>
    <col collapsed="false" customWidth="true" hidden="false" outlineLevel="0" max="21" min="21" style="0" width="34"/>
  </cols>
  <sheetData>
    <row r="1" customFormat="false" ht="27.75" hidden="false" customHeight="true" outlineLevel="0" collapsed="false">
      <c r="A1" s="1" t="s">
        <v>300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false" outlineLevel="0" collapsed="false">
      <c r="A2" s="19" t="s">
        <v>301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customFormat="false" ht="15" hidden="false" customHeight="false" outlineLevel="0" collapsed="false">
      <c r="A3" s="20" t="s">
        <v>81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customFormat="false" ht="15" hidden="false" customHeight="false" outlineLevel="0" collapsed="false">
      <c r="A4" s="20" t="s">
        <v>82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6" customFormat="false" ht="19.5" hidden="false" customHeight="true" outlineLevel="0" collapsed="false">
      <c r="A6" s="21" t="s">
        <v>83</v>
      </c>
      <c r="B6" s="21" t="s">
        <v>84</v>
      </c>
      <c r="C6" s="21" t="s">
        <v>10</v>
      </c>
      <c r="D6" s="22" t="s">
        <v>85</v>
      </c>
      <c r="E6" s="22"/>
      <c r="F6" s="22"/>
      <c r="G6" s="22"/>
      <c r="H6" s="21" t="s">
        <v>86</v>
      </c>
      <c r="I6" s="22" t="s">
        <v>87</v>
      </c>
      <c r="J6" s="22"/>
      <c r="K6" s="22"/>
      <c r="L6" s="22" t="s">
        <v>88</v>
      </c>
      <c r="M6" s="22"/>
      <c r="N6" s="22"/>
      <c r="O6" s="22"/>
      <c r="P6" s="22"/>
      <c r="Q6" s="22"/>
      <c r="R6" s="22"/>
      <c r="S6" s="22"/>
      <c r="T6" s="21" t="s">
        <v>89</v>
      </c>
      <c r="U6" s="21" t="s">
        <v>90</v>
      </c>
    </row>
    <row r="7" customFormat="false" ht="19.5" hidden="false" customHeight="true" outlineLevel="0" collapsed="false">
      <c r="A7" s="21"/>
      <c r="B7" s="21"/>
      <c r="C7" s="21"/>
      <c r="D7" s="21" t="s">
        <v>91</v>
      </c>
      <c r="E7" s="21" t="s">
        <v>92</v>
      </c>
      <c r="F7" s="21" t="s">
        <v>93</v>
      </c>
      <c r="G7" s="21" t="s">
        <v>94</v>
      </c>
      <c r="H7" s="21"/>
      <c r="I7" s="21" t="s">
        <v>12</v>
      </c>
      <c r="J7" s="21" t="s">
        <v>95</v>
      </c>
      <c r="K7" s="21" t="s">
        <v>96</v>
      </c>
      <c r="L7" s="23" t="s">
        <v>53</v>
      </c>
      <c r="M7" s="23"/>
      <c r="N7" s="23" t="s">
        <v>54</v>
      </c>
      <c r="O7" s="23"/>
      <c r="P7" s="23" t="s">
        <v>55</v>
      </c>
      <c r="Q7" s="23"/>
      <c r="R7" s="23" t="s">
        <v>56</v>
      </c>
      <c r="S7" s="23"/>
      <c r="T7" s="21"/>
      <c r="U7" s="21"/>
    </row>
    <row r="8" customFormat="false" ht="25.5" hidden="false" customHeight="true" outlineLevel="0" collapsed="false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4" t="s">
        <v>97</v>
      </c>
      <c r="M8" s="24" t="s">
        <v>66</v>
      </c>
      <c r="N8" s="24" t="s">
        <v>97</v>
      </c>
      <c r="O8" s="24" t="s">
        <v>66</v>
      </c>
      <c r="P8" s="24" t="s">
        <v>97</v>
      </c>
      <c r="Q8" s="24" t="s">
        <v>66</v>
      </c>
      <c r="R8" s="24" t="s">
        <v>97</v>
      </c>
      <c r="S8" s="24" t="s">
        <v>66</v>
      </c>
      <c r="T8" s="21"/>
      <c r="U8" s="21"/>
    </row>
    <row r="9" customFormat="false" ht="15" hidden="false" customHeight="false" outlineLevel="0" collapsed="false">
      <c r="A9" s="25" t="n">
        <v>1</v>
      </c>
      <c r="B9" s="26" t="s">
        <v>302</v>
      </c>
      <c r="C9" s="27" t="s">
        <v>41</v>
      </c>
      <c r="D9" s="28" t="n">
        <v>5054.2</v>
      </c>
      <c r="E9" s="28" t="n">
        <v>3216.33</v>
      </c>
      <c r="F9" s="28" t="n">
        <v>720009.627</v>
      </c>
      <c r="G9" s="28" t="n">
        <v>7492170.722</v>
      </c>
      <c r="H9" s="29" t="str">
        <f aca="false">IF(AND(ABS(D9+Resumo!$C$6-F9)&lt;=0.01,ABS(E9+Resumo!$C$7-G9)&lt;=0.01),"OK","VERIFICAR")</f>
        <v>OK</v>
      </c>
      <c r="I9" s="29" t="s">
        <v>21</v>
      </c>
      <c r="J9" s="29" t="s">
        <v>43</v>
      </c>
      <c r="K9" s="30" t="n">
        <v>12</v>
      </c>
      <c r="L9" s="31" t="s">
        <v>72</v>
      </c>
      <c r="M9" s="32"/>
      <c r="N9" s="31" t="s">
        <v>72</v>
      </c>
      <c r="O9" s="32"/>
      <c r="P9" s="31" t="s">
        <v>72</v>
      </c>
      <c r="Q9" s="32"/>
      <c r="R9" s="31" t="s">
        <v>72</v>
      </c>
      <c r="S9" s="32"/>
      <c r="T9" s="33" t="n">
        <f aca="false">(COUNTIF(L9,"CONCLUÍDO")+COUNTIF(N9,"CONCLUÍDO")+COUNTIF(P9,"CONCLUÍDO")+COUNTIF(R9,"CONCLUÍDO"))/4</f>
        <v>0</v>
      </c>
      <c r="U9" s="34"/>
    </row>
    <row r="10" customFormat="false" ht="15" hidden="false" customHeight="false" outlineLevel="0" collapsed="false">
      <c r="A10" s="35" t="n">
        <v>2</v>
      </c>
      <c r="B10" s="36" t="s">
        <v>303</v>
      </c>
      <c r="C10" s="37" t="s">
        <v>41</v>
      </c>
      <c r="D10" s="38" t="n">
        <v>5055.72</v>
      </c>
      <c r="E10" s="38" t="n">
        <v>3216.33</v>
      </c>
      <c r="F10" s="38" t="n">
        <v>720011.149</v>
      </c>
      <c r="G10" s="38" t="n">
        <v>7492170.722</v>
      </c>
      <c r="H10" s="39" t="str">
        <f aca="false">IF(AND(ABS(D10+Resumo!$C$6-F10)&lt;=0.01,ABS(E10+Resumo!$C$7-G10)&lt;=0.01),"OK","VERIFICAR")</f>
        <v>OK</v>
      </c>
      <c r="I10" s="39" t="s">
        <v>21</v>
      </c>
      <c r="J10" s="39" t="s">
        <v>43</v>
      </c>
      <c r="K10" s="40" t="n">
        <v>12</v>
      </c>
      <c r="L10" s="31" t="s">
        <v>72</v>
      </c>
      <c r="M10" s="32"/>
      <c r="N10" s="31" t="s">
        <v>72</v>
      </c>
      <c r="O10" s="32"/>
      <c r="P10" s="31" t="s">
        <v>72</v>
      </c>
      <c r="Q10" s="32"/>
      <c r="R10" s="31" t="s">
        <v>72</v>
      </c>
      <c r="S10" s="32"/>
      <c r="T10" s="41" t="n">
        <f aca="false">(COUNTIF(L10,"CONCLUÍDO")+COUNTIF(N10,"CONCLUÍDO")+COUNTIF(P10,"CONCLUÍDO")+COUNTIF(R10,"CONCLUÍDO"))/4</f>
        <v>0</v>
      </c>
      <c r="U10" s="34"/>
    </row>
    <row r="11" customFormat="false" ht="15" hidden="false" customHeight="false" outlineLevel="0" collapsed="false">
      <c r="A11" s="25" t="n">
        <v>3</v>
      </c>
      <c r="B11" s="26" t="s">
        <v>304</v>
      </c>
      <c r="C11" s="27" t="s">
        <v>41</v>
      </c>
      <c r="D11" s="28" t="n">
        <v>5053.44</v>
      </c>
      <c r="E11" s="28" t="n">
        <v>3215.01</v>
      </c>
      <c r="F11" s="28" t="n">
        <v>720008.865</v>
      </c>
      <c r="G11" s="28" t="n">
        <v>7492169.403</v>
      </c>
      <c r="H11" s="29" t="str">
        <f aca="false">IF(AND(ABS(D11+Resumo!$C$6-F11)&lt;=0.01,ABS(E11+Resumo!$C$7-G11)&lt;=0.01),"OK","VERIFICAR")</f>
        <v>OK</v>
      </c>
      <c r="I11" s="29" t="s">
        <v>21</v>
      </c>
      <c r="J11" s="29" t="s">
        <v>43</v>
      </c>
      <c r="K11" s="30" t="n">
        <v>12</v>
      </c>
      <c r="L11" s="31" t="s">
        <v>72</v>
      </c>
      <c r="M11" s="32"/>
      <c r="N11" s="31" t="s">
        <v>72</v>
      </c>
      <c r="O11" s="32"/>
      <c r="P11" s="31" t="s">
        <v>72</v>
      </c>
      <c r="Q11" s="32"/>
      <c r="R11" s="31" t="s">
        <v>72</v>
      </c>
      <c r="S11" s="32"/>
      <c r="T11" s="33" t="n">
        <f aca="false">(COUNTIF(L11,"CONCLUÍDO")+COUNTIF(N11,"CONCLUÍDO")+COUNTIF(P11,"CONCLUÍDO")+COUNTIF(R11,"CONCLUÍDO"))/4</f>
        <v>0</v>
      </c>
      <c r="U11" s="34"/>
    </row>
    <row r="12" customFormat="false" ht="15" hidden="false" customHeight="false" outlineLevel="0" collapsed="false">
      <c r="A12" s="35" t="n">
        <v>4</v>
      </c>
      <c r="B12" s="36" t="s">
        <v>305</v>
      </c>
      <c r="C12" s="37" t="s">
        <v>41</v>
      </c>
      <c r="D12" s="38" t="n">
        <v>5056.48</v>
      </c>
      <c r="E12" s="38" t="n">
        <v>3215.01</v>
      </c>
      <c r="F12" s="38" t="n">
        <v>720011.911</v>
      </c>
      <c r="G12" s="38" t="n">
        <v>7492169.403</v>
      </c>
      <c r="H12" s="39" t="str">
        <f aca="false">IF(AND(ABS(D12+Resumo!$C$6-F12)&lt;=0.01,ABS(E12+Resumo!$C$7-G12)&lt;=0.01),"OK","VERIFICAR")</f>
        <v>OK</v>
      </c>
      <c r="I12" s="39" t="s">
        <v>21</v>
      </c>
      <c r="J12" s="39" t="s">
        <v>43</v>
      </c>
      <c r="K12" s="40" t="n">
        <v>12</v>
      </c>
      <c r="L12" s="31" t="s">
        <v>72</v>
      </c>
      <c r="M12" s="32"/>
      <c r="N12" s="31" t="s">
        <v>72</v>
      </c>
      <c r="O12" s="32"/>
      <c r="P12" s="31" t="s">
        <v>72</v>
      </c>
      <c r="Q12" s="32"/>
      <c r="R12" s="31" t="s">
        <v>72</v>
      </c>
      <c r="S12" s="32"/>
      <c r="T12" s="41" t="n">
        <f aca="false">(COUNTIF(L12,"CONCLUÍDO")+COUNTIF(N12,"CONCLUÍDO")+COUNTIF(P12,"CONCLUÍDO")+COUNTIF(R12,"CONCLUÍDO"))/4</f>
        <v>0</v>
      </c>
      <c r="U12" s="34"/>
    </row>
    <row r="13" customFormat="false" ht="15" hidden="false" customHeight="false" outlineLevel="0" collapsed="false">
      <c r="A13" s="25" t="n">
        <v>5</v>
      </c>
      <c r="B13" s="26" t="s">
        <v>306</v>
      </c>
      <c r="C13" s="27" t="s">
        <v>41</v>
      </c>
      <c r="D13" s="28" t="n">
        <v>5054.2</v>
      </c>
      <c r="E13" s="28" t="n">
        <v>3213.69</v>
      </c>
      <c r="F13" s="28" t="n">
        <v>720009.627</v>
      </c>
      <c r="G13" s="28" t="n">
        <v>7492168.084</v>
      </c>
      <c r="H13" s="29" t="str">
        <f aca="false">IF(AND(ABS(D13+Resumo!$C$6-F13)&lt;=0.01,ABS(E13+Resumo!$C$7-G13)&lt;=0.01),"OK","VERIFICAR")</f>
        <v>OK</v>
      </c>
      <c r="I13" s="29" t="s">
        <v>21</v>
      </c>
      <c r="J13" s="29" t="s">
        <v>43</v>
      </c>
      <c r="K13" s="30" t="n">
        <v>12</v>
      </c>
      <c r="L13" s="31" t="s">
        <v>72</v>
      </c>
      <c r="M13" s="32"/>
      <c r="N13" s="31" t="s">
        <v>72</v>
      </c>
      <c r="O13" s="32"/>
      <c r="P13" s="31" t="s">
        <v>72</v>
      </c>
      <c r="Q13" s="32"/>
      <c r="R13" s="31" t="s">
        <v>72</v>
      </c>
      <c r="S13" s="32"/>
      <c r="T13" s="33" t="n">
        <f aca="false">(COUNTIF(L13,"CONCLUÍDO")+COUNTIF(N13,"CONCLUÍDO")+COUNTIF(P13,"CONCLUÍDO")+COUNTIF(R13,"CONCLUÍDO"))/4</f>
        <v>0</v>
      </c>
      <c r="U13" s="34"/>
    </row>
    <row r="14" customFormat="false" ht="15" hidden="false" customHeight="false" outlineLevel="0" collapsed="false">
      <c r="A14" s="35" t="n">
        <v>6</v>
      </c>
      <c r="B14" s="36" t="s">
        <v>307</v>
      </c>
      <c r="C14" s="37" t="s">
        <v>41</v>
      </c>
      <c r="D14" s="38" t="n">
        <v>5055.72</v>
      </c>
      <c r="E14" s="38" t="n">
        <v>3213.69</v>
      </c>
      <c r="F14" s="38" t="n">
        <v>720011.149</v>
      </c>
      <c r="G14" s="38" t="n">
        <v>7492168.084</v>
      </c>
      <c r="H14" s="39" t="str">
        <f aca="false">IF(AND(ABS(D14+Resumo!$C$6-F14)&lt;=0.01,ABS(E14+Resumo!$C$7-G14)&lt;=0.01),"OK","VERIFICAR")</f>
        <v>OK</v>
      </c>
      <c r="I14" s="39" t="s">
        <v>21</v>
      </c>
      <c r="J14" s="39" t="s">
        <v>43</v>
      </c>
      <c r="K14" s="40" t="n">
        <v>12</v>
      </c>
      <c r="L14" s="31" t="s">
        <v>72</v>
      </c>
      <c r="M14" s="32"/>
      <c r="N14" s="31" t="s">
        <v>72</v>
      </c>
      <c r="O14" s="32"/>
      <c r="P14" s="31" t="s">
        <v>72</v>
      </c>
      <c r="Q14" s="32"/>
      <c r="R14" s="31" t="s">
        <v>72</v>
      </c>
      <c r="S14" s="32"/>
      <c r="T14" s="41" t="n">
        <f aca="false">(COUNTIF(L14,"CONCLUÍDO")+COUNTIF(N14,"CONCLUÍDO")+COUNTIF(P14,"CONCLUÍDO")+COUNTIF(R14,"CONCLUÍDO"))/4</f>
        <v>0</v>
      </c>
      <c r="U14" s="34"/>
    </row>
    <row r="15" customFormat="false" ht="15" hidden="false" customHeight="false" outlineLevel="0" collapsed="false">
      <c r="A15" s="25" t="n">
        <v>7</v>
      </c>
      <c r="B15" s="26" t="s">
        <v>308</v>
      </c>
      <c r="C15" s="27" t="s">
        <v>45</v>
      </c>
      <c r="D15" s="28" t="n">
        <v>5048.2</v>
      </c>
      <c r="E15" s="28" t="n">
        <v>3216.33</v>
      </c>
      <c r="F15" s="28" t="n">
        <v>720003.627</v>
      </c>
      <c r="G15" s="28" t="n">
        <v>7492170.722</v>
      </c>
      <c r="H15" s="29" t="str">
        <f aca="false">IF(AND(ABS(D15+Resumo!$C$6-F15)&lt;=0.01,ABS(E15+Resumo!$C$7-G15)&lt;=0.01),"OK","VERIFICAR")</f>
        <v>OK</v>
      </c>
      <c r="I15" s="29" t="s">
        <v>21</v>
      </c>
      <c r="J15" s="29" t="s">
        <v>43</v>
      </c>
      <c r="K15" s="30" t="n">
        <v>12</v>
      </c>
      <c r="L15" s="31" t="s">
        <v>72</v>
      </c>
      <c r="M15" s="32"/>
      <c r="N15" s="31" t="s">
        <v>72</v>
      </c>
      <c r="O15" s="32"/>
      <c r="P15" s="31" t="s">
        <v>72</v>
      </c>
      <c r="Q15" s="32"/>
      <c r="R15" s="31" t="s">
        <v>72</v>
      </c>
      <c r="S15" s="32"/>
      <c r="T15" s="33" t="n">
        <f aca="false">(COUNTIF(L15,"CONCLUÍDO")+COUNTIF(N15,"CONCLUÍDO")+COUNTIF(P15,"CONCLUÍDO")+COUNTIF(R15,"CONCLUÍDO"))/4</f>
        <v>0</v>
      </c>
      <c r="U15" s="34"/>
    </row>
    <row r="16" customFormat="false" ht="15" hidden="false" customHeight="false" outlineLevel="0" collapsed="false">
      <c r="A16" s="35" t="n">
        <v>8</v>
      </c>
      <c r="B16" s="36" t="s">
        <v>309</v>
      </c>
      <c r="C16" s="37" t="s">
        <v>45</v>
      </c>
      <c r="D16" s="38" t="n">
        <v>5049.72</v>
      </c>
      <c r="E16" s="38" t="n">
        <v>3216.33</v>
      </c>
      <c r="F16" s="38" t="n">
        <v>720005.149</v>
      </c>
      <c r="G16" s="38" t="n">
        <v>7492170.722</v>
      </c>
      <c r="H16" s="39" t="str">
        <f aca="false">IF(AND(ABS(D16+Resumo!$C$6-F16)&lt;=0.01,ABS(E16+Resumo!$C$7-G16)&lt;=0.01),"OK","VERIFICAR")</f>
        <v>OK</v>
      </c>
      <c r="I16" s="39" t="s">
        <v>21</v>
      </c>
      <c r="J16" s="39" t="s">
        <v>43</v>
      </c>
      <c r="K16" s="40" t="n">
        <v>12</v>
      </c>
      <c r="L16" s="31" t="s">
        <v>72</v>
      </c>
      <c r="M16" s="32"/>
      <c r="N16" s="31" t="s">
        <v>72</v>
      </c>
      <c r="O16" s="32"/>
      <c r="P16" s="31" t="s">
        <v>72</v>
      </c>
      <c r="Q16" s="32"/>
      <c r="R16" s="31" t="s">
        <v>72</v>
      </c>
      <c r="S16" s="32"/>
      <c r="T16" s="41" t="n">
        <f aca="false">(COUNTIF(L16,"CONCLUÍDO")+COUNTIF(N16,"CONCLUÍDO")+COUNTIF(P16,"CONCLUÍDO")+COUNTIF(R16,"CONCLUÍDO"))/4</f>
        <v>0</v>
      </c>
      <c r="U16" s="34"/>
    </row>
    <row r="17" customFormat="false" ht="15" hidden="false" customHeight="false" outlineLevel="0" collapsed="false">
      <c r="A17" s="25" t="n">
        <v>9</v>
      </c>
      <c r="B17" s="26" t="s">
        <v>310</v>
      </c>
      <c r="C17" s="27" t="s">
        <v>45</v>
      </c>
      <c r="D17" s="28" t="n">
        <v>5047.44</v>
      </c>
      <c r="E17" s="28" t="n">
        <v>3215.01</v>
      </c>
      <c r="F17" s="28" t="n">
        <v>720002.865</v>
      </c>
      <c r="G17" s="28" t="n">
        <v>7492169.403</v>
      </c>
      <c r="H17" s="29" t="str">
        <f aca="false">IF(AND(ABS(D17+Resumo!$C$6-F17)&lt;=0.01,ABS(E17+Resumo!$C$7-G17)&lt;=0.01),"OK","VERIFICAR")</f>
        <v>OK</v>
      </c>
      <c r="I17" s="29" t="s">
        <v>21</v>
      </c>
      <c r="J17" s="29" t="s">
        <v>43</v>
      </c>
      <c r="K17" s="30" t="n">
        <v>12</v>
      </c>
      <c r="L17" s="31" t="s">
        <v>72</v>
      </c>
      <c r="M17" s="32"/>
      <c r="N17" s="31" t="s">
        <v>72</v>
      </c>
      <c r="O17" s="32"/>
      <c r="P17" s="31" t="s">
        <v>72</v>
      </c>
      <c r="Q17" s="32"/>
      <c r="R17" s="31" t="s">
        <v>72</v>
      </c>
      <c r="S17" s="32"/>
      <c r="T17" s="33" t="n">
        <f aca="false">(COUNTIF(L17,"CONCLUÍDO")+COUNTIF(N17,"CONCLUÍDO")+COUNTIF(P17,"CONCLUÍDO")+COUNTIF(R17,"CONCLUÍDO"))/4</f>
        <v>0</v>
      </c>
      <c r="U17" s="34"/>
    </row>
    <row r="18" customFormat="false" ht="15" hidden="false" customHeight="false" outlineLevel="0" collapsed="false">
      <c r="A18" s="35" t="n">
        <v>10</v>
      </c>
      <c r="B18" s="36" t="s">
        <v>311</v>
      </c>
      <c r="C18" s="37" t="s">
        <v>45</v>
      </c>
      <c r="D18" s="38" t="n">
        <v>5050.48</v>
      </c>
      <c r="E18" s="38" t="n">
        <v>3215.01</v>
      </c>
      <c r="F18" s="38" t="n">
        <v>720005.911</v>
      </c>
      <c r="G18" s="38" t="n">
        <v>7492169.4</v>
      </c>
      <c r="H18" s="39" t="str">
        <f aca="false">IF(AND(ABS(D18+Resumo!$C$6-F18)&lt;=0.01,ABS(E18+Resumo!$C$7-G18)&lt;=0.01),"OK","VERIFICAR")</f>
        <v>OK</v>
      </c>
      <c r="I18" s="39" t="s">
        <v>21</v>
      </c>
      <c r="J18" s="39" t="s">
        <v>43</v>
      </c>
      <c r="K18" s="40" t="n">
        <v>12</v>
      </c>
      <c r="L18" s="31" t="s">
        <v>72</v>
      </c>
      <c r="M18" s="32"/>
      <c r="N18" s="31" t="s">
        <v>72</v>
      </c>
      <c r="O18" s="32"/>
      <c r="P18" s="31" t="s">
        <v>72</v>
      </c>
      <c r="Q18" s="32"/>
      <c r="R18" s="31" t="s">
        <v>72</v>
      </c>
      <c r="S18" s="32"/>
      <c r="T18" s="41" t="n">
        <f aca="false">(COUNTIF(L18,"CONCLUÍDO")+COUNTIF(N18,"CONCLUÍDO")+COUNTIF(P18,"CONCLUÍDO")+COUNTIF(R18,"CONCLUÍDO"))/4</f>
        <v>0</v>
      </c>
      <c r="U18" s="34"/>
    </row>
    <row r="19" customFormat="false" ht="15" hidden="false" customHeight="false" outlineLevel="0" collapsed="false">
      <c r="A19" s="25" t="n">
        <v>11</v>
      </c>
      <c r="B19" s="26" t="s">
        <v>312</v>
      </c>
      <c r="C19" s="27" t="s">
        <v>45</v>
      </c>
      <c r="D19" s="28" t="n">
        <v>5048.2</v>
      </c>
      <c r="E19" s="28" t="n">
        <v>3213.69</v>
      </c>
      <c r="F19" s="28" t="n">
        <v>720003.627</v>
      </c>
      <c r="G19" s="28" t="n">
        <v>7492168.084</v>
      </c>
      <c r="H19" s="29" t="str">
        <f aca="false">IF(AND(ABS(D19+Resumo!$C$6-F19)&lt;=0.01,ABS(E19+Resumo!$C$7-G19)&lt;=0.01),"OK","VERIFICAR")</f>
        <v>OK</v>
      </c>
      <c r="I19" s="29" t="s">
        <v>21</v>
      </c>
      <c r="J19" s="29" t="s">
        <v>43</v>
      </c>
      <c r="K19" s="30" t="n">
        <v>12</v>
      </c>
      <c r="L19" s="31" t="s">
        <v>72</v>
      </c>
      <c r="M19" s="32"/>
      <c r="N19" s="31" t="s">
        <v>72</v>
      </c>
      <c r="O19" s="32"/>
      <c r="P19" s="31" t="s">
        <v>72</v>
      </c>
      <c r="Q19" s="32"/>
      <c r="R19" s="31" t="s">
        <v>72</v>
      </c>
      <c r="S19" s="32"/>
      <c r="T19" s="33" t="n">
        <f aca="false">(COUNTIF(L19,"CONCLUÍDO")+COUNTIF(N19,"CONCLUÍDO")+COUNTIF(P19,"CONCLUÍDO")+COUNTIF(R19,"CONCLUÍDO"))/4</f>
        <v>0</v>
      </c>
      <c r="U19" s="34"/>
    </row>
    <row r="20" customFormat="false" ht="15" hidden="false" customHeight="false" outlineLevel="0" collapsed="false">
      <c r="A20" s="35" t="n">
        <v>12</v>
      </c>
      <c r="B20" s="36" t="s">
        <v>313</v>
      </c>
      <c r="C20" s="37" t="s">
        <v>45</v>
      </c>
      <c r="D20" s="38" t="n">
        <v>5049.72</v>
      </c>
      <c r="E20" s="38" t="n">
        <v>3213.69</v>
      </c>
      <c r="F20" s="38" t="n">
        <v>720005.149</v>
      </c>
      <c r="G20" s="38" t="n">
        <v>7492168.084</v>
      </c>
      <c r="H20" s="39" t="str">
        <f aca="false">IF(AND(ABS(D20+Resumo!$C$6-F20)&lt;=0.01,ABS(E20+Resumo!$C$7-G20)&lt;=0.01),"OK","VERIFICAR")</f>
        <v>OK</v>
      </c>
      <c r="I20" s="39" t="s">
        <v>21</v>
      </c>
      <c r="J20" s="39" t="s">
        <v>43</v>
      </c>
      <c r="K20" s="40" t="n">
        <v>12</v>
      </c>
      <c r="L20" s="31" t="s">
        <v>72</v>
      </c>
      <c r="M20" s="32"/>
      <c r="N20" s="31" t="s">
        <v>72</v>
      </c>
      <c r="O20" s="32"/>
      <c r="P20" s="31" t="s">
        <v>72</v>
      </c>
      <c r="Q20" s="32"/>
      <c r="R20" s="31" t="s">
        <v>72</v>
      </c>
      <c r="S20" s="32"/>
      <c r="T20" s="41" t="n">
        <f aca="false">(COUNTIF(L20,"CONCLUÍDO")+COUNTIF(N20,"CONCLUÍDO")+COUNTIF(P20,"CONCLUÍDO")+COUNTIF(R20,"CONCLUÍDO"))/4</f>
        <v>0</v>
      </c>
      <c r="U20" s="34"/>
    </row>
    <row r="21" customFormat="false" ht="15" hidden="false" customHeight="false" outlineLevel="0" collapsed="false">
      <c r="A21" s="25" t="n">
        <v>13</v>
      </c>
      <c r="B21" s="26" t="s">
        <v>314</v>
      </c>
      <c r="C21" s="27" t="s">
        <v>47</v>
      </c>
      <c r="D21" s="28" t="n">
        <v>5045.96</v>
      </c>
      <c r="E21" s="28" t="n">
        <v>3218.01</v>
      </c>
      <c r="F21" s="28" t="n">
        <v>720001.388</v>
      </c>
      <c r="G21" s="28" t="n">
        <v>7492172.403</v>
      </c>
      <c r="H21" s="29" t="str">
        <f aca="false">IF(AND(ABS(D21+Resumo!$C$6-F21)&lt;=0.01,ABS(E21+Resumo!$C$7-G21)&lt;=0.01),"OK","VERIFICAR")</f>
        <v>OK</v>
      </c>
      <c r="I21" s="29" t="s">
        <v>21</v>
      </c>
      <c r="J21" s="29" t="s">
        <v>49</v>
      </c>
      <c r="K21" s="30" t="n">
        <v>12</v>
      </c>
      <c r="L21" s="31" t="s">
        <v>72</v>
      </c>
      <c r="M21" s="32"/>
      <c r="N21" s="31" t="s">
        <v>72</v>
      </c>
      <c r="O21" s="32"/>
      <c r="P21" s="31" t="s">
        <v>72</v>
      </c>
      <c r="Q21" s="32"/>
      <c r="R21" s="31" t="s">
        <v>72</v>
      </c>
      <c r="S21" s="32"/>
      <c r="T21" s="33" t="n">
        <f aca="false">(COUNTIF(L21,"CONCLUÍDO")+COUNTIF(N21,"CONCLUÍDO")+COUNTIF(P21,"CONCLUÍDO")+COUNTIF(R21,"CONCLUÍDO"))/4</f>
        <v>0</v>
      </c>
      <c r="U21" s="34"/>
    </row>
    <row r="22" customFormat="false" ht="15" hidden="false" customHeight="false" outlineLevel="0" collapsed="false">
      <c r="A22" s="35" t="n">
        <v>14</v>
      </c>
      <c r="B22" s="36" t="s">
        <v>315</v>
      </c>
      <c r="C22" s="37" t="s">
        <v>47</v>
      </c>
      <c r="D22" s="38" t="n">
        <v>5051.96</v>
      </c>
      <c r="E22" s="38" t="n">
        <v>3218.01</v>
      </c>
      <c r="F22" s="38" t="n">
        <v>720007.388</v>
      </c>
      <c r="G22" s="38" t="n">
        <v>7492172.403</v>
      </c>
      <c r="H22" s="39" t="str">
        <f aca="false">IF(AND(ABS(D22+Resumo!$C$6-F22)&lt;=0.01,ABS(E22+Resumo!$C$7-G22)&lt;=0.01),"OK","VERIFICAR")</f>
        <v>OK</v>
      </c>
      <c r="I22" s="39" t="s">
        <v>21</v>
      </c>
      <c r="J22" s="39" t="s">
        <v>49</v>
      </c>
      <c r="K22" s="40" t="n">
        <v>12</v>
      </c>
      <c r="L22" s="31" t="s">
        <v>72</v>
      </c>
      <c r="M22" s="32"/>
      <c r="N22" s="31" t="s">
        <v>72</v>
      </c>
      <c r="O22" s="32"/>
      <c r="P22" s="31" t="s">
        <v>72</v>
      </c>
      <c r="Q22" s="32"/>
      <c r="R22" s="31" t="s">
        <v>72</v>
      </c>
      <c r="S22" s="32"/>
      <c r="T22" s="41" t="n">
        <f aca="false">(COUNTIF(L22,"CONCLUÍDO")+COUNTIF(N22,"CONCLUÍDO")+COUNTIF(P22,"CONCLUÍDO")+COUNTIF(R22,"CONCLUÍDO"))/4</f>
        <v>0</v>
      </c>
      <c r="U22" s="34"/>
    </row>
    <row r="23" customFormat="false" ht="15" hidden="false" customHeight="false" outlineLevel="0" collapsed="false">
      <c r="A23" s="25" t="n">
        <v>15</v>
      </c>
      <c r="B23" s="26" t="s">
        <v>316</v>
      </c>
      <c r="C23" s="27" t="s">
        <v>47</v>
      </c>
      <c r="D23" s="28" t="n">
        <v>5057.96</v>
      </c>
      <c r="E23" s="28" t="n">
        <v>3218.01</v>
      </c>
      <c r="F23" s="28" t="n">
        <v>720013.388</v>
      </c>
      <c r="G23" s="28" t="n">
        <v>7492172.403</v>
      </c>
      <c r="H23" s="29" t="str">
        <f aca="false">IF(AND(ABS(D23+Resumo!$C$6-F23)&lt;=0.01,ABS(E23+Resumo!$C$7-G23)&lt;=0.01),"OK","VERIFICAR")</f>
        <v>OK</v>
      </c>
      <c r="I23" s="29" t="s">
        <v>21</v>
      </c>
      <c r="J23" s="29" t="s">
        <v>49</v>
      </c>
      <c r="K23" s="30" t="n">
        <v>12</v>
      </c>
      <c r="L23" s="31" t="s">
        <v>72</v>
      </c>
      <c r="M23" s="32"/>
      <c r="N23" s="31" t="s">
        <v>72</v>
      </c>
      <c r="O23" s="32"/>
      <c r="P23" s="31" t="s">
        <v>72</v>
      </c>
      <c r="Q23" s="32"/>
      <c r="R23" s="31" t="s">
        <v>72</v>
      </c>
      <c r="S23" s="32"/>
      <c r="T23" s="33" t="n">
        <f aca="false">(COUNTIF(L23,"CONCLUÍDO")+COUNTIF(N23,"CONCLUÍDO")+COUNTIF(P23,"CONCLUÍDO")+COUNTIF(R23,"CONCLUÍDO"))/4</f>
        <v>0</v>
      </c>
      <c r="U23" s="34"/>
    </row>
    <row r="24" customFormat="false" ht="15" hidden="false" customHeight="false" outlineLevel="0" collapsed="false">
      <c r="A24" s="35" t="n">
        <v>16</v>
      </c>
      <c r="B24" s="36" t="s">
        <v>317</v>
      </c>
      <c r="C24" s="37" t="s">
        <v>47</v>
      </c>
      <c r="D24" s="38" t="n">
        <v>5060.76</v>
      </c>
      <c r="E24" s="38" t="n">
        <v>3218.01</v>
      </c>
      <c r="F24" s="38" t="n">
        <v>720016.188</v>
      </c>
      <c r="G24" s="38" t="n">
        <v>7492172.403</v>
      </c>
      <c r="H24" s="39" t="str">
        <f aca="false">IF(AND(ABS(D24+Resumo!$C$6-F24)&lt;=0.01,ABS(E24+Resumo!$C$7-G24)&lt;=0.01),"OK","VERIFICAR")</f>
        <v>OK</v>
      </c>
      <c r="I24" s="39" t="s">
        <v>21</v>
      </c>
      <c r="J24" s="39" t="s">
        <v>49</v>
      </c>
      <c r="K24" s="40" t="n">
        <v>12</v>
      </c>
      <c r="L24" s="31" t="s">
        <v>72</v>
      </c>
      <c r="M24" s="32"/>
      <c r="N24" s="31" t="s">
        <v>72</v>
      </c>
      <c r="O24" s="32"/>
      <c r="P24" s="31" t="s">
        <v>72</v>
      </c>
      <c r="Q24" s="32"/>
      <c r="R24" s="31" t="s">
        <v>72</v>
      </c>
      <c r="S24" s="32"/>
      <c r="T24" s="41" t="n">
        <f aca="false">(COUNTIF(L24,"CONCLUÍDO")+COUNTIF(N24,"CONCLUÍDO")+COUNTIF(P24,"CONCLUÍDO")+COUNTIF(R24,"CONCLUÍDO"))/4</f>
        <v>0</v>
      </c>
      <c r="U24" s="34"/>
    </row>
    <row r="25" customFormat="false" ht="15" hidden="false" customHeight="false" outlineLevel="0" collapsed="false">
      <c r="A25" s="25" t="n">
        <v>17</v>
      </c>
      <c r="B25" s="26" t="s">
        <v>318</v>
      </c>
      <c r="C25" s="27" t="s">
        <v>47</v>
      </c>
      <c r="D25" s="28" t="n">
        <v>5045.96</v>
      </c>
      <c r="E25" s="28" t="n">
        <v>3212.01</v>
      </c>
      <c r="F25" s="28" t="n">
        <v>720001.388</v>
      </c>
      <c r="G25" s="28" t="n">
        <v>7492166.403</v>
      </c>
      <c r="H25" s="29" t="str">
        <f aca="false">IF(AND(ABS(D25+Resumo!$C$6-F25)&lt;=0.01,ABS(E25+Resumo!$C$7-G25)&lt;=0.01),"OK","VERIFICAR")</f>
        <v>OK</v>
      </c>
      <c r="I25" s="29" t="s">
        <v>21</v>
      </c>
      <c r="J25" s="29" t="s">
        <v>49</v>
      </c>
      <c r="K25" s="30" t="n">
        <v>12</v>
      </c>
      <c r="L25" s="31" t="s">
        <v>72</v>
      </c>
      <c r="M25" s="32"/>
      <c r="N25" s="31" t="s">
        <v>72</v>
      </c>
      <c r="O25" s="32"/>
      <c r="P25" s="31" t="s">
        <v>72</v>
      </c>
      <c r="Q25" s="32"/>
      <c r="R25" s="31" t="s">
        <v>72</v>
      </c>
      <c r="S25" s="32"/>
      <c r="T25" s="33" t="n">
        <f aca="false">(COUNTIF(L25,"CONCLUÍDO")+COUNTIF(N25,"CONCLUÍDO")+COUNTIF(P25,"CONCLUÍDO")+COUNTIF(R25,"CONCLUÍDO"))/4</f>
        <v>0</v>
      </c>
      <c r="U25" s="34"/>
    </row>
    <row r="26" customFormat="false" ht="15" hidden="false" customHeight="false" outlineLevel="0" collapsed="false">
      <c r="A26" s="35" t="n">
        <v>18</v>
      </c>
      <c r="B26" s="36" t="s">
        <v>319</v>
      </c>
      <c r="C26" s="37" t="s">
        <v>47</v>
      </c>
      <c r="D26" s="38" t="n">
        <v>5051.96</v>
      </c>
      <c r="E26" s="38" t="n">
        <v>3212.01</v>
      </c>
      <c r="F26" s="38" t="n">
        <v>720007.388</v>
      </c>
      <c r="G26" s="38" t="n">
        <v>7492166.403</v>
      </c>
      <c r="H26" s="39" t="str">
        <f aca="false">IF(AND(ABS(D26+Resumo!$C$6-F26)&lt;=0.01,ABS(E26+Resumo!$C$7-G26)&lt;=0.01),"OK","VERIFICAR")</f>
        <v>OK</v>
      </c>
      <c r="I26" s="39" t="s">
        <v>21</v>
      </c>
      <c r="J26" s="39" t="s">
        <v>49</v>
      </c>
      <c r="K26" s="40" t="n">
        <v>12</v>
      </c>
      <c r="L26" s="31" t="s">
        <v>72</v>
      </c>
      <c r="M26" s="32"/>
      <c r="N26" s="31" t="s">
        <v>72</v>
      </c>
      <c r="O26" s="32"/>
      <c r="P26" s="31" t="s">
        <v>72</v>
      </c>
      <c r="Q26" s="32"/>
      <c r="R26" s="31" t="s">
        <v>72</v>
      </c>
      <c r="S26" s="32"/>
      <c r="T26" s="41" t="n">
        <f aca="false">(COUNTIF(L26,"CONCLUÍDO")+COUNTIF(N26,"CONCLUÍDO")+COUNTIF(P26,"CONCLUÍDO")+COUNTIF(R26,"CONCLUÍDO"))/4</f>
        <v>0</v>
      </c>
      <c r="U26" s="34"/>
    </row>
    <row r="27" customFormat="false" ht="15" hidden="false" customHeight="false" outlineLevel="0" collapsed="false">
      <c r="A27" s="25" t="n">
        <v>19</v>
      </c>
      <c r="B27" s="26" t="s">
        <v>320</v>
      </c>
      <c r="C27" s="27" t="s">
        <v>47</v>
      </c>
      <c r="D27" s="28" t="n">
        <v>5057.96</v>
      </c>
      <c r="E27" s="28" t="n">
        <v>3212.01</v>
      </c>
      <c r="F27" s="28" t="n">
        <v>720013.388</v>
      </c>
      <c r="G27" s="28" t="n">
        <v>7492166.403</v>
      </c>
      <c r="H27" s="29" t="str">
        <f aca="false">IF(AND(ABS(D27+Resumo!$C$6-F27)&lt;=0.01,ABS(E27+Resumo!$C$7-G27)&lt;=0.01),"OK","VERIFICAR")</f>
        <v>OK</v>
      </c>
      <c r="I27" s="29" t="s">
        <v>21</v>
      </c>
      <c r="J27" s="29" t="s">
        <v>49</v>
      </c>
      <c r="K27" s="30" t="n">
        <v>12</v>
      </c>
      <c r="L27" s="31" t="s">
        <v>72</v>
      </c>
      <c r="M27" s="32"/>
      <c r="N27" s="31" t="s">
        <v>72</v>
      </c>
      <c r="O27" s="32"/>
      <c r="P27" s="31" t="s">
        <v>72</v>
      </c>
      <c r="Q27" s="32"/>
      <c r="R27" s="31" t="s">
        <v>72</v>
      </c>
      <c r="S27" s="32"/>
      <c r="T27" s="33" t="n">
        <f aca="false">(COUNTIF(L27,"CONCLUÍDO")+COUNTIF(N27,"CONCLUÍDO")+COUNTIF(P27,"CONCLUÍDO")+COUNTIF(R27,"CONCLUÍDO"))/4</f>
        <v>0</v>
      </c>
      <c r="U27" s="34"/>
    </row>
    <row r="28" customFormat="false" ht="15" hidden="false" customHeight="false" outlineLevel="0" collapsed="false">
      <c r="A28" s="35" t="n">
        <v>20</v>
      </c>
      <c r="B28" s="36" t="s">
        <v>321</v>
      </c>
      <c r="C28" s="37" t="s">
        <v>47</v>
      </c>
      <c r="D28" s="38" t="n">
        <v>5060.76</v>
      </c>
      <c r="E28" s="38" t="n">
        <v>3212.01</v>
      </c>
      <c r="F28" s="38" t="n">
        <v>720016.188</v>
      </c>
      <c r="G28" s="38" t="n">
        <v>7492166.403</v>
      </c>
      <c r="H28" s="39" t="str">
        <f aca="false">IF(AND(ABS(D28+Resumo!$C$6-F28)&lt;=0.01,ABS(E28+Resumo!$C$7-G28)&lt;=0.01),"OK","VERIFICAR")</f>
        <v>OK</v>
      </c>
      <c r="I28" s="39" t="s">
        <v>21</v>
      </c>
      <c r="J28" s="39" t="s">
        <v>49</v>
      </c>
      <c r="K28" s="40" t="n">
        <v>12</v>
      </c>
      <c r="L28" s="31" t="s">
        <v>72</v>
      </c>
      <c r="M28" s="32"/>
      <c r="N28" s="31" t="s">
        <v>72</v>
      </c>
      <c r="O28" s="32"/>
      <c r="P28" s="31" t="s">
        <v>72</v>
      </c>
      <c r="Q28" s="32"/>
      <c r="R28" s="31" t="s">
        <v>72</v>
      </c>
      <c r="S28" s="32"/>
      <c r="T28" s="41" t="n">
        <f aca="false">(COUNTIF(L28,"CONCLUÍDO")+COUNTIF(N28,"CONCLUÍDO")+COUNTIF(P28,"CONCLUÍDO")+COUNTIF(R28,"CONCLUÍDO"))/4</f>
        <v>0</v>
      </c>
      <c r="U28" s="34"/>
    </row>
    <row r="29" customFormat="false" ht="15" hidden="false" customHeight="false" outlineLevel="0" collapsed="false">
      <c r="A29" s="42" t="s">
        <v>50</v>
      </c>
      <c r="B29" s="42"/>
      <c r="C29" s="42"/>
      <c r="D29" s="43" t="n">
        <f aca="false">COUNTA(B9:B28)</f>
        <v>20</v>
      </c>
      <c r="E29" s="44" t="s">
        <v>161</v>
      </c>
      <c r="F29" s="45"/>
      <c r="G29" s="45"/>
      <c r="H29" s="45"/>
      <c r="I29" s="45"/>
      <c r="J29" s="45"/>
      <c r="K29" s="45"/>
      <c r="L29" s="46" t="str">
        <f aca="false">COUNTIF(L9:L28,"CONCLUÍDO")&amp;" / "&amp;COUNTA(B9:B28)</f>
        <v>0 / 20</v>
      </c>
      <c r="M29" s="45"/>
      <c r="N29" s="46" t="str">
        <f aca="false">COUNTIF(N9:N28,"CONCLUÍDO")&amp;" / "&amp;COUNTA(B9:B28)</f>
        <v>0 / 20</v>
      </c>
      <c r="O29" s="45"/>
      <c r="P29" s="46" t="str">
        <f aca="false">COUNTIF(P9:P28,"CONCLUÍDO")&amp;" / "&amp;COUNTA(B9:B28)</f>
        <v>0 / 20</v>
      </c>
      <c r="Q29" s="45"/>
      <c r="R29" s="46" t="str">
        <f aca="false">COUNTIF(R9:R28,"CONCLUÍDO")&amp;" / "&amp;COUNTA(B9:B28)</f>
        <v>0 / 20</v>
      </c>
      <c r="S29" s="45"/>
      <c r="T29" s="47" t="n">
        <f aca="false">AVERAGE(T9:T28)</f>
        <v>0</v>
      </c>
      <c r="U29" s="45"/>
    </row>
  </sheetData>
  <autoFilter ref="A8:U28"/>
  <mergeCells count="25">
    <mergeCell ref="A1:U1"/>
    <mergeCell ref="A2:U2"/>
    <mergeCell ref="A3:U3"/>
    <mergeCell ref="A4:U4"/>
    <mergeCell ref="A6:A8"/>
    <mergeCell ref="B6:B8"/>
    <mergeCell ref="C6:C8"/>
    <mergeCell ref="D6:G6"/>
    <mergeCell ref="H6:H8"/>
    <mergeCell ref="I6:K6"/>
    <mergeCell ref="L6:S6"/>
    <mergeCell ref="T6:T8"/>
    <mergeCell ref="U6:U8"/>
    <mergeCell ref="D7:D8"/>
    <mergeCell ref="E7:E8"/>
    <mergeCell ref="F7:F8"/>
    <mergeCell ref="G7:G8"/>
    <mergeCell ref="I7:I8"/>
    <mergeCell ref="J7:J8"/>
    <mergeCell ref="K7:K8"/>
    <mergeCell ref="L7:M7"/>
    <mergeCell ref="N7:O7"/>
    <mergeCell ref="P7:Q7"/>
    <mergeCell ref="R7:S7"/>
    <mergeCell ref="A29:C29"/>
  </mergeCells>
  <conditionalFormatting sqref="L9:L28">
    <cfRule type="cellIs" priority="2" operator="equal" aboveAverage="0" equalAverage="0" bottom="0" percent="0" rank="0" text="" dxfId="9">
      <formula>"CONCLUÍDO"</formula>
    </cfRule>
    <cfRule type="cellIs" priority="3" operator="equal" aboveAverage="0" equalAverage="0" bottom="0" percent="0" rank="0" text="" dxfId="10">
      <formula>"EM ANDAMENTO"</formula>
    </cfRule>
    <cfRule type="cellIs" priority="4" operator="equal" aboveAverage="0" equalAverage="0" bottom="0" percent="0" rank="0" text="" dxfId="11">
      <formula>"NÃO INICIADO"</formula>
    </cfRule>
  </conditionalFormatting>
  <conditionalFormatting sqref="N9:N28">
    <cfRule type="cellIs" priority="5" operator="equal" aboveAverage="0" equalAverage="0" bottom="0" percent="0" rank="0" text="" dxfId="9">
      <formula>"CONCLUÍDO"</formula>
    </cfRule>
    <cfRule type="cellIs" priority="6" operator="equal" aboveAverage="0" equalAverage="0" bottom="0" percent="0" rank="0" text="" dxfId="10">
      <formula>"EM ANDAMENTO"</formula>
    </cfRule>
    <cfRule type="cellIs" priority="7" operator="equal" aboveAverage="0" equalAverage="0" bottom="0" percent="0" rank="0" text="" dxfId="11">
      <formula>"NÃO INICIADO"</formula>
    </cfRule>
  </conditionalFormatting>
  <conditionalFormatting sqref="P9:P28">
    <cfRule type="cellIs" priority="8" operator="equal" aboveAverage="0" equalAverage="0" bottom="0" percent="0" rank="0" text="" dxfId="9">
      <formula>"CONCLUÍDO"</formula>
    </cfRule>
    <cfRule type="cellIs" priority="9" operator="equal" aboveAverage="0" equalAverage="0" bottom="0" percent="0" rank="0" text="" dxfId="10">
      <formula>"EM ANDAMENTO"</formula>
    </cfRule>
    <cfRule type="cellIs" priority="10" operator="equal" aboveAverage="0" equalAverage="0" bottom="0" percent="0" rank="0" text="" dxfId="11">
      <formula>"NÃO INICIADO"</formula>
    </cfRule>
  </conditionalFormatting>
  <conditionalFormatting sqref="R9:R28">
    <cfRule type="cellIs" priority="11" operator="equal" aboveAverage="0" equalAverage="0" bottom="0" percent="0" rank="0" text="" dxfId="9">
      <formula>"CONCLUÍDO"</formula>
    </cfRule>
    <cfRule type="cellIs" priority="12" operator="equal" aboveAverage="0" equalAverage="0" bottom="0" percent="0" rank="0" text="" dxfId="10">
      <formula>"EM ANDAMENTO"</formula>
    </cfRule>
    <cfRule type="cellIs" priority="13" operator="equal" aboveAverage="0" equalAverage="0" bottom="0" percent="0" rank="0" text="" dxfId="11">
      <formula>"NÃO INICIADO"</formula>
    </cfRule>
  </conditionalFormatting>
  <conditionalFormatting sqref="H9:H28">
    <cfRule type="cellIs" priority="14" operator="equal" aboveAverage="0" equalAverage="0" bottom="0" percent="0" rank="0" text="" dxfId="12">
      <formula>"VERIFICAR"</formula>
    </cfRule>
  </conditionalFormatting>
  <dataValidations count="1">
    <dataValidation allowBlank="false" error="Selecione: NÃO INICIADO, EM ANDAMENTO, CONCLUÍDO ou N/A" errorStyle="stop" errorTitle="Status inválido" operator="between" prompt="Escolha o status da etapa" promptTitle="Status" showDropDown="false" showErrorMessage="false" showInputMessage="false" sqref="L9:L28 N9:N28 P9:P28 R9:R28" type="list">
      <formula1>"NÃO INICIADO,EM ANDAMENTO,CONCLUÍDO,N/A"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2026-08-31T12:04:20Z</dcterms:created>
  <dc:creator>openpyxl</dc:creator>
  <dc:description/>
  <dc:language>en-US</dc:language>
  <cp:lastModifiedBy/>
  <dcterms:modified xsi:type="dcterms:W3CDTF">2026-08-31T12:04:20Z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