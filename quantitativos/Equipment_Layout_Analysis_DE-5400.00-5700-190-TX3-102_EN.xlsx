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Equipment List" sheetId="2" state="visible" r:id="rId2"/>
    <sheet name="Summary by Category" sheetId="3" state="visible" r:id="rId3"/>
    <sheet name="Process Groups" sheetId="4" state="visible" r:id="rId4"/>
    <sheet name="Elevations" sheetId="5" state="visible" r:id="rId5"/>
    <sheet name="Areas and Coordinates" sheetId="6" state="visible" r:id="rId6"/>
    <sheet name="Site Context" sheetId="7" state="visible" r:id="rId7"/>
    <sheet name="Drawing Data" sheetId="8" state="visible" r:id="rId8"/>
    <sheet name="Validations" sheetId="9" state="visible" r:id="rId9"/>
    <sheet name="Read Me" sheetId="10" state="visible" r:id="rId10"/>
  </sheets>
  <definedNames>
    <definedName name="_xlnm.Print_Titles" localSheetId="1">'Equipment List'!$1:$5</definedName>
    <definedName name="_xlnm.Print_Titles" localSheetId="2">'Summary by Category'!$1:$5</definedName>
    <definedName name="_xlnm.Print_Titles" localSheetId="3">'Process Groups'!$1:$5</definedName>
    <definedName name="_xlnm.Print_Titles" localSheetId="4">'Elevations'!$1:$5</definedName>
    <definedName name="_xlnm.Print_Titles" localSheetId="5">'Areas and Coordinates'!$1:$5</definedName>
    <definedName name="_xlnm.Print_Titles" localSheetId="6">'Site Context'!$1:$5</definedName>
    <definedName name="_xlnm.Print_Titles" localSheetId="7">'Drawing Data'!$1:$5</definedName>
    <definedName name="_xlnm.Print_Titles" localSheetId="8">'Validations'!$1:$5</definedName>
    <definedName name="_xlnm.Print_Titles" localSheetId="9">'Read Me'!$1:$5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0">
    <font>
      <name val="Calibri"/>
      <family val="2"/>
      <color theme="1"/>
      <sz val="11"/>
      <scheme val="minor"/>
    </font>
    <font>
      <name val="Arial"/>
      <b val="1"/>
      <color rgb="FFFFFFFF"/>
      <sz val="20"/>
    </font>
    <font>
      <name val="Arial"/>
      <color rgb="FF182532"/>
      <sz val="9"/>
    </font>
    <font>
      <name val="Arial"/>
      <color rgb="FF182532"/>
      <sz val="8"/>
    </font>
    <font>
      <name val="Arial"/>
      <b val="1"/>
      <color rgb="FFFFFFFF"/>
      <sz val="10"/>
    </font>
    <font>
      <name val="Arial"/>
      <b val="1"/>
      <color rgb="FFFFFFFF"/>
      <sz val="9"/>
    </font>
    <font>
      <name val="Arial"/>
      <b val="1"/>
      <color rgb="FF8A4B0F"/>
      <sz val="9"/>
    </font>
    <font>
      <name val="Arial"/>
      <b val="1"/>
      <color rgb="FF182532"/>
      <sz val="20"/>
    </font>
    <font>
      <name val="Arial"/>
      <b val="1"/>
      <color rgb="FFFFFFFF"/>
      <sz val="11"/>
    </font>
    <font>
      <name val="Arial"/>
      <b val="1"/>
      <color rgb="FF8A4B0F"/>
      <sz val="8"/>
    </font>
  </fonts>
  <fills count="11">
    <fill>
      <patternFill/>
    </fill>
    <fill>
      <patternFill patternType="gray125"/>
    </fill>
    <fill>
      <patternFill patternType="solid">
        <fgColor rgb="FF13283F"/>
      </patternFill>
    </fill>
    <fill>
      <patternFill patternType="solid">
        <fgColor rgb="FFF5F2EC"/>
      </patternFill>
    </fill>
    <fill>
      <patternFill patternType="solid">
        <fgColor rgb="FF31556F"/>
      </patternFill>
    </fill>
    <fill>
      <patternFill patternType="solid">
        <fgColor rgb="FFF8FAFB"/>
      </patternFill>
    </fill>
    <fill>
      <patternFill patternType="solid">
        <fgColor rgb="FFFDF3E3"/>
      </patternFill>
    </fill>
    <fill>
      <patternFill patternType="solid">
        <fgColor rgb="FF195E83"/>
      </patternFill>
    </fill>
    <fill>
      <patternFill patternType="solid">
        <fgColor rgb="FFFBFAF7"/>
      </patternFill>
    </fill>
    <fill>
      <patternFill patternType="solid">
        <fgColor rgb="FFD9652B"/>
      </patternFill>
    </fill>
    <fill>
      <patternFill patternType="solid">
        <fgColor rgb="FF5E8B76"/>
      </patternFill>
    </fill>
  </fills>
  <borders count="2">
    <border>
      <left/>
      <right/>
      <top/>
      <bottom/>
      <diagonal/>
    </border>
    <border>
      <left style="thin">
        <color rgb="FFB9C4CD"/>
      </left>
      <right style="thin">
        <color rgb="FFB9C4CD"/>
      </right>
      <top style="thin">
        <color rgb="FFB9C4CD"/>
      </top>
      <bottom style="thin">
        <color rgb="FFB9C4CD"/>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5" fillId="7" borderId="1" applyAlignment="1" pivotButton="0" quotePrefix="0" xfId="0">
      <alignment horizontal="center" vertical="center" wrapText="1"/>
    </xf>
    <xf numFmtId="0" fontId="0" fillId="0" borderId="1" pivotButton="0" quotePrefix="0" xfId="0"/>
    <xf numFmtId="0" fontId="5" fillId="9"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10" borderId="1" applyAlignment="1" pivotButton="0" quotePrefix="0" xfId="0">
      <alignment horizontal="center" vertical="center" wrapText="1"/>
    </xf>
    <xf numFmtId="3" fontId="7" fillId="8" borderId="1" applyAlignment="1" pivotButton="0" quotePrefix="0" xfId="0">
      <alignment horizontal="center" vertical="center"/>
    </xf>
    <xf numFmtId="0" fontId="3" fillId="0" borderId="0" applyAlignment="1" pivotButton="0" quotePrefix="0" xfId="0">
      <alignment horizontal="center" vertical="center"/>
    </xf>
    <xf numFmtId="4" fontId="7" fillId="8" borderId="1" applyAlignment="1" pivotButton="0" quotePrefix="0" xfId="0">
      <alignment horizontal="center" vertical="center"/>
    </xf>
    <xf numFmtId="165" fontId="7" fillId="8" borderId="1" applyAlignment="1" pivotButton="0" quotePrefix="0" xfId="0">
      <alignment horizontal="center" vertical="center"/>
    </xf>
    <xf numFmtId="0" fontId="8" fillId="4" borderId="1" applyAlignment="1" pivotButton="0" quotePrefix="0" xfId="0">
      <alignment horizontal="center" vertical="center"/>
    </xf>
    <xf numFmtId="0" fontId="0" fillId="4" borderId="1" pivotButton="0" quotePrefix="0" xfId="0"/>
    <xf numFmtId="0" fontId="4" fillId="4" borderId="1" applyAlignment="1" pivotButton="0" quotePrefix="0" xfId="0">
      <alignment horizontal="center" vertical="center" wrapText="1"/>
    </xf>
    <xf numFmtId="0" fontId="2" fillId="5" borderId="1" applyAlignment="1" pivotButton="0" quotePrefix="0" xfId="0">
      <alignment horizontal="left" vertical="center" wrapText="1"/>
    </xf>
    <xf numFmtId="0" fontId="0" fillId="5" borderId="1" pivotButton="0" quotePrefix="0" xfId="0"/>
    <xf numFmtId="3" fontId="2" fillId="5" borderId="1" applyAlignment="1" pivotButton="0" quotePrefix="0" xfId="0">
      <alignment horizontal="center" vertical="center"/>
    </xf>
    <xf numFmtId="164" fontId="2" fillId="5" borderId="1" applyAlignment="1" pivotButton="0" quotePrefix="0" xfId="0">
      <alignment horizontal="center" vertical="center"/>
    </xf>
    <xf numFmtId="0" fontId="5" fillId="4" borderId="1" applyAlignment="1" pivotButton="0" quotePrefix="0" xfId="0">
      <alignment horizontal="left" vertical="center" wrapText="1"/>
    </xf>
    <xf numFmtId="3" fontId="5" fillId="4" borderId="1" applyAlignment="1" pivotButton="0" quotePrefix="0" xfId="0">
      <alignment horizontal="center" vertical="center"/>
    </xf>
    <xf numFmtId="164" fontId="5" fillId="4" borderId="1" applyAlignment="1" pivotButton="0" quotePrefix="0" xfId="0">
      <alignment horizontal="center" vertical="center"/>
    </xf>
    <xf numFmtId="0" fontId="3" fillId="5" borderId="1" applyAlignment="1" pivotButton="0" quotePrefix="0" xfId="0">
      <alignment horizontal="center" vertical="center"/>
    </xf>
    <xf numFmtId="0" fontId="3" fillId="5" borderId="1" applyAlignment="1" pivotButton="0" quotePrefix="0" xfId="0">
      <alignment horizontal="left" vertical="center" wrapText="1"/>
    </xf>
    <xf numFmtId="165" fontId="3" fillId="5" borderId="1" applyAlignment="1" pivotButton="0" quotePrefix="0" xfId="0">
      <alignment horizontal="center" vertical="center"/>
    </xf>
    <xf numFmtId="0" fontId="9" fillId="6" borderId="1" applyAlignment="1" pivotButton="0" quotePrefix="0" xfId="0">
      <alignment horizontal="center" vertical="center"/>
    </xf>
    <xf numFmtId="0" fontId="9" fillId="6" borderId="1" applyAlignment="1" pivotButton="0" quotePrefix="0" xfId="0">
      <alignment horizontal="left" vertical="center" wrapText="1"/>
    </xf>
    <xf numFmtId="0" fontId="0" fillId="6" borderId="1" pivotButton="0" quotePrefix="0" xfId="0"/>
    <xf numFmtId="165" fontId="9" fillId="6" borderId="1" applyAlignment="1" pivotButton="0" quotePrefix="0" xfId="0">
      <alignment horizontal="center" vertical="center"/>
    </xf>
    <xf numFmtId="0" fontId="3" fillId="0" borderId="0" applyAlignment="1" pivotButton="0" quotePrefix="0" xfId="0">
      <alignment horizontal="left" vertical="center" wrapText="1"/>
    </xf>
    <xf numFmtId="0" fontId="2" fillId="5" borderId="1" applyAlignment="1" pivotButton="0" quotePrefix="0" xfId="0">
      <alignment horizontal="left" vertical="top" wrapText="1"/>
    </xf>
    <xf numFmtId="0" fontId="5" fillId="4" borderId="1" applyAlignment="1" pivotButton="0" quotePrefix="0" xfId="0">
      <alignment horizontal="center" vertical="center"/>
    </xf>
    <xf numFmtId="165" fontId="2" fillId="5" borderId="1" applyAlignment="1" pivotButton="0" quotePrefix="0" xfId="0">
      <alignment horizontal="center" vertical="center"/>
    </xf>
    <xf numFmtId="165" fontId="5" fillId="4" borderId="1" applyAlignment="1" pivotButton="0" quotePrefix="0" xfId="0">
      <alignment horizontal="center" vertical="center"/>
    </xf>
    <xf numFmtId="0" fontId="6" fillId="6" borderId="1" applyAlignment="1" pivotButton="0" quotePrefix="0" xfId="0">
      <alignment horizontal="left" vertical="center" wrapText="1"/>
    </xf>
    <xf numFmtId="165" fontId="6" fillId="6" borderId="1" applyAlignment="1" pivotButton="0" quotePrefix="0" xfId="0">
      <alignment horizontal="center" vertical="center"/>
    </xf>
    <xf numFmtId="0" fontId="6"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2"/>
  <chart>
    <title>
      <tx>
        <rich>
          <a:bodyPr/>
          <a:p>
            <a:pPr>
              <a:defRPr/>
            </a:pPr>
            <a:r>
              <a:t>Physical units by category</a:t>
            </a:r>
          </a:p>
        </rich>
      </tx>
    </title>
    <plotArea>
      <barChart>
        <barDir val="col"/>
        <grouping val="clustered"/>
        <ser>
          <idx val="0"/>
          <order val="0"/>
          <tx>
            <strRef>
              <f>'Dashboard'!D16</f>
            </strRef>
          </tx>
          <spPr>
            <a:solidFill>
              <a:srgbClr val="195E83"/>
            </a:solidFill>
            <a:ln>
              <a:prstDash val="solid"/>
            </a:ln>
          </spPr>
          <cat>
            <numRef>
              <f>'Dashboard'!$A$17:$A$25</f>
            </numRef>
          </cat>
          <val>
            <numRef>
              <f>'Dashboard'!$D$17:$D$25</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title>
          <tx>
            <rich>
              <a:bodyPr/>
              <a:p>
                <a:pPr>
                  <a:defRPr/>
                </a:pPr>
                <a:r>
                  <a:t>units</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Tags by process group</a:t>
            </a:r>
          </a:p>
        </rich>
      </tx>
    </title>
    <plotArea>
      <doughnutChart>
        <varyColors val="1"/>
        <ser>
          <idx val="0"/>
          <order val="0"/>
          <tx>
            <strRef>
              <f>'Dashboard'!J16</f>
            </strRef>
          </tx>
          <spPr>
            <a:ln>
              <a:prstDash val="solid"/>
            </a:ln>
          </spPr>
          <dPt>
            <idx val="0"/>
            <spPr>
              <a:solidFill>
                <a:srgbClr val="195E83"/>
              </a:solidFill>
              <a:ln>
                <a:prstDash val="solid"/>
              </a:ln>
            </spPr>
          </dPt>
          <dPt>
            <idx val="1"/>
            <spPr>
              <a:solidFill>
                <a:srgbClr val="D9652B"/>
              </a:solidFill>
              <a:ln>
                <a:prstDash val="solid"/>
              </a:ln>
            </spPr>
          </dPt>
          <dPt>
            <idx val="2"/>
            <spPr>
              <a:solidFill>
                <a:srgbClr val="31556F"/>
              </a:solidFill>
              <a:ln>
                <a:prstDash val="solid"/>
              </a:ln>
            </spPr>
          </dPt>
          <dPt>
            <idx val="3"/>
            <spPr>
              <a:solidFill>
                <a:srgbClr val="5E8B76"/>
              </a:solidFill>
              <a:ln>
                <a:prstDash val="solid"/>
              </a:ln>
            </spPr>
          </dPt>
          <dPt>
            <idx val="4"/>
            <spPr>
              <a:solidFill>
                <a:srgbClr val="195E83"/>
              </a:solidFill>
              <a:ln>
                <a:prstDash val="solid"/>
              </a:ln>
            </spPr>
          </dPt>
          <dPt>
            <idx val="5"/>
            <spPr>
              <a:solidFill>
                <a:srgbClr val="D9652B"/>
              </a:solidFill>
              <a:ln>
                <a:prstDash val="solid"/>
              </a:ln>
            </spPr>
          </dPt>
          <cat>
            <numRef>
              <f>'Dashboard'!$H$17:$H$22</f>
            </numRef>
          </cat>
          <val>
            <numRef>
              <f>'Dashboard'!$J$17:$J$22</f>
            </numRef>
          </val>
        </ser>
        <firstSliceAng val="0"/>
        <holeSize val="55"/>
      </doughnut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Elevation labels on the drawing</a:t>
            </a:r>
          </a:p>
        </rich>
      </tx>
    </title>
    <plotArea>
      <barChart>
        <barDir val="col"/>
        <grouping val="clustered"/>
        <ser>
          <idx val="0"/>
          <order val="0"/>
          <tx>
            <strRef>
              <f>'Elevations'!D5</f>
            </strRef>
          </tx>
          <spPr>
            <a:solidFill>
              <a:srgbClr val="31556F"/>
            </a:solidFill>
            <a:ln>
              <a:prstDash val="solid"/>
            </a:ln>
          </spPr>
          <cat>
            <numRef>
              <f>'Elevations'!$B$6:$B$33</f>
            </numRef>
          </cat>
          <val>
            <numRef>
              <f>'Elevations'!$D$6:$D$33</f>
            </numRef>
          </val>
        </ser>
        <gapWidth val="150"/>
        <axId val="10"/>
        <axId val="100"/>
      </barChart>
      <catAx>
        <axId val="10"/>
        <scaling>
          <orientation val="minMax"/>
        </scaling>
        <axPos val="l"/>
        <title>
          <tx>
            <rich>
              <a:bodyPr/>
              <a:p>
                <a:pPr>
                  <a:defRPr/>
                </a:pPr>
                <a:r>
                  <a:t>Elevation (m, PDMS)</a:t>
                </a:r>
              </a:p>
            </rich>
          </tx>
        </title>
        <majorTickMark val="none"/>
        <minorTickMark val="none"/>
        <crossAx val="100"/>
        <lblOffset val="100"/>
      </catAx>
      <valAx>
        <axId val="100"/>
        <scaling>
          <orientation val="minMax"/>
        </scaling>
        <axPos val="l"/>
        <title>
          <tx>
            <rich>
              <a:bodyPr/>
              <a:p>
                <a:pPr>
                  <a:defRPr/>
                </a:pPr>
                <a:r>
                  <a:t>labels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27</row>
      <rowOff>0</rowOff>
    </from>
    <ext cx="6840000" cy="342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27</row>
      <rowOff>0</rowOff>
    </from>
    <ext cx="5400000" cy="342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49</row>
      <rowOff>0</rowOff>
    </from>
    <ext cx="11520000" cy="3096000"/>
    <graphicFrame>
      <nvGraphicFramePr>
        <cNvPr id="3" name="Chart 3"/>
        <cNvGraphicFramePr/>
      </nvGraphicFramePr>
      <xfrm/>
      <a:graphic>
        <a:graphicData uri="http://schemas.openxmlformats.org/drawingml/2006/chart">
          <c:chart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N74"/>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6" customHeight="1">
      <c r="A1" s="1" t="inlineStr">
        <is>
          <t>EQUIPMENT DASHBOARD - U-5700 HYDROISODEWAXING UNIT (HIDW) LAY-OUT</t>
        </is>
      </c>
    </row>
    <row r="2" ht="24" customHeight="1">
      <c r="A2" s="2" t="inlineStr">
        <is>
          <t>Drawing DE-5400.00-5700-190-TX3-102 Rev. 0 (03/08/2026)  |  Boaventura Refinery  |  Scale 1/250, A0 sheet  |  Scope: equipment register, areas, elevations and site context</t>
        </is>
      </c>
    </row>
    <row r="4">
      <c r="A4" s="3" t="inlineStr">
        <is>
          <t>EQUIPMENT TAGS</t>
        </is>
      </c>
      <c r="B4" s="4" t="n"/>
      <c r="C4" s="4" t="n"/>
      <c r="D4" s="5" t="inlineStr">
        <is>
          <t>PHYSICAL UNITS</t>
        </is>
      </c>
      <c r="E4" s="4" t="n"/>
      <c r="F4" s="4" t="n"/>
      <c r="G4" s="6" t="inlineStr">
        <is>
          <t>TOTAL BUILT AREA</t>
        </is>
      </c>
      <c r="H4" s="4" t="n"/>
      <c r="I4" s="4" t="n"/>
      <c r="J4" s="7" t="inlineStr">
        <is>
          <t>CATEGORIES</t>
        </is>
      </c>
      <c r="K4" s="4" t="n"/>
      <c r="L4" s="4" t="n"/>
    </row>
    <row r="5">
      <c r="A5" s="8" t="n">
        <v>66</v>
      </c>
      <c r="B5" s="4" t="n"/>
      <c r="C5" s="4" t="n"/>
      <c r="D5" s="8" t="n">
        <v>94</v>
      </c>
      <c r="E5" s="4" t="n"/>
      <c r="F5" s="4" t="n"/>
      <c r="G5" s="8" t="n">
        <v>10788</v>
      </c>
      <c r="H5" s="4" t="n"/>
      <c r="I5" s="4" t="n"/>
      <c r="J5" s="8" t="n">
        <v>9</v>
      </c>
      <c r="K5" s="4" t="n"/>
      <c r="L5" s="4" t="n"/>
    </row>
    <row r="6">
      <c r="A6" s="4" t="n"/>
      <c r="B6" s="4" t="n"/>
      <c r="C6" s="4" t="n"/>
      <c r="D6" s="4" t="n"/>
      <c r="E6" s="4" t="n"/>
      <c r="F6" s="4" t="n"/>
      <c r="G6" s="4" t="n"/>
      <c r="H6" s="4" t="n"/>
      <c r="I6" s="4" t="n"/>
      <c r="J6" s="4" t="n"/>
      <c r="K6" s="4" t="n"/>
      <c r="L6" s="4" t="n"/>
    </row>
    <row r="7" ht="16" customHeight="1">
      <c r="A7" s="9" t="inlineStr">
        <is>
          <t>tags listed in the legend</t>
        </is>
      </c>
      <c r="D7" s="9" t="inlineStr">
        <is>
          <t>items counting A/B and A/B/C suffixes</t>
        </is>
      </c>
      <c r="G7" s="9" t="inlineStr">
        <is>
          <t>m² per the areas table</t>
        </is>
      </c>
      <c r="J7" s="9" t="inlineStr">
        <is>
          <t>equipment categories in the legend</t>
        </is>
      </c>
    </row>
    <row r="9">
      <c r="A9" s="7" t="inlineStr">
        <is>
          <t>PUMP UNITS</t>
        </is>
      </c>
      <c r="B9" s="4" t="n"/>
      <c r="C9" s="4" t="n"/>
      <c r="D9" s="6" t="inlineStr">
        <is>
          <t>VERTICAL ENVELOPE</t>
        </is>
      </c>
      <c r="E9" s="4" t="n"/>
      <c r="F9" s="4" t="n"/>
      <c r="G9" s="5" t="inlineStr">
        <is>
          <t>HIGHEST ELEVATION</t>
        </is>
      </c>
      <c r="H9" s="4" t="n"/>
      <c r="I9" s="4" t="n"/>
      <c r="J9" s="3" t="inlineStr">
        <is>
          <t>PROCESS GROUPS</t>
        </is>
      </c>
      <c r="K9" s="4" t="n"/>
      <c r="L9" s="4" t="n"/>
    </row>
    <row r="10">
      <c r="A10" s="8" t="n">
        <v>34</v>
      </c>
      <c r="B10" s="4" t="n"/>
      <c r="C10" s="4" t="n"/>
      <c r="D10" s="10" t="n">
        <v>65.34</v>
      </c>
      <c r="E10" s="4" t="n"/>
      <c r="F10" s="4" t="n"/>
      <c r="G10" s="11" t="n">
        <v>84.59</v>
      </c>
      <c r="H10" s="4" t="n"/>
      <c r="I10" s="4" t="n"/>
      <c r="J10" s="8" t="n">
        <v>6</v>
      </c>
      <c r="K10" s="4" t="n"/>
      <c r="L10" s="4" t="n"/>
    </row>
    <row r="11">
      <c r="A11" s="4" t="n"/>
      <c r="B11" s="4" t="n"/>
      <c r="C11" s="4" t="n"/>
      <c r="D11" s="4" t="n"/>
      <c r="E11" s="4" t="n"/>
      <c r="F11" s="4" t="n"/>
      <c r="G11" s="4" t="n"/>
      <c r="H11" s="4" t="n"/>
      <c r="I11" s="4" t="n"/>
      <c r="J11" s="4" t="n"/>
      <c r="K11" s="4" t="n"/>
      <c r="L11" s="4" t="n"/>
    </row>
    <row r="12" ht="16" customHeight="1">
      <c r="A12" s="9" t="inlineStr">
        <is>
          <t>largest family: 17 tags in A/B pairs</t>
        </is>
      </c>
      <c r="D12" s="9" t="inlineStr">
        <is>
          <t>m between lowest and highest elevation</t>
        </is>
      </c>
      <c r="G12" s="9" t="inlineStr">
        <is>
          <t>m (PDMS) - 110,730 m above sea level</t>
        </is>
      </c>
      <c r="J12" s="9" t="inlineStr">
        <is>
          <t>groups in our classification</t>
        </is>
      </c>
    </row>
    <row r="15" ht="22" customHeight="1">
      <c r="A15" s="12" t="inlineStr">
        <is>
          <t>EQUIPMENT BY CATEGORY</t>
        </is>
      </c>
      <c r="B15" s="13" t="n"/>
      <c r="C15" s="13" t="n"/>
      <c r="D15" s="13" t="n"/>
      <c r="E15" s="13" t="n"/>
      <c r="H15" s="12" t="inlineStr">
        <is>
          <t>TAGS BY PROCESS GROUP</t>
        </is>
      </c>
      <c r="I15" s="13" t="n"/>
      <c r="J15" s="13" t="n"/>
      <c r="K15" s="13" t="n"/>
    </row>
    <row r="16" ht="26" customHeight="1">
      <c r="A16" s="14" t="inlineStr">
        <is>
          <t>Category</t>
        </is>
      </c>
      <c r="B16" s="13" t="n"/>
      <c r="C16" s="14" t="inlineStr">
        <is>
          <t>Tags</t>
        </is>
      </c>
      <c r="D16" s="14" t="inlineStr">
        <is>
          <t>Units</t>
        </is>
      </c>
      <c r="E16" s="14" t="inlineStr">
        <is>
          <t>% of units</t>
        </is>
      </c>
      <c r="H16" s="14" t="inlineStr">
        <is>
          <t>Process group</t>
        </is>
      </c>
      <c r="I16" s="13" t="n"/>
      <c r="J16" s="14" t="inlineStr">
        <is>
          <t>Tags</t>
        </is>
      </c>
      <c r="K16" s="14" t="inlineStr">
        <is>
          <t>% of tags</t>
        </is>
      </c>
    </row>
    <row r="17">
      <c r="A17" s="15" t="inlineStr">
        <is>
          <t>Reactors</t>
        </is>
      </c>
      <c r="B17" s="16" t="n"/>
      <c r="C17" s="17" t="n">
        <v>2</v>
      </c>
      <c r="D17" s="17" t="n">
        <v>2</v>
      </c>
      <c r="E17" s="18" t="n">
        <v>0.02127659574468085</v>
      </c>
      <c r="H17" s="15" t="inlineStr">
        <is>
          <t>Reaction and hydrogen circuit</t>
        </is>
      </c>
      <c r="I17" s="16" t="n"/>
      <c r="J17" s="17" t="n">
        <v>20</v>
      </c>
      <c r="K17" s="18" t="n">
        <v>0.303030303030303</v>
      </c>
    </row>
    <row r="18">
      <c r="A18" s="15" t="inlineStr">
        <is>
          <t>Vessels</t>
        </is>
      </c>
      <c r="B18" s="16" t="n"/>
      <c r="C18" s="17" t="n">
        <v>15</v>
      </c>
      <c r="D18" s="17" t="n">
        <v>17</v>
      </c>
      <c r="E18" s="18" t="n">
        <v>0.1808510638297872</v>
      </c>
      <c r="H18" s="15" t="inlineStr">
        <is>
          <t>Fractionation and vacuum system</t>
        </is>
      </c>
      <c r="I18" s="16" t="n"/>
      <c r="J18" s="17" t="n">
        <v>17</v>
      </c>
      <c r="K18" s="18" t="n">
        <v>0.2575757575757576</v>
      </c>
    </row>
    <row r="19">
      <c r="A19" s="15" t="inlineStr">
        <is>
          <t>Towers</t>
        </is>
      </c>
      <c r="B19" s="16" t="n"/>
      <c r="C19" s="17" t="n">
        <v>5</v>
      </c>
      <c r="D19" s="17" t="n">
        <v>5</v>
      </c>
      <c r="E19" s="18" t="n">
        <v>0.05319148936170213</v>
      </c>
      <c r="H19" s="15" t="inlineStr">
        <is>
          <t>Base oil products</t>
        </is>
      </c>
      <c r="I19" s="16" t="n"/>
      <c r="J19" s="17" t="n">
        <v>14</v>
      </c>
      <c r="K19" s="18" t="n">
        <v>0.2121212121212121</v>
      </c>
    </row>
    <row r="20">
      <c r="A20" s="15" t="inlineStr">
        <is>
          <t>Exchangers (shell &amp; tube)</t>
        </is>
      </c>
      <c r="B20" s="16" t="n"/>
      <c r="C20" s="17" t="n">
        <v>13</v>
      </c>
      <c r="D20" s="17" t="n">
        <v>19</v>
      </c>
      <c r="E20" s="18" t="n">
        <v>0.2021276595744681</v>
      </c>
      <c r="H20" s="15" t="inlineStr">
        <is>
          <t>Diesel and light products</t>
        </is>
      </c>
      <c r="I20" s="16" t="n"/>
      <c r="J20" s="17" t="n">
        <v>3</v>
      </c>
      <c r="K20" s="18" t="n">
        <v>0.04545454545454546</v>
      </c>
    </row>
    <row r="21">
      <c r="A21" s="15" t="inlineStr">
        <is>
          <t>Exchangers (air coolers)</t>
        </is>
      </c>
      <c r="B21" s="16" t="n"/>
      <c r="C21" s="17" t="n">
        <v>7</v>
      </c>
      <c r="D21" s="17" t="n">
        <v>7</v>
      </c>
      <c r="E21" s="18" t="n">
        <v>0.07446808510638298</v>
      </c>
      <c r="H21" s="15" t="inlineStr">
        <is>
          <t>Water and effluents</t>
        </is>
      </c>
      <c r="I21" s="16" t="n"/>
      <c r="J21" s="17" t="n">
        <v>4</v>
      </c>
      <c r="K21" s="18" t="n">
        <v>0.06060606060606061</v>
      </c>
    </row>
    <row r="22">
      <c r="A22" s="15" t="inlineStr">
        <is>
          <t>Compressors</t>
        </is>
      </c>
      <c r="B22" s="16" t="n"/>
      <c r="C22" s="17" t="n">
        <v>2</v>
      </c>
      <c r="D22" s="17" t="n">
        <v>4</v>
      </c>
      <c r="E22" s="18" t="n">
        <v>0.0425531914893617</v>
      </c>
      <c r="H22" s="15" t="inlineStr">
        <is>
          <t>Utilities and safety systems</t>
        </is>
      </c>
      <c r="I22" s="16" t="n"/>
      <c r="J22" s="17" t="n">
        <v>8</v>
      </c>
      <c r="K22" s="18" t="n">
        <v>0.1212121212121212</v>
      </c>
    </row>
    <row r="23">
      <c r="A23" s="15" t="inlineStr">
        <is>
          <t>Pumps</t>
        </is>
      </c>
      <c r="B23" s="16" t="n"/>
      <c r="C23" s="17" t="n">
        <v>17</v>
      </c>
      <c r="D23" s="17" t="n">
        <v>34</v>
      </c>
      <c r="E23" s="18" t="n">
        <v>0.3617021276595745</v>
      </c>
      <c r="H23" s="19" t="inlineStr">
        <is>
          <t>TOTAL</t>
        </is>
      </c>
      <c r="I23" s="13" t="n"/>
      <c r="J23" s="20" t="n">
        <v>66</v>
      </c>
      <c r="K23" s="21" t="n">
        <v>1</v>
      </c>
    </row>
    <row r="24">
      <c r="A24" s="15" t="inlineStr">
        <is>
          <t>Furnaces</t>
        </is>
      </c>
      <c r="B24" s="16" t="n"/>
      <c r="C24" s="17" t="n">
        <v>2</v>
      </c>
      <c r="D24" s="17" t="n">
        <v>2</v>
      </c>
      <c r="E24" s="18" t="n">
        <v>0.02127659574468085</v>
      </c>
    </row>
    <row r="25">
      <c r="A25" s="15" t="inlineStr">
        <is>
          <t>Miscellaneous</t>
        </is>
      </c>
      <c r="B25" s="16" t="n"/>
      <c r="C25" s="17" t="n">
        <v>3</v>
      </c>
      <c r="D25" s="17" t="n">
        <v>4</v>
      </c>
      <c r="E25" s="18" t="n">
        <v>0.0425531914893617</v>
      </c>
    </row>
    <row r="26">
      <c r="A26" s="19" t="inlineStr">
        <is>
          <t>TOTAL</t>
        </is>
      </c>
      <c r="B26" s="13" t="n"/>
      <c r="C26" s="20" t="n">
        <v>66</v>
      </c>
      <c r="D26" s="20" t="n">
        <v>94</v>
      </c>
      <c r="E26" s="21" t="n">
        <v>1</v>
      </c>
    </row>
    <row r="48" ht="22" customHeight="1">
      <c r="A48" s="12" t="inlineStr">
        <is>
          <t>ELEVATIONS DIMENSIONED ON THE DRAWING - SOURCE: ELEVATIONS TAB</t>
        </is>
      </c>
      <c r="B48" s="13" t="n"/>
      <c r="C48" s="13" t="n"/>
      <c r="D48" s="13" t="n"/>
      <c r="E48" s="13" t="n"/>
      <c r="F48" s="13" t="n"/>
      <c r="G48" s="13" t="n"/>
      <c r="H48" s="13" t="n"/>
      <c r="I48" s="13" t="n"/>
      <c r="J48" s="13" t="n"/>
      <c r="K48" s="13" t="n"/>
      <c r="L48" s="13" t="n"/>
      <c r="M48" s="13" t="n"/>
      <c r="N48" s="13" t="n"/>
    </row>
    <row r="68" ht="22" customHeight="1">
      <c r="A68" s="12" t="inlineStr">
        <is>
          <t>CONSISTENCY CHECKS - HIGHLIGHTS</t>
        </is>
      </c>
      <c r="B68" s="13" t="n"/>
      <c r="C68" s="13" t="n"/>
      <c r="D68" s="13" t="n"/>
      <c r="E68" s="13" t="n"/>
      <c r="F68" s="13" t="n"/>
      <c r="G68" s="13" t="n"/>
      <c r="H68" s="13" t="n"/>
      <c r="I68" s="13" t="n"/>
      <c r="J68" s="13" t="n"/>
      <c r="K68" s="13" t="n"/>
      <c r="L68" s="13" t="n"/>
      <c r="M68" s="13" t="n"/>
      <c r="N68" s="13" t="n"/>
    </row>
    <row r="69">
      <c r="A69" s="14" t="inlineStr">
        <is>
          <t>Group</t>
        </is>
      </c>
      <c r="B69" s="14" t="inlineStr">
        <is>
          <t>Indicator</t>
        </is>
      </c>
      <c r="C69" s="13" t="n"/>
      <c r="D69" s="14" t="inlineStr">
        <is>
          <t>Calculated</t>
        </is>
      </c>
      <c r="E69" s="14" t="inlineStr">
        <is>
          <t>Reference</t>
        </is>
      </c>
      <c r="F69" s="14" t="inlineStr">
        <is>
          <t>Deviation</t>
        </is>
      </c>
      <c r="G69" s="14" t="inlineStr">
        <is>
          <t>Criterion / observation</t>
        </is>
      </c>
      <c r="H69" s="13" t="n"/>
      <c r="I69" s="13" t="n"/>
      <c r="J69" s="13" t="n"/>
      <c r="K69" s="13" t="n"/>
      <c r="L69" s="13" t="n"/>
      <c r="M69" s="13" t="n"/>
      <c r="N69" s="13" t="n"/>
    </row>
    <row r="70" ht="24" customHeight="1">
      <c r="A70" s="22" t="inlineStr">
        <is>
          <t>Areas</t>
        </is>
      </c>
      <c r="B70" s="23" t="inlineStr">
        <is>
          <t>Areas table closes on itself (m²)</t>
        </is>
      </c>
      <c r="C70" s="16" t="n"/>
      <c r="D70" s="24" t="n">
        <v>10788</v>
      </c>
      <c r="E70" s="24" t="n">
        <v>10788</v>
      </c>
      <c r="F70" s="24" t="n">
        <v>0</v>
      </c>
      <c r="G70" s="23" t="inlineStr">
        <is>
          <t>1.369 + 9.419 = 10.788 m², and 148,60 × 72,60 = 10.788,36 m². Dimensions, coordinates and the areas table all agree.</t>
        </is>
      </c>
      <c r="H70" s="16" t="n"/>
      <c r="I70" s="16" t="n"/>
      <c r="J70" s="16" t="n"/>
      <c r="K70" s="16" t="n"/>
      <c r="L70" s="16" t="n"/>
      <c r="M70" s="16" t="n"/>
      <c r="N70" s="16" t="n"/>
    </row>
    <row r="71" ht="24" customHeight="1">
      <c r="A71" s="22" t="inlineStr">
        <is>
          <t>Equipment count</t>
        </is>
      </c>
      <c r="B71" s="23" t="inlineStr">
        <is>
          <t>Physical units expanded from the tag suffixes</t>
        </is>
      </c>
      <c r="C71" s="16" t="n"/>
      <c r="D71" s="24" t="n">
        <v>94</v>
      </c>
      <c r="E71" s="24" t="n">
        <v>94</v>
      </c>
      <c r="F71" s="24" t="n">
        <v>0</v>
      </c>
      <c r="G71" s="23" t="inlineStr">
        <is>
          <t>The 66 tags in the legend expand to 94 physical units through the A/B and A/B/C suffixes; pumps alone account for 34 of them.</t>
        </is>
      </c>
      <c r="H71" s="16" t="n"/>
      <c r="I71" s="16" t="n"/>
      <c r="J71" s="16" t="n"/>
      <c r="K71" s="16" t="n"/>
      <c r="L71" s="16" t="n"/>
      <c r="M71" s="16" t="n"/>
      <c r="N71" s="16" t="n"/>
    </row>
    <row r="72" ht="24" customHeight="1">
      <c r="A72" s="25" t="inlineStr">
        <is>
          <t>DIVERGENCE</t>
        </is>
      </c>
      <c r="B72" s="26" t="inlineStr">
        <is>
          <t>SIRGAS northing labels (mm)</t>
        </is>
      </c>
      <c r="C72" s="27" t="n"/>
      <c r="D72" s="28" t="n">
        <v>7492093680</v>
      </c>
      <c r="E72" s="28" t="n">
        <v>752034729</v>
      </c>
      <c r="F72" s="28" t="n">
        <v>6740058951</v>
      </c>
      <c r="G72" s="26" t="inlineStr">
        <is>
          <t>The N labels imply a constant ten times smaller than Note 2. Note 2 is the consistent value; the labels appear to have dropped a digit. Confirm.</t>
        </is>
      </c>
      <c r="H72" s="27" t="n"/>
      <c r="I72" s="27" t="n"/>
      <c r="J72" s="27" t="n"/>
      <c r="K72" s="27" t="n"/>
      <c r="L72" s="27" t="n"/>
      <c r="M72" s="27" t="n"/>
      <c r="N72" s="27" t="n"/>
    </row>
    <row r="73" ht="24" customHeight="1">
      <c r="A73" s="25" t="inlineStr">
        <is>
          <t>DIVERGENCE</t>
        </is>
      </c>
      <c r="B73" s="26" t="inlineStr">
        <is>
          <t>Tag B-004 missing from the pump sequence</t>
        </is>
      </c>
      <c r="C73" s="27" t="n"/>
      <c r="D73" s="28" t="n">
        <v>17</v>
      </c>
      <c r="E73" s="28" t="n">
        <v>18</v>
      </c>
      <c r="F73" s="28" t="n">
        <v>-1</v>
      </c>
      <c r="G73" s="26" t="inlineStr">
        <is>
          <t>Pumps run B-001 to B-003 then B-005 to B-018. B-004 appears nowhere on the drawing. Confirm.</t>
        </is>
      </c>
      <c r="H73" s="27" t="n"/>
      <c r="I73" s="27" t="n"/>
      <c r="J73" s="27" t="n"/>
      <c r="K73" s="27" t="n"/>
      <c r="L73" s="27" t="n"/>
      <c r="M73" s="27" t="n"/>
      <c r="N73" s="27" t="n"/>
    </row>
    <row r="74" ht="24" customHeight="1">
      <c r="A74" s="25" t="inlineStr">
        <is>
          <t>DIVERGENCE</t>
        </is>
      </c>
      <c r="B74" s="26" t="inlineStr">
        <is>
          <t>V-013 and V-014 share one description</t>
        </is>
      </c>
      <c r="C74" s="27" t="n"/>
      <c r="D74" s="28" t="n">
        <v>2</v>
      </c>
      <c r="E74" s="28" t="n">
        <v>1</v>
      </c>
      <c r="F74" s="28" t="n">
        <v>1</v>
      </c>
      <c r="G74" s="26" t="inlineStr">
        <is>
          <t>Both read 'condensate blowdown drum', with nothing distinguishing the two tags. Confirm.</t>
        </is>
      </c>
      <c r="H74" s="27" t="n"/>
      <c r="I74" s="27" t="n"/>
      <c r="J74" s="27" t="n"/>
      <c r="K74" s="27" t="n"/>
      <c r="L74" s="27" t="n"/>
      <c r="M74" s="27" t="n"/>
      <c r="N74" s="27" t="n"/>
    </row>
  </sheetData>
  <mergeCells count="61">
    <mergeCell ref="A10:C11"/>
    <mergeCell ref="A24:B24"/>
    <mergeCell ref="H20:I20"/>
    <mergeCell ref="G72:N72"/>
    <mergeCell ref="B72:C72"/>
    <mergeCell ref="D5:F6"/>
    <mergeCell ref="A15:E15"/>
    <mergeCell ref="A48:N48"/>
    <mergeCell ref="D10:F11"/>
    <mergeCell ref="G71:N71"/>
    <mergeCell ref="J5:L6"/>
    <mergeCell ref="J4:L4"/>
    <mergeCell ref="A12:C12"/>
    <mergeCell ref="D7:F7"/>
    <mergeCell ref="H15:K15"/>
    <mergeCell ref="G70:N70"/>
    <mergeCell ref="B71:C71"/>
    <mergeCell ref="A1:N1"/>
    <mergeCell ref="J7:L7"/>
    <mergeCell ref="B70:C70"/>
    <mergeCell ref="A16:B16"/>
    <mergeCell ref="H21:I21"/>
    <mergeCell ref="A25:B25"/>
    <mergeCell ref="J10:L11"/>
    <mergeCell ref="D4:F4"/>
    <mergeCell ref="D12:F12"/>
    <mergeCell ref="G4:I4"/>
    <mergeCell ref="D9:F9"/>
    <mergeCell ref="J12:L12"/>
    <mergeCell ref="A4:C4"/>
    <mergeCell ref="A18:B18"/>
    <mergeCell ref="H17:I17"/>
    <mergeCell ref="G69:N69"/>
    <mergeCell ref="B69:C69"/>
    <mergeCell ref="A26:B26"/>
    <mergeCell ref="A21:B21"/>
    <mergeCell ref="B73:C73"/>
    <mergeCell ref="G74:N74"/>
    <mergeCell ref="G10:I11"/>
    <mergeCell ref="H16:I16"/>
    <mergeCell ref="A2:N2"/>
    <mergeCell ref="A9:C9"/>
    <mergeCell ref="G9:I9"/>
    <mergeCell ref="H19:I19"/>
    <mergeCell ref="G12:I12"/>
    <mergeCell ref="A17:B17"/>
    <mergeCell ref="A23:B23"/>
    <mergeCell ref="H22:I22"/>
    <mergeCell ref="A22:B22"/>
    <mergeCell ref="B74:C74"/>
    <mergeCell ref="G73:N73"/>
    <mergeCell ref="A20:B20"/>
    <mergeCell ref="A5:C6"/>
    <mergeCell ref="G5:I6"/>
    <mergeCell ref="A19:B19"/>
    <mergeCell ref="H18:I18"/>
    <mergeCell ref="H23:I23"/>
    <mergeCell ref="A68:N68"/>
    <mergeCell ref="J9:L9"/>
    <mergeCell ref="A7:C7"/>
    <mergeCell ref="G7:I7"/>
  </mergeCells>
  <printOptions horizontalCentered="1"/>
  <pageMargins left="0.3" right="0.3" top="0.4" bottom="0.4" header="0.5" footer="0.5"/>
  <pageSetup orientation="landscape"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I72"/>
  <sheetViews>
    <sheetView showGridLines="0" workbookViewId="0">
      <pane ySplit="5" topLeftCell="A6" activePane="bottomLeft" state="frozen"/>
      <selection pane="bottomLeft" activeCell="A1" sqref="A1"/>
    </sheetView>
  </sheetViews>
  <sheetFormatPr baseColWidth="8" defaultRowHeight="15"/>
  <cols>
    <col width="7" customWidth="1" min="1" max="1"/>
    <col width="12" customWidth="1" min="2" max="2"/>
    <col width="11" customWidth="1" min="3" max="3"/>
    <col width="10" customWidth="1" min="4" max="4"/>
    <col width="9" customWidth="1" min="5" max="5"/>
    <col width="24" customWidth="1" min="6" max="6"/>
    <col width="52" customWidth="1" min="7" max="7"/>
    <col width="30" customWidth="1" min="8" max="8"/>
    <col width="20" customWidth="1" min="9" max="9"/>
  </cols>
  <sheetData>
    <row r="1" ht="36" customHeight="1">
      <c r="A1" s="1" t="inlineStr">
        <is>
          <t>EQUIPMENT LIST - FULL TRANSCRIPTION OF THE DRAWING LEGEND</t>
        </is>
      </c>
    </row>
    <row r="2" ht="24" customHeight="1">
      <c r="A2" s="2" t="inlineStr">
        <is>
          <t>Source: drawing DE-5400.00-5700-190-TX3-102, Rev. 0 (03/08/2026) - LAY-OUT, UNIT U-5700 HIDW - AREAS. Hydroisodewaxing Unit, Boaventura Refinery. Scale 1/250, sheet A0 (1189 x 841 mm).</t>
        </is>
      </c>
    </row>
    <row r="3" ht="26" customHeight="1">
      <c r="A3" s="29" t="inlineStr">
        <is>
          <t>Every tag printed in the drawing legend, in the order it appears. 'Units' is the number of physical items the tag stands for (A/B = 2, A/B/C = 3). The 'Language on drawing' column flags the eight entries the legend prints in Portuguese; for those, the English description below is our translation.</t>
        </is>
      </c>
    </row>
    <row r="5" ht="30" customHeight="1">
      <c r="A5" s="14" t="inlineStr">
        <is>
          <t>#</t>
        </is>
      </c>
      <c r="B5" s="14" t="inlineStr">
        <is>
          <t>Tag</t>
        </is>
      </c>
      <c r="C5" s="14" t="inlineStr">
        <is>
          <t>Base tag</t>
        </is>
      </c>
      <c r="D5" s="14" t="inlineStr">
        <is>
          <t>Suffix</t>
        </is>
      </c>
      <c r="E5" s="14" t="inlineStr">
        <is>
          <t>Units</t>
        </is>
      </c>
      <c r="F5" s="14" t="inlineStr">
        <is>
          <t>Category</t>
        </is>
      </c>
      <c r="G5" s="14" t="inlineStr">
        <is>
          <t>Service description</t>
        </is>
      </c>
      <c r="H5" s="14" t="inlineStr">
        <is>
          <t>Process group</t>
        </is>
      </c>
      <c r="I5" s="14" t="inlineStr">
        <is>
          <t>Language on drawing</t>
        </is>
      </c>
    </row>
    <row r="6">
      <c r="A6" s="17" t="n">
        <v>1</v>
      </c>
      <c r="B6" s="15" t="inlineStr">
        <is>
          <t>R-001</t>
        </is>
      </c>
      <c r="C6" s="15" t="inlineStr">
        <is>
          <t>R-001</t>
        </is>
      </c>
      <c r="D6" s="15" t="inlineStr">
        <is>
          <t>-</t>
        </is>
      </c>
      <c r="E6" s="17" t="n">
        <v>1</v>
      </c>
      <c r="F6" s="15" t="inlineStr">
        <is>
          <t>Reactors</t>
        </is>
      </c>
      <c r="G6" s="15" t="inlineStr">
        <is>
          <t>Dewaxing reactor</t>
        </is>
      </c>
      <c r="H6" s="15" t="inlineStr">
        <is>
          <t>Reaction and hydrogen circuit</t>
        </is>
      </c>
      <c r="I6" s="15" t="inlineStr">
        <is>
          <t>English</t>
        </is>
      </c>
    </row>
    <row r="7">
      <c r="A7" s="17" t="n">
        <v>2</v>
      </c>
      <c r="B7" s="15" t="inlineStr">
        <is>
          <t>R-002</t>
        </is>
      </c>
      <c r="C7" s="15" t="inlineStr">
        <is>
          <t>R-002</t>
        </is>
      </c>
      <c r="D7" s="15" t="inlineStr">
        <is>
          <t>-</t>
        </is>
      </c>
      <c r="E7" s="17" t="n">
        <v>1</v>
      </c>
      <c r="F7" s="15" t="inlineStr">
        <is>
          <t>Reactors</t>
        </is>
      </c>
      <c r="G7" s="15" t="inlineStr">
        <is>
          <t>Hydrofinishing reactor</t>
        </is>
      </c>
      <c r="H7" s="15" t="inlineStr">
        <is>
          <t>Reaction and hydrogen circuit</t>
        </is>
      </c>
      <c r="I7" s="15" t="inlineStr">
        <is>
          <t>English</t>
        </is>
      </c>
    </row>
    <row r="8">
      <c r="A8" s="17" t="n">
        <v>3</v>
      </c>
      <c r="B8" s="15" t="inlineStr">
        <is>
          <t>V-001</t>
        </is>
      </c>
      <c r="C8" s="15" t="inlineStr">
        <is>
          <t>V-001</t>
        </is>
      </c>
      <c r="D8" s="15" t="inlineStr">
        <is>
          <t>-</t>
        </is>
      </c>
      <c r="E8" s="17" t="n">
        <v>1</v>
      </c>
      <c r="F8" s="15" t="inlineStr">
        <is>
          <t>Vessels</t>
        </is>
      </c>
      <c r="G8" s="15" t="inlineStr">
        <is>
          <t>Reactor feed surge drum</t>
        </is>
      </c>
      <c r="H8" s="15" t="inlineStr">
        <is>
          <t>Reaction and hydrogen circuit</t>
        </is>
      </c>
      <c r="I8" s="15" t="inlineStr">
        <is>
          <t>English</t>
        </is>
      </c>
    </row>
    <row r="9">
      <c r="A9" s="17" t="n">
        <v>4</v>
      </c>
      <c r="B9" s="15" t="inlineStr">
        <is>
          <t>V-002</t>
        </is>
      </c>
      <c r="C9" s="15" t="inlineStr">
        <is>
          <t>V-002</t>
        </is>
      </c>
      <c r="D9" s="15" t="inlineStr">
        <is>
          <t>-</t>
        </is>
      </c>
      <c r="E9" s="17" t="n">
        <v>1</v>
      </c>
      <c r="F9" s="15" t="inlineStr">
        <is>
          <t>Vessels</t>
        </is>
      </c>
      <c r="G9" s="15" t="inlineStr">
        <is>
          <t>Cold high pressure separator</t>
        </is>
      </c>
      <c r="H9" s="15" t="inlineStr">
        <is>
          <t>Reaction and hydrogen circuit</t>
        </is>
      </c>
      <c r="I9" s="15" t="inlineStr">
        <is>
          <t>English</t>
        </is>
      </c>
    </row>
    <row r="10">
      <c r="A10" s="17" t="n">
        <v>5</v>
      </c>
      <c r="B10" s="15" t="inlineStr">
        <is>
          <t>V-003</t>
        </is>
      </c>
      <c r="C10" s="15" t="inlineStr">
        <is>
          <t>V-003</t>
        </is>
      </c>
      <c r="D10" s="15" t="inlineStr">
        <is>
          <t>-</t>
        </is>
      </c>
      <c r="E10" s="17" t="n">
        <v>1</v>
      </c>
      <c r="F10" s="15" t="inlineStr">
        <is>
          <t>Vessels</t>
        </is>
      </c>
      <c r="G10" s="15" t="inlineStr">
        <is>
          <t>Recycle gas compressor KO drum</t>
        </is>
      </c>
      <c r="H10" s="15" t="inlineStr">
        <is>
          <t>Reaction and hydrogen circuit</t>
        </is>
      </c>
      <c r="I10" s="15" t="inlineStr">
        <is>
          <t>English</t>
        </is>
      </c>
    </row>
    <row r="11">
      <c r="A11" s="17" t="n">
        <v>6</v>
      </c>
      <c r="B11" s="15" t="inlineStr">
        <is>
          <t>V-004</t>
        </is>
      </c>
      <c r="C11" s="15" t="inlineStr">
        <is>
          <t>V-004</t>
        </is>
      </c>
      <c r="D11" s="15" t="inlineStr">
        <is>
          <t>-</t>
        </is>
      </c>
      <c r="E11" s="17" t="n">
        <v>1</v>
      </c>
      <c r="F11" s="15" t="inlineStr">
        <is>
          <t>Vessels</t>
        </is>
      </c>
      <c r="G11" s="15" t="inlineStr">
        <is>
          <t>Injection water drum</t>
        </is>
      </c>
      <c r="H11" s="15" t="inlineStr">
        <is>
          <t>Water and effluents</t>
        </is>
      </c>
      <c r="I11" s="15" t="inlineStr">
        <is>
          <t>English</t>
        </is>
      </c>
    </row>
    <row r="12">
      <c r="A12" s="17" t="n">
        <v>7</v>
      </c>
      <c r="B12" s="15" t="inlineStr">
        <is>
          <t>V-005</t>
        </is>
      </c>
      <c r="C12" s="15" t="inlineStr">
        <is>
          <t>V-005</t>
        </is>
      </c>
      <c r="D12" s="15" t="inlineStr">
        <is>
          <t>-</t>
        </is>
      </c>
      <c r="E12" s="17" t="n">
        <v>1</v>
      </c>
      <c r="F12" s="15" t="inlineStr">
        <is>
          <t>Vessels</t>
        </is>
      </c>
      <c r="G12" s="15" t="inlineStr">
        <is>
          <t>Sour water degasser</t>
        </is>
      </c>
      <c r="H12" s="15" t="inlineStr">
        <is>
          <t>Water and effluents</t>
        </is>
      </c>
      <c r="I12" s="15" t="inlineStr">
        <is>
          <t>English</t>
        </is>
      </c>
    </row>
    <row r="13">
      <c r="A13" s="17" t="n">
        <v>8</v>
      </c>
      <c r="B13" s="15" t="inlineStr">
        <is>
          <t>V-006</t>
        </is>
      </c>
      <c r="C13" s="15" t="inlineStr">
        <is>
          <t>V-006</t>
        </is>
      </c>
      <c r="D13" s="15" t="inlineStr">
        <is>
          <t>-</t>
        </is>
      </c>
      <c r="E13" s="17" t="n">
        <v>1</v>
      </c>
      <c r="F13" s="15" t="inlineStr">
        <is>
          <t>Vessels</t>
        </is>
      </c>
      <c r="G13" s="15" t="inlineStr">
        <is>
          <t>Stripper overhead drum</t>
        </is>
      </c>
      <c r="H13" s="15" t="inlineStr">
        <is>
          <t>Fractionation and vacuum system</t>
        </is>
      </c>
      <c r="I13" s="15" t="inlineStr">
        <is>
          <t>English</t>
        </is>
      </c>
    </row>
    <row r="14">
      <c r="A14" s="17" t="n">
        <v>9</v>
      </c>
      <c r="B14" s="15" t="inlineStr">
        <is>
          <t>V-007</t>
        </is>
      </c>
      <c r="C14" s="15" t="inlineStr">
        <is>
          <t>V-007</t>
        </is>
      </c>
      <c r="D14" s="15" t="inlineStr">
        <is>
          <t>-</t>
        </is>
      </c>
      <c r="E14" s="17" t="n">
        <v>1</v>
      </c>
      <c r="F14" s="15" t="inlineStr">
        <is>
          <t>Vessels</t>
        </is>
      </c>
      <c r="G14" s="30" t="inlineStr">
        <is>
          <t>Make-up hydrogen first stage suction drum</t>
        </is>
      </c>
      <c r="H14" s="15" t="inlineStr">
        <is>
          <t>Reaction and hydrogen circuit</t>
        </is>
      </c>
      <c r="I14" s="15" t="inlineStr">
        <is>
          <t>English</t>
        </is>
      </c>
    </row>
    <row r="15">
      <c r="A15" s="17" t="n">
        <v>10</v>
      </c>
      <c r="B15" s="15" t="inlineStr">
        <is>
          <t>V-008A/B</t>
        </is>
      </c>
      <c r="C15" s="15" t="inlineStr">
        <is>
          <t>V-008</t>
        </is>
      </c>
      <c r="D15" s="15" t="inlineStr">
        <is>
          <t>A/B</t>
        </is>
      </c>
      <c r="E15" s="17" t="n">
        <v>2</v>
      </c>
      <c r="F15" s="15" t="inlineStr">
        <is>
          <t>Vessels</t>
        </is>
      </c>
      <c r="G15" s="30" t="inlineStr">
        <is>
          <t>Make-up hydrogen second stage suction drum</t>
        </is>
      </c>
      <c r="H15" s="15" t="inlineStr">
        <is>
          <t>Reaction and hydrogen circuit</t>
        </is>
      </c>
      <c r="I15" s="15" t="inlineStr">
        <is>
          <t>English</t>
        </is>
      </c>
    </row>
    <row r="16">
      <c r="A16" s="17" t="n">
        <v>11</v>
      </c>
      <c r="B16" s="15" t="inlineStr">
        <is>
          <t>V-009A/B</t>
        </is>
      </c>
      <c r="C16" s="15" t="inlineStr">
        <is>
          <t>V-009</t>
        </is>
      </c>
      <c r="D16" s="15" t="inlineStr">
        <is>
          <t>A/B</t>
        </is>
      </c>
      <c r="E16" s="17" t="n">
        <v>2</v>
      </c>
      <c r="F16" s="15" t="inlineStr">
        <is>
          <t>Vessels</t>
        </is>
      </c>
      <c r="G16" s="30" t="inlineStr">
        <is>
          <t>Make-up hydrogen third stage suction drum</t>
        </is>
      </c>
      <c r="H16" s="15" t="inlineStr">
        <is>
          <t>Reaction and hydrogen circuit</t>
        </is>
      </c>
      <c r="I16" s="15" t="inlineStr">
        <is>
          <t>English</t>
        </is>
      </c>
    </row>
    <row r="17">
      <c r="A17" s="17" t="n">
        <v>12</v>
      </c>
      <c r="B17" s="15" t="inlineStr">
        <is>
          <t>V-010</t>
        </is>
      </c>
      <c r="C17" s="15" t="inlineStr">
        <is>
          <t>V-010</t>
        </is>
      </c>
      <c r="D17" s="15" t="inlineStr">
        <is>
          <t>-</t>
        </is>
      </c>
      <c r="E17" s="17" t="n">
        <v>1</v>
      </c>
      <c r="F17" s="15" t="inlineStr">
        <is>
          <t>Vessels</t>
        </is>
      </c>
      <c r="G17" s="30" t="inlineStr">
        <is>
          <t>Vacuum column overhead drum (hotwell (Y-001))</t>
        </is>
      </c>
      <c r="H17" s="15" t="inlineStr">
        <is>
          <t>Fractionation and vacuum system</t>
        </is>
      </c>
      <c r="I17" s="15" t="inlineStr">
        <is>
          <t>English</t>
        </is>
      </c>
    </row>
    <row r="18">
      <c r="A18" s="17" t="n">
        <v>13</v>
      </c>
      <c r="B18" s="15" t="inlineStr">
        <is>
          <t>V-011</t>
        </is>
      </c>
      <c r="C18" s="15" t="inlineStr">
        <is>
          <t>V-011</t>
        </is>
      </c>
      <c r="D18" s="15" t="inlineStr">
        <is>
          <t>-</t>
        </is>
      </c>
      <c r="E18" s="17" t="n">
        <v>1</v>
      </c>
      <c r="F18" s="15" t="inlineStr">
        <is>
          <t>Vessels</t>
        </is>
      </c>
      <c r="G18" s="15" t="inlineStr">
        <is>
          <t>Blowdown drum</t>
        </is>
      </c>
      <c r="H18" s="15" t="inlineStr">
        <is>
          <t>Utilities and safety systems</t>
        </is>
      </c>
      <c r="I18" s="15" t="inlineStr">
        <is>
          <t>Portuguese (as printed)</t>
        </is>
      </c>
    </row>
    <row r="19">
      <c r="A19" s="17" t="n">
        <v>14</v>
      </c>
      <c r="B19" s="15" t="inlineStr">
        <is>
          <t>V-012</t>
        </is>
      </c>
      <c r="C19" s="15" t="inlineStr">
        <is>
          <t>V-012</t>
        </is>
      </c>
      <c r="D19" s="15" t="inlineStr">
        <is>
          <t>-</t>
        </is>
      </c>
      <c r="E19" s="17" t="n">
        <v>1</v>
      </c>
      <c r="F19" s="15" t="inlineStr">
        <is>
          <t>Vessels</t>
        </is>
      </c>
      <c r="G19" s="15" t="inlineStr">
        <is>
          <t>Steam drum</t>
        </is>
      </c>
      <c r="H19" s="15" t="inlineStr">
        <is>
          <t>Utilities and safety systems</t>
        </is>
      </c>
      <c r="I19" s="15" t="inlineStr">
        <is>
          <t>Portuguese (as printed)</t>
        </is>
      </c>
    </row>
    <row r="20">
      <c r="A20" s="17" t="n">
        <v>15</v>
      </c>
      <c r="B20" s="15" t="inlineStr">
        <is>
          <t>V-013</t>
        </is>
      </c>
      <c r="C20" s="15" t="inlineStr">
        <is>
          <t>V-013</t>
        </is>
      </c>
      <c r="D20" s="15" t="inlineStr">
        <is>
          <t>-</t>
        </is>
      </c>
      <c r="E20" s="17" t="n">
        <v>1</v>
      </c>
      <c r="F20" s="15" t="inlineStr">
        <is>
          <t>Vessels</t>
        </is>
      </c>
      <c r="G20" s="15" t="inlineStr">
        <is>
          <t>Condensate blowdown drum</t>
        </is>
      </c>
      <c r="H20" s="15" t="inlineStr">
        <is>
          <t>Utilities and safety systems</t>
        </is>
      </c>
      <c r="I20" s="15" t="inlineStr">
        <is>
          <t>Portuguese (as printed)</t>
        </is>
      </c>
    </row>
    <row r="21">
      <c r="A21" s="17" t="n">
        <v>16</v>
      </c>
      <c r="B21" s="15" t="inlineStr">
        <is>
          <t>V-014</t>
        </is>
      </c>
      <c r="C21" s="15" t="inlineStr">
        <is>
          <t>V-014</t>
        </is>
      </c>
      <c r="D21" s="15" t="inlineStr">
        <is>
          <t>-</t>
        </is>
      </c>
      <c r="E21" s="17" t="n">
        <v>1</v>
      </c>
      <c r="F21" s="15" t="inlineStr">
        <is>
          <t>Vessels</t>
        </is>
      </c>
      <c r="G21" s="15" t="inlineStr">
        <is>
          <t>Condensate blowdown drum</t>
        </is>
      </c>
      <c r="H21" s="15" t="inlineStr">
        <is>
          <t>Utilities and safety systems</t>
        </is>
      </c>
      <c r="I21" s="15" t="inlineStr">
        <is>
          <t>Portuguese (as printed)</t>
        </is>
      </c>
    </row>
    <row r="22">
      <c r="A22" s="17" t="n">
        <v>17</v>
      </c>
      <c r="B22" s="15" t="inlineStr">
        <is>
          <t>V-015</t>
        </is>
      </c>
      <c r="C22" s="15" t="inlineStr">
        <is>
          <t>V-015</t>
        </is>
      </c>
      <c r="D22" s="15" t="inlineStr">
        <is>
          <t>-</t>
        </is>
      </c>
      <c r="E22" s="17" t="n">
        <v>1</v>
      </c>
      <c r="F22" s="15" t="inlineStr">
        <is>
          <t>Vessels</t>
        </is>
      </c>
      <c r="G22" s="15" t="inlineStr">
        <is>
          <t>Fuel gas knock-out drum</t>
        </is>
      </c>
      <c r="H22" s="15" t="inlineStr">
        <is>
          <t>Utilities and safety systems</t>
        </is>
      </c>
      <c r="I22" s="15" t="inlineStr">
        <is>
          <t>Portuguese (as printed)</t>
        </is>
      </c>
    </row>
    <row r="23">
      <c r="A23" s="17" t="n">
        <v>18</v>
      </c>
      <c r="B23" s="15" t="inlineStr">
        <is>
          <t>T-001</t>
        </is>
      </c>
      <c r="C23" s="15" t="inlineStr">
        <is>
          <t>T-001</t>
        </is>
      </c>
      <c r="D23" s="15" t="inlineStr">
        <is>
          <t>-</t>
        </is>
      </c>
      <c r="E23" s="17" t="n">
        <v>1</v>
      </c>
      <c r="F23" s="15" t="inlineStr">
        <is>
          <t>Towers</t>
        </is>
      </c>
      <c r="G23" s="15" t="inlineStr">
        <is>
          <t>Product stripper</t>
        </is>
      </c>
      <c r="H23" s="15" t="inlineStr">
        <is>
          <t>Fractionation and vacuum system</t>
        </is>
      </c>
      <c r="I23" s="15" t="inlineStr">
        <is>
          <t>English</t>
        </is>
      </c>
    </row>
    <row r="24">
      <c r="A24" s="17" t="n">
        <v>19</v>
      </c>
      <c r="B24" s="15" t="inlineStr">
        <is>
          <t>T-002</t>
        </is>
      </c>
      <c r="C24" s="15" t="inlineStr">
        <is>
          <t>T-002</t>
        </is>
      </c>
      <c r="D24" s="15" t="inlineStr">
        <is>
          <t>-</t>
        </is>
      </c>
      <c r="E24" s="17" t="n">
        <v>1</v>
      </c>
      <c r="F24" s="15" t="inlineStr">
        <is>
          <t>Towers</t>
        </is>
      </c>
      <c r="G24" s="15" t="inlineStr">
        <is>
          <t>Vacuum column</t>
        </is>
      </c>
      <c r="H24" s="15" t="inlineStr">
        <is>
          <t>Fractionation and vacuum system</t>
        </is>
      </c>
      <c r="I24" s="15" t="inlineStr">
        <is>
          <t>English</t>
        </is>
      </c>
    </row>
    <row r="25">
      <c r="A25" s="17" t="n">
        <v>20</v>
      </c>
      <c r="B25" s="15" t="inlineStr">
        <is>
          <t>T-003</t>
        </is>
      </c>
      <c r="C25" s="15" t="inlineStr">
        <is>
          <t>T-003</t>
        </is>
      </c>
      <c r="D25" s="15" t="inlineStr">
        <is>
          <t>-</t>
        </is>
      </c>
      <c r="E25" s="17" t="n">
        <v>1</v>
      </c>
      <c r="F25" s="15" t="inlineStr">
        <is>
          <t>Towers</t>
        </is>
      </c>
      <c r="G25" s="15" t="inlineStr">
        <is>
          <t>XLN base oil sidecut stripper</t>
        </is>
      </c>
      <c r="H25" s="15" t="inlineStr">
        <is>
          <t>Fractionation and vacuum system</t>
        </is>
      </c>
      <c r="I25" s="15" t="inlineStr">
        <is>
          <t>English</t>
        </is>
      </c>
    </row>
    <row r="26">
      <c r="A26" s="17" t="n">
        <v>21</v>
      </c>
      <c r="B26" s="15" t="inlineStr">
        <is>
          <t>T-004</t>
        </is>
      </c>
      <c r="C26" s="15" t="inlineStr">
        <is>
          <t>T-004</t>
        </is>
      </c>
      <c r="D26" s="15" t="inlineStr">
        <is>
          <t>-</t>
        </is>
      </c>
      <c r="E26" s="17" t="n">
        <v>1</v>
      </c>
      <c r="F26" s="15" t="inlineStr">
        <is>
          <t>Towers</t>
        </is>
      </c>
      <c r="G26" s="15" t="inlineStr">
        <is>
          <t>LN base oil sidecut stripper</t>
        </is>
      </c>
      <c r="H26" s="15" t="inlineStr">
        <is>
          <t>Fractionation and vacuum system</t>
        </is>
      </c>
      <c r="I26" s="15" t="inlineStr">
        <is>
          <t>English</t>
        </is>
      </c>
    </row>
    <row r="27">
      <c r="A27" s="17" t="n">
        <v>22</v>
      </c>
      <c r="B27" s="15" t="inlineStr">
        <is>
          <t>T-005</t>
        </is>
      </c>
      <c r="C27" s="15" t="inlineStr">
        <is>
          <t>T-005</t>
        </is>
      </c>
      <c r="D27" s="15" t="inlineStr">
        <is>
          <t>-</t>
        </is>
      </c>
      <c r="E27" s="17" t="n">
        <v>1</v>
      </c>
      <c r="F27" s="15" t="inlineStr">
        <is>
          <t>Towers</t>
        </is>
      </c>
      <c r="G27" s="15" t="inlineStr">
        <is>
          <t>MN base oil sidecut stripper</t>
        </is>
      </c>
      <c r="H27" s="15" t="inlineStr">
        <is>
          <t>Fractionation and vacuum system</t>
        </is>
      </c>
      <c r="I27" s="15" t="inlineStr">
        <is>
          <t>English</t>
        </is>
      </c>
    </row>
    <row r="28">
      <c r="A28" s="17" t="n">
        <v>23</v>
      </c>
      <c r="B28" s="15" t="inlineStr">
        <is>
          <t>P-001</t>
        </is>
      </c>
      <c r="C28" s="15" t="inlineStr">
        <is>
          <t>P-001</t>
        </is>
      </c>
      <c r="D28" s="15" t="inlineStr">
        <is>
          <t>-</t>
        </is>
      </c>
      <c r="E28" s="17" t="n">
        <v>1</v>
      </c>
      <c r="F28" s="15" t="inlineStr">
        <is>
          <t>Exchangers (shell &amp; tube)</t>
        </is>
      </c>
      <c r="G28" s="15" t="inlineStr">
        <is>
          <t>Feed / LN base oil product exchanger</t>
        </is>
      </c>
      <c r="H28" s="15" t="inlineStr">
        <is>
          <t>Base oil products</t>
        </is>
      </c>
      <c r="I28" s="15" t="inlineStr">
        <is>
          <t>English</t>
        </is>
      </c>
    </row>
    <row r="29">
      <c r="A29" s="17" t="n">
        <v>24</v>
      </c>
      <c r="B29" s="15" t="inlineStr">
        <is>
          <t>P-002</t>
        </is>
      </c>
      <c r="C29" s="15" t="inlineStr">
        <is>
          <t>P-002</t>
        </is>
      </c>
      <c r="D29" s="15" t="inlineStr">
        <is>
          <t>-</t>
        </is>
      </c>
      <c r="E29" s="17" t="n">
        <v>1</v>
      </c>
      <c r="F29" s="15" t="inlineStr">
        <is>
          <t>Exchangers (shell &amp; tube)</t>
        </is>
      </c>
      <c r="G29" s="15" t="inlineStr">
        <is>
          <t>Feed / MN base oil product exchanger</t>
        </is>
      </c>
      <c r="H29" s="15" t="inlineStr">
        <is>
          <t>Base oil products</t>
        </is>
      </c>
      <c r="I29" s="15" t="inlineStr">
        <is>
          <t>English</t>
        </is>
      </c>
    </row>
    <row r="30">
      <c r="A30" s="17" t="n">
        <v>25</v>
      </c>
      <c r="B30" s="15" t="inlineStr">
        <is>
          <t>P-003A/B</t>
        </is>
      </c>
      <c r="C30" s="15" t="inlineStr">
        <is>
          <t>P-003</t>
        </is>
      </c>
      <c r="D30" s="15" t="inlineStr">
        <is>
          <t>A/B</t>
        </is>
      </c>
      <c r="E30" s="17" t="n">
        <v>2</v>
      </c>
      <c r="F30" s="15" t="inlineStr">
        <is>
          <t>Exchangers (shell &amp; tube)</t>
        </is>
      </c>
      <c r="G30" s="15" t="inlineStr">
        <is>
          <t>Feed / LN base oil pumparound exchanger</t>
        </is>
      </c>
      <c r="H30" s="15" t="inlineStr">
        <is>
          <t>Base oil products</t>
        </is>
      </c>
      <c r="I30" s="15" t="inlineStr">
        <is>
          <t>English</t>
        </is>
      </c>
    </row>
    <row r="31">
      <c r="A31" s="17" t="n">
        <v>26</v>
      </c>
      <c r="B31" s="15" t="inlineStr">
        <is>
          <t>P-004A/B/C</t>
        </is>
      </c>
      <c r="C31" s="15" t="inlineStr">
        <is>
          <t>P-004</t>
        </is>
      </c>
      <c r="D31" s="15" t="inlineStr">
        <is>
          <t>A/B/C</t>
        </is>
      </c>
      <c r="E31" s="17" t="n">
        <v>3</v>
      </c>
      <c r="F31" s="15" t="inlineStr">
        <is>
          <t>Exchangers (shell &amp; tube)</t>
        </is>
      </c>
      <c r="G31" s="15" t="inlineStr">
        <is>
          <t>DW reactor feed / effluent exchangers</t>
        </is>
      </c>
      <c r="H31" s="15" t="inlineStr">
        <is>
          <t>Reaction and hydrogen circuit</t>
        </is>
      </c>
      <c r="I31" s="15" t="inlineStr">
        <is>
          <t>English</t>
        </is>
      </c>
    </row>
    <row r="32">
      <c r="A32" s="17" t="n">
        <v>27</v>
      </c>
      <c r="B32" s="15" t="inlineStr">
        <is>
          <t>P-005A/B</t>
        </is>
      </c>
      <c r="C32" s="15" t="inlineStr">
        <is>
          <t>P-005</t>
        </is>
      </c>
      <c r="D32" s="15" t="inlineStr">
        <is>
          <t>A/B</t>
        </is>
      </c>
      <c r="E32" s="17" t="n">
        <v>2</v>
      </c>
      <c r="F32" s="15" t="inlineStr">
        <is>
          <t>Exchangers (shell &amp; tube)</t>
        </is>
      </c>
      <c r="G32" s="30" t="inlineStr">
        <is>
          <t>Reactor effluent / CHPS liquid exchangers</t>
        </is>
      </c>
      <c r="H32" s="15" t="inlineStr">
        <is>
          <t>Reaction and hydrogen circuit</t>
        </is>
      </c>
      <c r="I32" s="15" t="inlineStr">
        <is>
          <t>English</t>
        </is>
      </c>
    </row>
    <row r="33">
      <c r="A33" s="17" t="n">
        <v>28</v>
      </c>
      <c r="B33" s="15" t="inlineStr">
        <is>
          <t>P-006</t>
        </is>
      </c>
      <c r="C33" s="15" t="inlineStr">
        <is>
          <t>P-006</t>
        </is>
      </c>
      <c r="D33" s="15" t="inlineStr">
        <is>
          <t>-</t>
        </is>
      </c>
      <c r="E33" s="17" t="n">
        <v>1</v>
      </c>
      <c r="F33" s="15" t="inlineStr">
        <is>
          <t>Exchangers (shell &amp; tube)</t>
        </is>
      </c>
      <c r="G33" s="30" t="inlineStr">
        <is>
          <t>Product stripper feed / vacuum column bottoms exchanger</t>
        </is>
      </c>
      <c r="H33" s="15" t="inlineStr">
        <is>
          <t>Fractionation and vacuum system</t>
        </is>
      </c>
      <c r="I33" s="15" t="inlineStr">
        <is>
          <t>English</t>
        </is>
      </c>
    </row>
    <row r="34">
      <c r="A34" s="17" t="n">
        <v>29</v>
      </c>
      <c r="B34" s="15" t="inlineStr">
        <is>
          <t>P-007</t>
        </is>
      </c>
      <c r="C34" s="15" t="inlineStr">
        <is>
          <t>P-007</t>
        </is>
      </c>
      <c r="D34" s="15" t="inlineStr">
        <is>
          <t>-</t>
        </is>
      </c>
      <c r="E34" s="17" t="n">
        <v>1</v>
      </c>
      <c r="F34" s="15" t="inlineStr">
        <is>
          <t>Exchangers (shell &amp; tube)</t>
        </is>
      </c>
      <c r="G34" s="15" t="inlineStr">
        <is>
          <t>Stripper overhead trim cooler</t>
        </is>
      </c>
      <c r="H34" s="15" t="inlineStr">
        <is>
          <t>Fractionation and vacuum system</t>
        </is>
      </c>
      <c r="I34" s="15" t="inlineStr">
        <is>
          <t>English</t>
        </is>
      </c>
    </row>
    <row r="35">
      <c r="A35" s="17" t="n">
        <v>30</v>
      </c>
      <c r="B35" s="15" t="inlineStr">
        <is>
          <t>P-008</t>
        </is>
      </c>
      <c r="C35" s="15" t="inlineStr">
        <is>
          <t>P-008</t>
        </is>
      </c>
      <c r="D35" s="15" t="inlineStr">
        <is>
          <t>-</t>
        </is>
      </c>
      <c r="E35" s="17" t="n">
        <v>1</v>
      </c>
      <c r="F35" s="15" t="inlineStr">
        <is>
          <t>Exchangers (shell &amp; tube)</t>
        </is>
      </c>
      <c r="G35" s="15" t="inlineStr">
        <is>
          <t>Diesel product trim cooler</t>
        </is>
      </c>
      <c r="H35" s="15" t="inlineStr">
        <is>
          <t>Diesel and light products</t>
        </is>
      </c>
      <c r="I35" s="15" t="inlineStr">
        <is>
          <t>English</t>
        </is>
      </c>
    </row>
    <row r="36">
      <c r="A36" s="17" t="n">
        <v>31</v>
      </c>
      <c r="B36" s="15" t="inlineStr">
        <is>
          <t>P-009</t>
        </is>
      </c>
      <c r="C36" s="15" t="inlineStr">
        <is>
          <t>P-009</t>
        </is>
      </c>
      <c r="D36" s="15" t="inlineStr">
        <is>
          <t>-</t>
        </is>
      </c>
      <c r="E36" s="17" t="n">
        <v>1</v>
      </c>
      <c r="F36" s="15" t="inlineStr">
        <is>
          <t>Exchangers (shell &amp; tube)</t>
        </is>
      </c>
      <c r="G36" s="15" t="inlineStr">
        <is>
          <t>LN base oil pumparound steam generator</t>
        </is>
      </c>
      <c r="H36" s="15" t="inlineStr">
        <is>
          <t>Base oil products</t>
        </is>
      </c>
      <c r="I36" s="15" t="inlineStr">
        <is>
          <t>English</t>
        </is>
      </c>
    </row>
    <row r="37">
      <c r="A37" s="17" t="n">
        <v>32</v>
      </c>
      <c r="B37" s="15" t="inlineStr">
        <is>
          <t>P-010</t>
        </is>
      </c>
      <c r="C37" s="15" t="inlineStr">
        <is>
          <t>P-010</t>
        </is>
      </c>
      <c r="D37" s="15" t="inlineStr">
        <is>
          <t>-</t>
        </is>
      </c>
      <c r="E37" s="17" t="n">
        <v>1</v>
      </c>
      <c r="F37" s="15" t="inlineStr">
        <is>
          <t>Exchangers (shell &amp; tube)</t>
        </is>
      </c>
      <c r="G37" s="15" t="inlineStr">
        <is>
          <t>Vacuum column bottoms steam generator</t>
        </is>
      </c>
      <c r="H37" s="15" t="inlineStr">
        <is>
          <t>Fractionation and vacuum system</t>
        </is>
      </c>
      <c r="I37" s="15" t="inlineStr">
        <is>
          <t>English</t>
        </is>
      </c>
    </row>
    <row r="38">
      <c r="A38" s="17" t="n">
        <v>33</v>
      </c>
      <c r="B38" s="15" t="inlineStr">
        <is>
          <t>P-011A/B</t>
        </is>
      </c>
      <c r="C38" s="15" t="inlineStr">
        <is>
          <t>P-011</t>
        </is>
      </c>
      <c r="D38" s="15" t="inlineStr">
        <is>
          <t>A/B</t>
        </is>
      </c>
      <c r="E38" s="17" t="n">
        <v>2</v>
      </c>
      <c r="F38" s="15" t="inlineStr">
        <is>
          <t>Exchangers (shell &amp; tube)</t>
        </is>
      </c>
      <c r="G38" s="15" t="inlineStr">
        <is>
          <t>Make-up hydrogen first stage intercooler</t>
        </is>
      </c>
      <c r="H38" s="15" t="inlineStr">
        <is>
          <t>Reaction and hydrogen circuit</t>
        </is>
      </c>
      <c r="I38" s="15" t="inlineStr">
        <is>
          <t>English</t>
        </is>
      </c>
    </row>
    <row r="39">
      <c r="A39" s="17" t="n">
        <v>34</v>
      </c>
      <c r="B39" s="15" t="inlineStr">
        <is>
          <t>P-012A/B</t>
        </is>
      </c>
      <c r="C39" s="15" t="inlineStr">
        <is>
          <t>P-012</t>
        </is>
      </c>
      <c r="D39" s="15" t="inlineStr">
        <is>
          <t>A/B</t>
        </is>
      </c>
      <c r="E39" s="17" t="n">
        <v>2</v>
      </c>
      <c r="F39" s="15" t="inlineStr">
        <is>
          <t>Exchangers (shell &amp; tube)</t>
        </is>
      </c>
      <c r="G39" s="30" t="inlineStr">
        <is>
          <t>Make-up hydrogen second stage intercooler</t>
        </is>
      </c>
      <c r="H39" s="15" t="inlineStr">
        <is>
          <t>Reaction and hydrogen circuit</t>
        </is>
      </c>
      <c r="I39" s="15" t="inlineStr">
        <is>
          <t>English</t>
        </is>
      </c>
    </row>
    <row r="40">
      <c r="A40" s="17" t="n">
        <v>35</v>
      </c>
      <c r="B40" s="15" t="inlineStr">
        <is>
          <t>P-013</t>
        </is>
      </c>
      <c r="C40" s="15" t="inlineStr">
        <is>
          <t>P-013</t>
        </is>
      </c>
      <c r="D40" s="15" t="inlineStr">
        <is>
          <t>-</t>
        </is>
      </c>
      <c r="E40" s="17" t="n">
        <v>1</v>
      </c>
      <c r="F40" s="15" t="inlineStr">
        <is>
          <t>Exchangers (shell &amp; tube)</t>
        </is>
      </c>
      <c r="G40" s="15" t="inlineStr">
        <is>
          <t>Spillback cooler</t>
        </is>
      </c>
      <c r="H40" s="15" t="inlineStr">
        <is>
          <t>Reaction and hydrogen circuit</t>
        </is>
      </c>
      <c r="I40" s="15" t="inlineStr">
        <is>
          <t>English</t>
        </is>
      </c>
    </row>
    <row r="41">
      <c r="A41" s="17" t="n">
        <v>36</v>
      </c>
      <c r="B41" s="15" t="inlineStr">
        <is>
          <t>P-014</t>
        </is>
      </c>
      <c r="C41" s="15" t="inlineStr">
        <is>
          <t>P-014</t>
        </is>
      </c>
      <c r="D41" s="15" t="inlineStr">
        <is>
          <t>-</t>
        </is>
      </c>
      <c r="E41" s="17" t="n">
        <v>1</v>
      </c>
      <c r="F41" s="15" t="inlineStr">
        <is>
          <t>Exchangers (air coolers)</t>
        </is>
      </c>
      <c r="G41" s="15" t="inlineStr">
        <is>
          <t>Reactor effluent air cooler</t>
        </is>
      </c>
      <c r="H41" s="15" t="inlineStr">
        <is>
          <t>Reaction and hydrogen circuit</t>
        </is>
      </c>
      <c r="I41" s="15" t="inlineStr">
        <is>
          <t>English</t>
        </is>
      </c>
    </row>
    <row r="42">
      <c r="A42" s="17" t="n">
        <v>37</v>
      </c>
      <c r="B42" s="15" t="inlineStr">
        <is>
          <t>P-015</t>
        </is>
      </c>
      <c r="C42" s="15" t="inlineStr">
        <is>
          <t>P-015</t>
        </is>
      </c>
      <c r="D42" s="15" t="inlineStr">
        <is>
          <t>-</t>
        </is>
      </c>
      <c r="E42" s="17" t="n">
        <v>1</v>
      </c>
      <c r="F42" s="15" t="inlineStr">
        <is>
          <t>Exchangers (air coolers)</t>
        </is>
      </c>
      <c r="G42" s="15" t="inlineStr">
        <is>
          <t>Stripper overhead air cooler</t>
        </is>
      </c>
      <c r="H42" s="15" t="inlineStr">
        <is>
          <t>Fractionation and vacuum system</t>
        </is>
      </c>
      <c r="I42" s="15" t="inlineStr">
        <is>
          <t>English</t>
        </is>
      </c>
    </row>
    <row r="43">
      <c r="A43" s="17" t="n">
        <v>38</v>
      </c>
      <c r="B43" s="15" t="inlineStr">
        <is>
          <t>P-016</t>
        </is>
      </c>
      <c r="C43" s="15" t="inlineStr">
        <is>
          <t>P-016</t>
        </is>
      </c>
      <c r="D43" s="15" t="inlineStr">
        <is>
          <t>-</t>
        </is>
      </c>
      <c r="E43" s="17" t="n">
        <v>1</v>
      </c>
      <c r="F43" s="15" t="inlineStr">
        <is>
          <t>Exchangers (air coolers)</t>
        </is>
      </c>
      <c r="G43" s="15" t="inlineStr">
        <is>
          <t>Diesel product air cooler</t>
        </is>
      </c>
      <c r="H43" s="15" t="inlineStr">
        <is>
          <t>Diesel and light products</t>
        </is>
      </c>
      <c r="I43" s="15" t="inlineStr">
        <is>
          <t>English</t>
        </is>
      </c>
    </row>
    <row r="44">
      <c r="A44" s="17" t="n">
        <v>39</v>
      </c>
      <c r="B44" s="15" t="inlineStr">
        <is>
          <t>P-017</t>
        </is>
      </c>
      <c r="C44" s="15" t="inlineStr">
        <is>
          <t>P-017</t>
        </is>
      </c>
      <c r="D44" s="15" t="inlineStr">
        <is>
          <t>-</t>
        </is>
      </c>
      <c r="E44" s="17" t="n">
        <v>1</v>
      </c>
      <c r="F44" s="15" t="inlineStr">
        <is>
          <t>Exchangers (air coolers)</t>
        </is>
      </c>
      <c r="G44" s="15" t="inlineStr">
        <is>
          <t>XLN base oil product air cooler</t>
        </is>
      </c>
      <c r="H44" s="15" t="inlineStr">
        <is>
          <t>Base oil products</t>
        </is>
      </c>
      <c r="I44" s="15" t="inlineStr">
        <is>
          <t>English</t>
        </is>
      </c>
    </row>
    <row r="45">
      <c r="A45" s="17" t="n">
        <v>40</v>
      </c>
      <c r="B45" s="15" t="inlineStr">
        <is>
          <t>P-018</t>
        </is>
      </c>
      <c r="C45" s="15" t="inlineStr">
        <is>
          <t>P-018</t>
        </is>
      </c>
      <c r="D45" s="15" t="inlineStr">
        <is>
          <t>-</t>
        </is>
      </c>
      <c r="E45" s="17" t="n">
        <v>1</v>
      </c>
      <c r="F45" s="15" t="inlineStr">
        <is>
          <t>Exchangers (air coolers)</t>
        </is>
      </c>
      <c r="G45" s="15" t="inlineStr">
        <is>
          <t>LN base oil product air cooler</t>
        </is>
      </c>
      <c r="H45" s="15" t="inlineStr">
        <is>
          <t>Base oil products</t>
        </is>
      </c>
      <c r="I45" s="15" t="inlineStr">
        <is>
          <t>English</t>
        </is>
      </c>
    </row>
    <row r="46">
      <c r="A46" s="17" t="n">
        <v>41</v>
      </c>
      <c r="B46" s="15" t="inlineStr">
        <is>
          <t>P-019</t>
        </is>
      </c>
      <c r="C46" s="15" t="inlineStr">
        <is>
          <t>P-019</t>
        </is>
      </c>
      <c r="D46" s="15" t="inlineStr">
        <is>
          <t>-</t>
        </is>
      </c>
      <c r="E46" s="17" t="n">
        <v>1</v>
      </c>
      <c r="F46" s="15" t="inlineStr">
        <is>
          <t>Exchangers (air coolers)</t>
        </is>
      </c>
      <c r="G46" s="15" t="inlineStr">
        <is>
          <t>MN base oil product air cooler</t>
        </is>
      </c>
      <c r="H46" s="15" t="inlineStr">
        <is>
          <t>Base oil products</t>
        </is>
      </c>
      <c r="I46" s="15" t="inlineStr">
        <is>
          <t>English</t>
        </is>
      </c>
    </row>
    <row r="47">
      <c r="A47" s="17" t="n">
        <v>42</v>
      </c>
      <c r="B47" s="15" t="inlineStr">
        <is>
          <t>P-020</t>
        </is>
      </c>
      <c r="C47" s="15" t="inlineStr">
        <is>
          <t>P-020</t>
        </is>
      </c>
      <c r="D47" s="15" t="inlineStr">
        <is>
          <t>-</t>
        </is>
      </c>
      <c r="E47" s="17" t="n">
        <v>1</v>
      </c>
      <c r="F47" s="15" t="inlineStr">
        <is>
          <t>Exchangers (air coolers)</t>
        </is>
      </c>
      <c r="G47" s="15" t="inlineStr">
        <is>
          <t>HN base oil product air cooler</t>
        </is>
      </c>
      <c r="H47" s="15" t="inlineStr">
        <is>
          <t>Base oil products</t>
        </is>
      </c>
      <c r="I47" s="15" t="inlineStr">
        <is>
          <t>English</t>
        </is>
      </c>
    </row>
    <row r="48">
      <c r="A48" s="17" t="n">
        <v>43</v>
      </c>
      <c r="B48" s="15" t="inlineStr">
        <is>
          <t>C-001A/B</t>
        </is>
      </c>
      <c r="C48" s="15" t="inlineStr">
        <is>
          <t>C-001</t>
        </is>
      </c>
      <c r="D48" s="15" t="inlineStr">
        <is>
          <t>A/B</t>
        </is>
      </c>
      <c r="E48" s="17" t="n">
        <v>2</v>
      </c>
      <c r="F48" s="15" t="inlineStr">
        <is>
          <t>Compressors</t>
        </is>
      </c>
      <c r="G48" s="15" t="inlineStr">
        <is>
          <t>Recycle gas compressors</t>
        </is>
      </c>
      <c r="H48" s="15" t="inlineStr">
        <is>
          <t>Reaction and hydrogen circuit</t>
        </is>
      </c>
      <c r="I48" s="15" t="inlineStr">
        <is>
          <t>English</t>
        </is>
      </c>
    </row>
    <row r="49">
      <c r="A49" s="17" t="n">
        <v>44</v>
      </c>
      <c r="B49" s="15" t="inlineStr">
        <is>
          <t>C-002A/B</t>
        </is>
      </c>
      <c r="C49" s="15" t="inlineStr">
        <is>
          <t>C-002</t>
        </is>
      </c>
      <c r="D49" s="15" t="inlineStr">
        <is>
          <t>A/B</t>
        </is>
      </c>
      <c r="E49" s="17" t="n">
        <v>2</v>
      </c>
      <c r="F49" s="15" t="inlineStr">
        <is>
          <t>Compressors</t>
        </is>
      </c>
      <c r="G49" s="15" t="inlineStr">
        <is>
          <t>Make-up hydrogen compressors</t>
        </is>
      </c>
      <c r="H49" s="15" t="inlineStr">
        <is>
          <t>Reaction and hydrogen circuit</t>
        </is>
      </c>
      <c r="I49" s="15" t="inlineStr">
        <is>
          <t>English</t>
        </is>
      </c>
    </row>
    <row r="50">
      <c r="A50" s="17" t="n">
        <v>45</v>
      </c>
      <c r="B50" s="15" t="inlineStr">
        <is>
          <t>B-001A/B</t>
        </is>
      </c>
      <c r="C50" s="15" t="inlineStr">
        <is>
          <t>B-001</t>
        </is>
      </c>
      <c r="D50" s="15" t="inlineStr">
        <is>
          <t>A/B</t>
        </is>
      </c>
      <c r="E50" s="17" t="n">
        <v>2</v>
      </c>
      <c r="F50" s="15" t="inlineStr">
        <is>
          <t>Pumps</t>
        </is>
      </c>
      <c r="G50" s="15" t="inlineStr">
        <is>
          <t>Reactor feed pumps</t>
        </is>
      </c>
      <c r="H50" s="15" t="inlineStr">
        <is>
          <t>Reaction and hydrogen circuit</t>
        </is>
      </c>
      <c r="I50" s="15" t="inlineStr">
        <is>
          <t>English</t>
        </is>
      </c>
    </row>
    <row r="51">
      <c r="A51" s="17" t="n">
        <v>46</v>
      </c>
      <c r="B51" s="15" t="inlineStr">
        <is>
          <t>B-002A/B</t>
        </is>
      </c>
      <c r="C51" s="15" t="inlineStr">
        <is>
          <t>B-002</t>
        </is>
      </c>
      <c r="D51" s="15" t="inlineStr">
        <is>
          <t>A/B</t>
        </is>
      </c>
      <c r="E51" s="17" t="n">
        <v>2</v>
      </c>
      <c r="F51" s="15" t="inlineStr">
        <is>
          <t>Pumps</t>
        </is>
      </c>
      <c r="G51" s="15" t="inlineStr">
        <is>
          <t>Injection water pumps</t>
        </is>
      </c>
      <c r="H51" s="15" t="inlineStr">
        <is>
          <t>Water and effluents</t>
        </is>
      </c>
      <c r="I51" s="15" t="inlineStr">
        <is>
          <t>English</t>
        </is>
      </c>
    </row>
    <row r="52">
      <c r="A52" s="17" t="n">
        <v>47</v>
      </c>
      <c r="B52" s="15" t="inlineStr">
        <is>
          <t>B-003A/B</t>
        </is>
      </c>
      <c r="C52" s="15" t="inlineStr">
        <is>
          <t>B-003</t>
        </is>
      </c>
      <c r="D52" s="15" t="inlineStr">
        <is>
          <t>A/B</t>
        </is>
      </c>
      <c r="E52" s="17" t="n">
        <v>2</v>
      </c>
      <c r="F52" s="15" t="inlineStr">
        <is>
          <t>Pumps</t>
        </is>
      </c>
      <c r="G52" s="15" t="inlineStr">
        <is>
          <t>Sour water degasser pumps</t>
        </is>
      </c>
      <c r="H52" s="15" t="inlineStr">
        <is>
          <t>Water and effluents</t>
        </is>
      </c>
      <c r="I52" s="15" t="inlineStr">
        <is>
          <t>English</t>
        </is>
      </c>
    </row>
    <row r="53">
      <c r="A53" s="17" t="n">
        <v>48</v>
      </c>
      <c r="B53" s="15" t="inlineStr">
        <is>
          <t>B-005A/B</t>
        </is>
      </c>
      <c r="C53" s="15" t="inlineStr">
        <is>
          <t>B-005</t>
        </is>
      </c>
      <c r="D53" s="15" t="inlineStr">
        <is>
          <t>A/B</t>
        </is>
      </c>
      <c r="E53" s="17" t="n">
        <v>2</v>
      </c>
      <c r="F53" s="15" t="inlineStr">
        <is>
          <t>Pumps</t>
        </is>
      </c>
      <c r="G53" s="15" t="inlineStr">
        <is>
          <t>Stripper overhead liquid pumps</t>
        </is>
      </c>
      <c r="H53" s="15" t="inlineStr">
        <is>
          <t>Fractionation and vacuum system</t>
        </is>
      </c>
      <c r="I53" s="15" t="inlineStr">
        <is>
          <t>English</t>
        </is>
      </c>
    </row>
    <row r="54">
      <c r="A54" s="17" t="n">
        <v>49</v>
      </c>
      <c r="B54" s="15" t="inlineStr">
        <is>
          <t>B-006A/B</t>
        </is>
      </c>
      <c r="C54" s="15" t="inlineStr">
        <is>
          <t>B-006</t>
        </is>
      </c>
      <c r="D54" s="15" t="inlineStr">
        <is>
          <t>A/B</t>
        </is>
      </c>
      <c r="E54" s="17" t="n">
        <v>2</v>
      </c>
      <c r="F54" s="15" t="inlineStr">
        <is>
          <t>Pumps</t>
        </is>
      </c>
      <c r="G54" s="15" t="inlineStr">
        <is>
          <t>Diesel pumps</t>
        </is>
      </c>
      <c r="H54" s="15" t="inlineStr">
        <is>
          <t>Diesel and light products</t>
        </is>
      </c>
      <c r="I54" s="15" t="inlineStr">
        <is>
          <t>English</t>
        </is>
      </c>
    </row>
    <row r="55">
      <c r="A55" s="17" t="n">
        <v>50</v>
      </c>
      <c r="B55" s="15" t="inlineStr">
        <is>
          <t>B-007A/B</t>
        </is>
      </c>
      <c r="C55" s="15" t="inlineStr">
        <is>
          <t>B-007</t>
        </is>
      </c>
      <c r="D55" s="15" t="inlineStr">
        <is>
          <t>A/B</t>
        </is>
      </c>
      <c r="E55" s="17" t="n">
        <v>2</v>
      </c>
      <c r="F55" s="15" t="inlineStr">
        <is>
          <t>Pumps</t>
        </is>
      </c>
      <c r="G55" s="15" t="inlineStr">
        <is>
          <t>XLN base oil pumpback pumps</t>
        </is>
      </c>
      <c r="H55" s="15" t="inlineStr">
        <is>
          <t>Base oil products</t>
        </is>
      </c>
      <c r="I55" s="15" t="inlineStr">
        <is>
          <t>English</t>
        </is>
      </c>
    </row>
    <row r="56">
      <c r="A56" s="17" t="n">
        <v>51</v>
      </c>
      <c r="B56" s="15" t="inlineStr">
        <is>
          <t>B-008A/B</t>
        </is>
      </c>
      <c r="C56" s="15" t="inlineStr">
        <is>
          <t>B-008</t>
        </is>
      </c>
      <c r="D56" s="15" t="inlineStr">
        <is>
          <t>A/B</t>
        </is>
      </c>
      <c r="E56" s="17" t="n">
        <v>2</v>
      </c>
      <c r="F56" s="15" t="inlineStr">
        <is>
          <t>Pumps</t>
        </is>
      </c>
      <c r="G56" s="15" t="inlineStr">
        <is>
          <t>XLN base oil products pumps</t>
        </is>
      </c>
      <c r="H56" s="15" t="inlineStr">
        <is>
          <t>Base oil products</t>
        </is>
      </c>
      <c r="I56" s="15" t="inlineStr">
        <is>
          <t>English</t>
        </is>
      </c>
    </row>
    <row r="57">
      <c r="A57" s="17" t="n">
        <v>52</v>
      </c>
      <c r="B57" s="15" t="inlineStr">
        <is>
          <t>B-009A/B</t>
        </is>
      </c>
      <c r="C57" s="15" t="inlineStr">
        <is>
          <t>B-009</t>
        </is>
      </c>
      <c r="D57" s="15" t="inlineStr">
        <is>
          <t>A/B</t>
        </is>
      </c>
      <c r="E57" s="17" t="n">
        <v>2</v>
      </c>
      <c r="F57" s="15" t="inlineStr">
        <is>
          <t>Pumps</t>
        </is>
      </c>
      <c r="G57" s="15" t="inlineStr">
        <is>
          <t>LN base oil pumparound pumps</t>
        </is>
      </c>
      <c r="H57" s="15" t="inlineStr">
        <is>
          <t>Base oil products</t>
        </is>
      </c>
      <c r="I57" s="15" t="inlineStr">
        <is>
          <t>English</t>
        </is>
      </c>
    </row>
    <row r="58">
      <c r="A58" s="17" t="n">
        <v>53</v>
      </c>
      <c r="B58" s="15" t="inlineStr">
        <is>
          <t>B-010A/B</t>
        </is>
      </c>
      <c r="C58" s="15" t="inlineStr">
        <is>
          <t>B-010</t>
        </is>
      </c>
      <c r="D58" s="15" t="inlineStr">
        <is>
          <t>A/B</t>
        </is>
      </c>
      <c r="E58" s="17" t="n">
        <v>2</v>
      </c>
      <c r="F58" s="15" t="inlineStr">
        <is>
          <t>Pumps</t>
        </is>
      </c>
      <c r="G58" s="15" t="inlineStr">
        <is>
          <t>LN base oil products pumps</t>
        </is>
      </c>
      <c r="H58" s="15" t="inlineStr">
        <is>
          <t>Base oil products</t>
        </is>
      </c>
      <c r="I58" s="15" t="inlineStr">
        <is>
          <t>English</t>
        </is>
      </c>
    </row>
    <row r="59">
      <c r="A59" s="17" t="n">
        <v>54</v>
      </c>
      <c r="B59" s="15" t="inlineStr">
        <is>
          <t>B-011A/B</t>
        </is>
      </c>
      <c r="C59" s="15" t="inlineStr">
        <is>
          <t>B-011</t>
        </is>
      </c>
      <c r="D59" s="15" t="inlineStr">
        <is>
          <t>A/B</t>
        </is>
      </c>
      <c r="E59" s="17" t="n">
        <v>2</v>
      </c>
      <c r="F59" s="15" t="inlineStr">
        <is>
          <t>Pumps</t>
        </is>
      </c>
      <c r="G59" s="15" t="inlineStr">
        <is>
          <t>MN base oil pumpback pumps</t>
        </is>
      </c>
      <c r="H59" s="15" t="inlineStr">
        <is>
          <t>Base oil products</t>
        </is>
      </c>
      <c r="I59" s="15" t="inlineStr">
        <is>
          <t>English</t>
        </is>
      </c>
    </row>
    <row r="60">
      <c r="A60" s="17" t="n">
        <v>55</v>
      </c>
      <c r="B60" s="15" t="inlineStr">
        <is>
          <t>B-012A/B</t>
        </is>
      </c>
      <c r="C60" s="15" t="inlineStr">
        <is>
          <t>B-012</t>
        </is>
      </c>
      <c r="D60" s="15" t="inlineStr">
        <is>
          <t>A/B</t>
        </is>
      </c>
      <c r="E60" s="17" t="n">
        <v>2</v>
      </c>
      <c r="F60" s="15" t="inlineStr">
        <is>
          <t>Pumps</t>
        </is>
      </c>
      <c r="G60" s="15" t="inlineStr">
        <is>
          <t>MN base oil products pumps</t>
        </is>
      </c>
      <c r="H60" s="15" t="inlineStr">
        <is>
          <t>Base oil products</t>
        </is>
      </c>
      <c r="I60" s="15" t="inlineStr">
        <is>
          <t>English</t>
        </is>
      </c>
    </row>
    <row r="61">
      <c r="A61" s="17" t="n">
        <v>56</v>
      </c>
      <c r="B61" s="15" t="inlineStr">
        <is>
          <t>B-013A/B</t>
        </is>
      </c>
      <c r="C61" s="15" t="inlineStr">
        <is>
          <t>B-013</t>
        </is>
      </c>
      <c r="D61" s="15" t="inlineStr">
        <is>
          <t>A/B</t>
        </is>
      </c>
      <c r="E61" s="17" t="n">
        <v>2</v>
      </c>
      <c r="F61" s="15" t="inlineStr">
        <is>
          <t>Pumps</t>
        </is>
      </c>
      <c r="G61" s="15" t="inlineStr">
        <is>
          <t>Vacuum column bottoms pumps</t>
        </is>
      </c>
      <c r="H61" s="15" t="inlineStr">
        <is>
          <t>Fractionation and vacuum system</t>
        </is>
      </c>
      <c r="I61" s="15" t="inlineStr">
        <is>
          <t>English</t>
        </is>
      </c>
    </row>
    <row r="62">
      <c r="A62" s="17" t="n">
        <v>57</v>
      </c>
      <c r="B62" s="15" t="inlineStr">
        <is>
          <t>B-014A/B</t>
        </is>
      </c>
      <c r="C62" s="15" t="inlineStr">
        <is>
          <t>B-014</t>
        </is>
      </c>
      <c r="D62" s="15" t="inlineStr">
        <is>
          <t>A/B</t>
        </is>
      </c>
      <c r="E62" s="17" t="n">
        <v>2</v>
      </c>
      <c r="F62" s="15" t="inlineStr">
        <is>
          <t>Pumps</t>
        </is>
      </c>
      <c r="G62" s="15" t="inlineStr">
        <is>
          <t>Vacuum column slop oil pumps (Y-001)</t>
        </is>
      </c>
      <c r="H62" s="15" t="inlineStr">
        <is>
          <t>Fractionation and vacuum system</t>
        </is>
      </c>
      <c r="I62" s="15" t="inlineStr">
        <is>
          <t>English</t>
        </is>
      </c>
    </row>
    <row r="63">
      <c r="A63" s="17" t="n">
        <v>58</v>
      </c>
      <c r="B63" s="15" t="inlineStr">
        <is>
          <t>B-015A/B</t>
        </is>
      </c>
      <c r="C63" s="15" t="inlineStr">
        <is>
          <t>B-015</t>
        </is>
      </c>
      <c r="D63" s="15" t="inlineStr">
        <is>
          <t>A/B</t>
        </is>
      </c>
      <c r="E63" s="17" t="n">
        <v>2</v>
      </c>
      <c r="F63" s="15" t="inlineStr">
        <is>
          <t>Pumps</t>
        </is>
      </c>
      <c r="G63" s="15" t="inlineStr">
        <is>
          <t>Vacuum column sour water pumps (Y-001)</t>
        </is>
      </c>
      <c r="H63" s="15" t="inlineStr">
        <is>
          <t>Fractionation and vacuum system</t>
        </is>
      </c>
      <c r="I63" s="15" t="inlineStr">
        <is>
          <t>English</t>
        </is>
      </c>
    </row>
    <row r="64">
      <c r="A64" s="17" t="n">
        <v>59</v>
      </c>
      <c r="B64" s="15" t="inlineStr">
        <is>
          <t>B-016A/B</t>
        </is>
      </c>
      <c r="C64" s="15" t="inlineStr">
        <is>
          <t>B-016</t>
        </is>
      </c>
      <c r="D64" s="15" t="inlineStr">
        <is>
          <t>A/B</t>
        </is>
      </c>
      <c r="E64" s="17" t="n">
        <v>2</v>
      </c>
      <c r="F64" s="15" t="inlineStr">
        <is>
          <t>Pumps</t>
        </is>
      </c>
      <c r="G64" s="15" t="inlineStr">
        <is>
          <t>Blowdown drum pumps</t>
        </is>
      </c>
      <c r="H64" s="15" t="inlineStr">
        <is>
          <t>Utilities and safety systems</t>
        </is>
      </c>
      <c r="I64" s="15" t="inlineStr">
        <is>
          <t>Portuguese (as printed)</t>
        </is>
      </c>
    </row>
    <row r="65">
      <c r="A65" s="17" t="n">
        <v>60</v>
      </c>
      <c r="B65" s="15" t="inlineStr">
        <is>
          <t>B-017A/B</t>
        </is>
      </c>
      <c r="C65" s="15" t="inlineStr">
        <is>
          <t>B-017</t>
        </is>
      </c>
      <c r="D65" s="15" t="inlineStr">
        <is>
          <t>A/B</t>
        </is>
      </c>
      <c r="E65" s="17" t="n">
        <v>2</v>
      </c>
      <c r="F65" s="15" t="inlineStr">
        <is>
          <t>Pumps</t>
        </is>
      </c>
      <c r="G65" s="15" t="inlineStr">
        <is>
          <t>Pump-out pumps</t>
        </is>
      </c>
      <c r="H65" s="15" t="inlineStr">
        <is>
          <t>Utilities and safety systems</t>
        </is>
      </c>
      <c r="I65" s="15" t="inlineStr">
        <is>
          <t>Portuguese (as printed)</t>
        </is>
      </c>
    </row>
    <row r="66">
      <c r="A66" s="17" t="n">
        <v>61</v>
      </c>
      <c r="B66" s="15" t="inlineStr">
        <is>
          <t>B-018A/B</t>
        </is>
      </c>
      <c r="C66" s="15" t="inlineStr">
        <is>
          <t>B-018</t>
        </is>
      </c>
      <c r="D66" s="15" t="inlineStr">
        <is>
          <t>A/B</t>
        </is>
      </c>
      <c r="E66" s="17" t="n">
        <v>2</v>
      </c>
      <c r="F66" s="15" t="inlineStr">
        <is>
          <t>Pumps</t>
        </is>
      </c>
      <c r="G66" s="15" t="inlineStr">
        <is>
          <t>Condensate pumps</t>
        </is>
      </c>
      <c r="H66" s="15" t="inlineStr">
        <is>
          <t>Utilities and safety systems</t>
        </is>
      </c>
      <c r="I66" s="15" t="inlineStr">
        <is>
          <t>Portuguese (as printed)</t>
        </is>
      </c>
    </row>
    <row r="67">
      <c r="A67" s="17" t="n">
        <v>62</v>
      </c>
      <c r="B67" s="15" t="inlineStr">
        <is>
          <t>F-001</t>
        </is>
      </c>
      <c r="C67" s="15" t="inlineStr">
        <is>
          <t>F-001</t>
        </is>
      </c>
      <c r="D67" s="15" t="inlineStr">
        <is>
          <t>-</t>
        </is>
      </c>
      <c r="E67" s="17" t="n">
        <v>1</v>
      </c>
      <c r="F67" s="15" t="inlineStr">
        <is>
          <t>Furnaces</t>
        </is>
      </c>
      <c r="G67" s="15" t="inlineStr">
        <is>
          <t>Reactor feed furnace</t>
        </is>
      </c>
      <c r="H67" s="15" t="inlineStr">
        <is>
          <t>Reaction and hydrogen circuit</t>
        </is>
      </c>
      <c r="I67" s="15" t="inlineStr">
        <is>
          <t>English</t>
        </is>
      </c>
    </row>
    <row r="68">
      <c r="A68" s="17" t="n">
        <v>63</v>
      </c>
      <c r="B68" s="15" t="inlineStr">
        <is>
          <t>F-002</t>
        </is>
      </c>
      <c r="C68" s="15" t="inlineStr">
        <is>
          <t>F-002</t>
        </is>
      </c>
      <c r="D68" s="15" t="inlineStr">
        <is>
          <t>-</t>
        </is>
      </c>
      <c r="E68" s="17" t="n">
        <v>1</v>
      </c>
      <c r="F68" s="15" t="inlineStr">
        <is>
          <t>Furnaces</t>
        </is>
      </c>
      <c r="G68" s="15" t="inlineStr">
        <is>
          <t>Vacuum column feed furnace</t>
        </is>
      </c>
      <c r="H68" s="15" t="inlineStr">
        <is>
          <t>Fractionation and vacuum system</t>
        </is>
      </c>
      <c r="I68" s="15" t="inlineStr">
        <is>
          <t>English</t>
        </is>
      </c>
    </row>
    <row r="69">
      <c r="A69" s="17" t="n">
        <v>64</v>
      </c>
      <c r="B69" s="15" t="inlineStr">
        <is>
          <t>FT-001A/B</t>
        </is>
      </c>
      <c r="C69" s="15" t="inlineStr">
        <is>
          <t>FT-001</t>
        </is>
      </c>
      <c r="D69" s="15" t="inlineStr">
        <is>
          <t>A/B</t>
        </is>
      </c>
      <c r="E69" s="17" t="n">
        <v>2</v>
      </c>
      <c r="F69" s="15" t="inlineStr">
        <is>
          <t>Miscellaneous</t>
        </is>
      </c>
      <c r="G69" s="15" t="inlineStr">
        <is>
          <t>Feed filter</t>
        </is>
      </c>
      <c r="H69" s="15" t="inlineStr">
        <is>
          <t>Reaction and hydrogen circuit</t>
        </is>
      </c>
      <c r="I69" s="15" t="inlineStr">
        <is>
          <t>English</t>
        </is>
      </c>
    </row>
    <row r="70">
      <c r="A70" s="17" t="n">
        <v>65</v>
      </c>
      <c r="B70" s="15" t="inlineStr">
        <is>
          <t>Y-001</t>
        </is>
      </c>
      <c r="C70" s="15" t="inlineStr">
        <is>
          <t>Y-001</t>
        </is>
      </c>
      <c r="D70" s="15" t="inlineStr">
        <is>
          <t>-</t>
        </is>
      </c>
      <c r="E70" s="17" t="n">
        <v>1</v>
      </c>
      <c r="F70" s="15" t="inlineStr">
        <is>
          <t>Miscellaneous</t>
        </is>
      </c>
      <c r="G70" s="15" t="inlineStr">
        <is>
          <t>Vacuum system</t>
        </is>
      </c>
      <c r="H70" s="15" t="inlineStr">
        <is>
          <t>Fractionation and vacuum system</t>
        </is>
      </c>
      <c r="I70" s="15" t="inlineStr">
        <is>
          <t>English</t>
        </is>
      </c>
    </row>
    <row r="71">
      <c r="A71" s="17" t="n">
        <v>66</v>
      </c>
      <c r="B71" s="15" t="inlineStr">
        <is>
          <t>Y-002</t>
        </is>
      </c>
      <c r="C71" s="15" t="inlineStr">
        <is>
          <t>Y-002</t>
        </is>
      </c>
      <c r="D71" s="15" t="inlineStr">
        <is>
          <t>-</t>
        </is>
      </c>
      <c r="E71" s="17" t="n">
        <v>1</v>
      </c>
      <c r="F71" s="15" t="inlineStr">
        <is>
          <t>Miscellaneous</t>
        </is>
      </c>
      <c r="G71" s="15" t="inlineStr">
        <is>
          <t>Feed coalescer</t>
        </is>
      </c>
      <c r="H71" s="15" t="inlineStr">
        <is>
          <t>Reaction and hydrogen circuit</t>
        </is>
      </c>
      <c r="I71" s="15" t="inlineStr">
        <is>
          <t>English</t>
        </is>
      </c>
    </row>
    <row r="72">
      <c r="A72" s="31" t="inlineStr">
        <is>
          <t>TOTAL</t>
        </is>
      </c>
      <c r="B72" s="13" t="n"/>
      <c r="C72" s="31" t="n"/>
      <c r="D72" s="31" t="n"/>
      <c r="E72" s="20" t="n">
        <v>94</v>
      </c>
      <c r="F72" s="31" t="inlineStr">
        <is>
          <t>9 categories</t>
        </is>
      </c>
      <c r="G72" s="31" t="n"/>
      <c r="H72" s="31" t="inlineStr">
        <is>
          <t>6 groups</t>
        </is>
      </c>
      <c r="I72" s="31" t="n"/>
    </row>
  </sheetData>
  <mergeCells count="4">
    <mergeCell ref="A1:I1"/>
    <mergeCell ref="A72:B72"/>
    <mergeCell ref="A3:I3"/>
    <mergeCell ref="A2:I2"/>
  </mergeCells>
  <printOptions horizontalCentered="1"/>
  <pageMargins left="0.3" right="0.3" top="0.4" bottom="0.4"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15"/>
  <sheetViews>
    <sheetView showGridLines="0" workbookViewId="0">
      <pane ySplit="5" topLeftCell="A6" activePane="bottomLeft" state="frozen"/>
      <selection pane="bottomLeft" activeCell="A1" sqref="A1"/>
    </sheetView>
  </sheetViews>
  <sheetFormatPr baseColWidth="8" defaultRowHeight="15"/>
  <cols>
    <col width="26" customWidth="1" min="1" max="1"/>
    <col width="22" customWidth="1" min="2" max="2"/>
    <col width="10" customWidth="1" min="3" max="3"/>
    <col width="11" customWidth="1" min="4" max="4"/>
    <col width="11" customWidth="1" min="5" max="5"/>
    <col width="86" customWidth="1" min="6" max="6"/>
  </cols>
  <sheetData>
    <row r="1" ht="36" customHeight="1">
      <c r="A1" s="1" t="inlineStr">
        <is>
          <t>SUMMARY BY EQUIPMENT CATEGORY</t>
        </is>
      </c>
    </row>
    <row r="2" ht="24" customHeight="1">
      <c r="A2" s="2" t="inlineStr">
        <is>
          <t>Source: drawing DE-5400.00-5700-190-TX3-102, Rev. 0 (03/08/2026) - LAY-OUT, UNIT U-5700 HIDW - AREAS. Hydroisodewaxing Unit, Boaventura Refinery. Scale 1/250, sheet A0 (1189 x 841 mm).</t>
        </is>
      </c>
    </row>
    <row r="3" ht="18" customHeight="1">
      <c r="A3" s="29" t="inlineStr">
        <is>
          <t>Tag and unit counts per category, using the legend headings of the drawing.</t>
        </is>
      </c>
    </row>
    <row r="5" ht="30" customHeight="1">
      <c r="A5" s="14" t="inlineStr">
        <is>
          <t>Category</t>
        </is>
      </c>
      <c r="B5" s="14" t="inlineStr">
        <is>
          <t>Legend heading</t>
        </is>
      </c>
      <c r="C5" s="14" t="inlineStr">
        <is>
          <t>Tags</t>
        </is>
      </c>
      <c r="D5" s="14" t="inlineStr">
        <is>
          <t>Units</t>
        </is>
      </c>
      <c r="E5" s="14" t="inlineStr">
        <is>
          <t>% of units</t>
        </is>
      </c>
      <c r="F5" s="14" t="inlineStr">
        <is>
          <t>Tags in this set</t>
        </is>
      </c>
    </row>
    <row r="6">
      <c r="A6" s="15" t="inlineStr">
        <is>
          <t>Reactors</t>
        </is>
      </c>
      <c r="B6" s="15" t="inlineStr">
        <is>
          <t>REACTORS</t>
        </is>
      </c>
      <c r="C6" s="17" t="n">
        <v>2</v>
      </c>
      <c r="D6" s="17" t="n">
        <v>2</v>
      </c>
      <c r="E6" s="18" t="n">
        <v>0.02127659574468085</v>
      </c>
      <c r="F6" s="15" t="inlineStr">
        <is>
          <t>R-001, R-002</t>
        </is>
      </c>
    </row>
    <row r="7">
      <c r="A7" s="15" t="inlineStr">
        <is>
          <t>Vessels</t>
        </is>
      </c>
      <c r="B7" s="15" t="inlineStr">
        <is>
          <t>VESSELS</t>
        </is>
      </c>
      <c r="C7" s="17" t="n">
        <v>15</v>
      </c>
      <c r="D7" s="17" t="n">
        <v>17</v>
      </c>
      <c r="E7" s="18" t="n">
        <v>0.1808510638297872</v>
      </c>
      <c r="F7" s="30" t="inlineStr">
        <is>
          <t>V-001, V-002, V-003, V-004, V-005, V-006, V-007, V-008A/B, V-009A/B, V-010, V-011, V-012, V-013, V-014, V-015</t>
        </is>
      </c>
    </row>
    <row r="8">
      <c r="A8" s="15" t="inlineStr">
        <is>
          <t>Towers</t>
        </is>
      </c>
      <c r="B8" s="15" t="inlineStr">
        <is>
          <t>TOWER</t>
        </is>
      </c>
      <c r="C8" s="17" t="n">
        <v>5</v>
      </c>
      <c r="D8" s="17" t="n">
        <v>5</v>
      </c>
      <c r="E8" s="18" t="n">
        <v>0.05319148936170213</v>
      </c>
      <c r="F8" s="15" t="inlineStr">
        <is>
          <t>T-001, T-002, T-003, T-004, T-005</t>
        </is>
      </c>
    </row>
    <row r="9">
      <c r="A9" s="15" t="inlineStr">
        <is>
          <t>Exchangers (shell &amp; tube)</t>
        </is>
      </c>
      <c r="B9" s="15" t="inlineStr">
        <is>
          <t>EXCHANGERS S&amp;T</t>
        </is>
      </c>
      <c r="C9" s="17" t="n">
        <v>13</v>
      </c>
      <c r="D9" s="17" t="n">
        <v>19</v>
      </c>
      <c r="E9" s="18" t="n">
        <v>0.2021276595744681</v>
      </c>
      <c r="F9" s="30" t="inlineStr">
        <is>
          <t>P-001, P-002, P-003A/B, P-004A/B/C, P-005A/B, P-006, P-007, P-008, P-009, P-010, P-011A/B, P-012A/B, P-013</t>
        </is>
      </c>
    </row>
    <row r="10">
      <c r="A10" s="15" t="inlineStr">
        <is>
          <t>Exchangers (air coolers)</t>
        </is>
      </c>
      <c r="B10" s="15" t="inlineStr">
        <is>
          <t>EXCHANGER AC</t>
        </is>
      </c>
      <c r="C10" s="17" t="n">
        <v>7</v>
      </c>
      <c r="D10" s="17" t="n">
        <v>7</v>
      </c>
      <c r="E10" s="18" t="n">
        <v>0.07446808510638298</v>
      </c>
      <c r="F10" s="30" t="inlineStr">
        <is>
          <t>P-014, P-015, P-016, P-017, P-018, P-019, P-020</t>
        </is>
      </c>
    </row>
    <row r="11">
      <c r="A11" s="15" t="inlineStr">
        <is>
          <t>Compressors</t>
        </is>
      </c>
      <c r="B11" s="15" t="inlineStr">
        <is>
          <t>COMPRESSORS</t>
        </is>
      </c>
      <c r="C11" s="17" t="n">
        <v>2</v>
      </c>
      <c r="D11" s="17" t="n">
        <v>4</v>
      </c>
      <c r="E11" s="18" t="n">
        <v>0.0425531914893617</v>
      </c>
      <c r="F11" s="15" t="inlineStr">
        <is>
          <t>C-001A/B, C-002A/B</t>
        </is>
      </c>
    </row>
    <row r="12">
      <c r="A12" s="15" t="inlineStr">
        <is>
          <t>Pumps</t>
        </is>
      </c>
      <c r="B12" s="15" t="inlineStr">
        <is>
          <t>PUMPS</t>
        </is>
      </c>
      <c r="C12" s="17" t="n">
        <v>17</v>
      </c>
      <c r="D12" s="17" t="n">
        <v>34</v>
      </c>
      <c r="E12" s="18" t="n">
        <v>0.3617021276595745</v>
      </c>
      <c r="F12" s="30" t="inlineStr">
        <is>
          <t>B-001A/B, B-002A/B, B-003A/B, B-005A/B, B-006A/B, B-007A/B, B-008A/B, B-009A/B, B-010A/B, B-011A/B, B-012A/B, B-013A/B, B-014A/B, B-015A/B, B-016A/B, B-017A/B, B-018A/B</t>
        </is>
      </c>
    </row>
    <row r="13">
      <c r="A13" s="15" t="inlineStr">
        <is>
          <t>Furnaces</t>
        </is>
      </c>
      <c r="B13" s="15" t="inlineStr">
        <is>
          <t>FURNACES</t>
        </is>
      </c>
      <c r="C13" s="17" t="n">
        <v>2</v>
      </c>
      <c r="D13" s="17" t="n">
        <v>2</v>
      </c>
      <c r="E13" s="18" t="n">
        <v>0.02127659574468085</v>
      </c>
      <c r="F13" s="15" t="inlineStr">
        <is>
          <t>F-001, F-002</t>
        </is>
      </c>
    </row>
    <row r="14">
      <c r="A14" s="15" t="inlineStr">
        <is>
          <t>Miscellaneous</t>
        </is>
      </c>
      <c r="B14" s="15" t="inlineStr">
        <is>
          <t>MISCELLANEOUS</t>
        </is>
      </c>
      <c r="C14" s="17" t="n">
        <v>3</v>
      </c>
      <c r="D14" s="17" t="n">
        <v>4</v>
      </c>
      <c r="E14" s="18" t="n">
        <v>0.0425531914893617</v>
      </c>
      <c r="F14" s="15" t="inlineStr">
        <is>
          <t>FT-001A/B, Y-001, Y-002</t>
        </is>
      </c>
    </row>
    <row r="15">
      <c r="A15" s="31" t="inlineStr">
        <is>
          <t>TOTAL</t>
        </is>
      </c>
      <c r="B15" s="13" t="n"/>
      <c r="C15" s="20" t="n">
        <v>66</v>
      </c>
      <c r="D15" s="20" t="n">
        <v>94</v>
      </c>
      <c r="E15" s="21" t="n">
        <v>1</v>
      </c>
      <c r="F15" s="31" t="n"/>
    </row>
  </sheetData>
  <mergeCells count="4">
    <mergeCell ref="A3:F3"/>
    <mergeCell ref="A2:F2"/>
    <mergeCell ref="A1:F1"/>
    <mergeCell ref="A15:B15"/>
  </mergeCells>
  <printOptions horizontalCentered="1"/>
  <pageMargins left="0.3" right="0.3" top="0.4" bottom="0.4"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12"/>
  <sheetViews>
    <sheetView showGridLines="0" workbookViewId="0">
      <pane ySplit="5" topLeftCell="A6" activePane="bottomLeft" state="frozen"/>
      <selection pane="bottomLeft" activeCell="A1" sqref="A1"/>
    </sheetView>
  </sheetViews>
  <sheetFormatPr baseColWidth="8" defaultRowHeight="15"/>
  <cols>
    <col width="34" customWidth="1" min="1" max="1"/>
    <col width="10" customWidth="1" min="2" max="2"/>
    <col width="11" customWidth="1" min="3" max="3"/>
    <col width="11" customWidth="1" min="4" max="4"/>
    <col width="96" customWidth="1" min="5" max="5"/>
  </cols>
  <sheetData>
    <row r="1" ht="36" customHeight="1">
      <c r="A1" s="1" t="inlineStr">
        <is>
          <t>PROCESS GROUPS</t>
        </is>
      </c>
    </row>
    <row r="2" ht="24" customHeight="1">
      <c r="A2" s="2" t="inlineStr">
        <is>
          <t>Source: drawing DE-5400.00-5700-190-TX3-102, Rev. 0 (03/08/2026) - LAY-OUT, UNIT U-5700 HIDW - AREAS. Hydroisodewaxing Unit, Boaventura Refinery. Scale 1/250, sheet A0 (1189 x 841 mm).</t>
        </is>
      </c>
    </row>
    <row r="3" ht="26" customHeight="1">
      <c r="A3" s="29" t="inlineStr">
        <is>
          <t>Grouping by process service. This classification is OUR reading of the equipment descriptions - the drawing does not group equipment this way. It is offered as a planning aid, not as a transcription.</t>
        </is>
      </c>
    </row>
    <row r="5" ht="30" customHeight="1">
      <c r="A5" s="14" t="inlineStr">
        <is>
          <t>Process group</t>
        </is>
      </c>
      <c r="B5" s="14" t="inlineStr">
        <is>
          <t>Tags</t>
        </is>
      </c>
      <c r="C5" s="14" t="inlineStr">
        <is>
          <t>Units</t>
        </is>
      </c>
      <c r="D5" s="14" t="inlineStr">
        <is>
          <t>% of tags</t>
        </is>
      </c>
      <c r="E5" s="14" t="inlineStr">
        <is>
          <t>Tags in this set</t>
        </is>
      </c>
    </row>
    <row r="6">
      <c r="A6" s="15" t="inlineStr">
        <is>
          <t>Reaction and hydrogen circuit</t>
        </is>
      </c>
      <c r="B6" s="17" t="n">
        <v>20</v>
      </c>
      <c r="C6" s="17" t="n">
        <v>31</v>
      </c>
      <c r="D6" s="18" t="n">
        <v>0.303030303030303</v>
      </c>
      <c r="E6" s="30" t="inlineStr">
        <is>
          <t>R-001, R-002, V-001, V-002, V-003, V-007, V-008A/B, V-009A/B, P-004A/B/C, P-005A/B, P-011A/B, P-012A/B, P-013, P-014, C-001A/B, C-002A/B, B-001A/B, F-001, FT-001A/B, Y-002</t>
        </is>
      </c>
    </row>
    <row r="7">
      <c r="A7" s="15" t="inlineStr">
        <is>
          <t>Fractionation and vacuum system</t>
        </is>
      </c>
      <c r="B7" s="17" t="n">
        <v>17</v>
      </c>
      <c r="C7" s="17" t="n">
        <v>21</v>
      </c>
      <c r="D7" s="18" t="n">
        <v>0.2575757575757576</v>
      </c>
      <c r="E7" s="30" t="inlineStr">
        <is>
          <t>V-006, V-010, T-001, T-002, T-003, T-004, T-005, P-006, P-007, P-010, P-015, B-005A/B, B-013A/B, B-014A/B, B-015A/B, F-002, Y-001</t>
        </is>
      </c>
    </row>
    <row r="8">
      <c r="A8" s="15" t="inlineStr">
        <is>
          <t>Base oil products</t>
        </is>
      </c>
      <c r="B8" s="17" t="n">
        <v>14</v>
      </c>
      <c r="C8" s="17" t="n">
        <v>21</v>
      </c>
      <c r="D8" s="18" t="n">
        <v>0.2121212121212121</v>
      </c>
      <c r="E8" s="30" t="inlineStr">
        <is>
          <t>P-001, P-002, P-003A/B, P-009, P-017, P-018, P-019, P-020, B-007A/B, B-008A/B, B-009A/B, B-010A/B, B-011A/B, B-012A/B</t>
        </is>
      </c>
    </row>
    <row r="9">
      <c r="A9" s="15" t="inlineStr">
        <is>
          <t>Diesel and light products</t>
        </is>
      </c>
      <c r="B9" s="17" t="n">
        <v>3</v>
      </c>
      <c r="C9" s="17" t="n">
        <v>4</v>
      </c>
      <c r="D9" s="18" t="n">
        <v>0.04545454545454546</v>
      </c>
      <c r="E9" s="15" t="inlineStr">
        <is>
          <t>P-008, P-016, B-006A/B</t>
        </is>
      </c>
    </row>
    <row r="10">
      <c r="A10" s="15" t="inlineStr">
        <is>
          <t>Water and effluents</t>
        </is>
      </c>
      <c r="B10" s="17" t="n">
        <v>4</v>
      </c>
      <c r="C10" s="17" t="n">
        <v>6</v>
      </c>
      <c r="D10" s="18" t="n">
        <v>0.06060606060606061</v>
      </c>
      <c r="E10" s="15" t="inlineStr">
        <is>
          <t>V-004, V-005, B-002A/B, B-003A/B</t>
        </is>
      </c>
    </row>
    <row r="11">
      <c r="A11" s="15" t="inlineStr">
        <is>
          <t>Utilities and safety systems</t>
        </is>
      </c>
      <c r="B11" s="17" t="n">
        <v>8</v>
      </c>
      <c r="C11" s="17" t="n">
        <v>11</v>
      </c>
      <c r="D11" s="18" t="n">
        <v>0.1212121212121212</v>
      </c>
      <c r="E11" s="30" t="inlineStr">
        <is>
          <t>V-011, V-012, V-013, V-014, V-015, B-016A/B, B-017A/B, B-018A/B</t>
        </is>
      </c>
    </row>
    <row r="12">
      <c r="A12" s="31" t="inlineStr">
        <is>
          <t>TOTAL</t>
        </is>
      </c>
      <c r="B12" s="20" t="n">
        <v>66</v>
      </c>
      <c r="C12" s="20" t="n">
        <v>94</v>
      </c>
      <c r="D12" s="21" t="n">
        <v>1</v>
      </c>
      <c r="E12" s="31" t="n"/>
    </row>
  </sheetData>
  <mergeCells count="3">
    <mergeCell ref="A2:E2"/>
    <mergeCell ref="A1:E1"/>
    <mergeCell ref="A3:E3"/>
  </mergeCells>
  <printOptions horizontalCentered="1"/>
  <pageMargins left="0.3" right="0.3" top="0.4" bottom="0.4"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F34"/>
  <sheetViews>
    <sheetView showGridLines="0" workbookViewId="0">
      <pane ySplit="5" topLeftCell="A6" activePane="bottomLeft" state="frozen"/>
      <selection pane="bottomLeft" activeCell="A1" sqref="A1"/>
    </sheetView>
  </sheetViews>
  <sheetFormatPr baseColWidth="8" defaultRowHeight="15"/>
  <cols>
    <col width="8" customWidth="1" min="1" max="1"/>
    <col width="18" customWidth="1" min="2" max="2"/>
    <col width="20" customWidth="1" min="3" max="3"/>
    <col width="14" customWidth="1" min="4" max="4"/>
    <col width="20" customWidth="1" min="5" max="5"/>
  </cols>
  <sheetData>
    <row r="1" ht="36" customHeight="1">
      <c r="A1" s="1" t="inlineStr">
        <is>
          <t>ELEVATIONS DIMENSIONED ON THE DRAWING</t>
        </is>
      </c>
    </row>
    <row r="2" ht="24" customHeight="1">
      <c r="A2" s="2" t="inlineStr">
        <is>
          <t>Source: drawing DE-5400.00-5700-190-TX3-102, Rev. 0 (03/08/2026) - LAY-OUT, UNIT U-5700 HIDW - AREAS. Hydroisodewaxing Unit, Boaventura Refinery. Scale 1/250, sheet A0 (1189 x 841 mm).</t>
        </is>
      </c>
    </row>
    <row r="3" ht="26" customHeight="1">
      <c r="A3" s="29" t="inlineStr">
        <is>
          <t>The 38 elevation labels found on the drawing, reduced to 28 distinct values. The drawing renders the in-plan equipment labels as vector artwork rather than text, so each elevation CANNOT be tied to a specific tag automatically - the values are catalogued as levels, not assigned to equipment. Note 2 sets EL. 0,00 (PDMS) = EL. 26,140 above sea level (Imbituba tide gauge, SC).</t>
        </is>
      </c>
    </row>
    <row r="5" ht="30" customHeight="1">
      <c r="A5" s="14" t="inlineStr">
        <is>
          <t>#</t>
        </is>
      </c>
      <c r="B5" s="14" t="inlineStr">
        <is>
          <t>Elevation
(m, PDMS)</t>
        </is>
      </c>
      <c r="C5" s="14" t="inlineStr">
        <is>
          <t>Elevation
(m above sea level)</t>
        </is>
      </c>
      <c r="D5" s="14" t="inlineStr">
        <is>
          <t>Labels on
the drawing</t>
        </is>
      </c>
      <c r="E5" s="14" t="inlineStr">
        <is>
          <t>Above lowest
level (m)</t>
        </is>
      </c>
    </row>
    <row r="6">
      <c r="A6" s="17" t="n">
        <v>1</v>
      </c>
      <c r="B6" s="32" t="n">
        <v>19.25</v>
      </c>
      <c r="C6" s="32" t="n">
        <v>45.39</v>
      </c>
      <c r="D6" s="17" t="n">
        <v>2</v>
      </c>
      <c r="E6" s="32" t="n">
        <v>0</v>
      </c>
    </row>
    <row r="7">
      <c r="A7" s="17" t="n">
        <v>2</v>
      </c>
      <c r="B7" s="32" t="n">
        <v>20.3</v>
      </c>
      <c r="C7" s="32" t="n">
        <v>46.44</v>
      </c>
      <c r="D7" s="17" t="n">
        <v>1</v>
      </c>
      <c r="E7" s="32" t="n">
        <v>1.05</v>
      </c>
    </row>
    <row r="8">
      <c r="A8" s="17" t="n">
        <v>3</v>
      </c>
      <c r="B8" s="32" t="n">
        <v>20.928</v>
      </c>
      <c r="C8" s="32" t="n">
        <v>47.068</v>
      </c>
      <c r="D8" s="17" t="n">
        <v>1</v>
      </c>
      <c r="E8" s="32" t="n">
        <v>1.678</v>
      </c>
    </row>
    <row r="9">
      <c r="A9" s="17" t="n">
        <v>4</v>
      </c>
      <c r="B9" s="32" t="n">
        <v>21.65</v>
      </c>
      <c r="C9" s="32" t="n">
        <v>47.79</v>
      </c>
      <c r="D9" s="17" t="n">
        <v>1</v>
      </c>
      <c r="E9" s="32" t="n">
        <v>2.4</v>
      </c>
    </row>
    <row r="10">
      <c r="A10" s="17" t="n">
        <v>5</v>
      </c>
      <c r="B10" s="32" t="n">
        <v>21.85</v>
      </c>
      <c r="C10" s="32" t="n">
        <v>47.99</v>
      </c>
      <c r="D10" s="17" t="n">
        <v>1</v>
      </c>
      <c r="E10" s="32" t="n">
        <v>2.6</v>
      </c>
    </row>
    <row r="11">
      <c r="A11" s="17" t="n">
        <v>6</v>
      </c>
      <c r="B11" s="32" t="n">
        <v>22.4</v>
      </c>
      <c r="C11" s="32" t="n">
        <v>48.54</v>
      </c>
      <c r="D11" s="17" t="n">
        <v>1</v>
      </c>
      <c r="E11" s="32" t="n">
        <v>3.15</v>
      </c>
    </row>
    <row r="12">
      <c r="A12" s="17" t="n">
        <v>7</v>
      </c>
      <c r="B12" s="32" t="n">
        <v>23.83</v>
      </c>
      <c r="C12" s="32" t="n">
        <v>49.97</v>
      </c>
      <c r="D12" s="17" t="n">
        <v>1</v>
      </c>
      <c r="E12" s="32" t="n">
        <v>4.58</v>
      </c>
    </row>
    <row r="13">
      <c r="A13" s="17" t="n">
        <v>8</v>
      </c>
      <c r="B13" s="32" t="n">
        <v>24.65</v>
      </c>
      <c r="C13" s="32" t="n">
        <v>50.79</v>
      </c>
      <c r="D13" s="17" t="n">
        <v>1</v>
      </c>
      <c r="E13" s="32" t="n">
        <v>5.4</v>
      </c>
    </row>
    <row r="14">
      <c r="A14" s="17" t="n">
        <v>9</v>
      </c>
      <c r="B14" s="32" t="n">
        <v>24.75</v>
      </c>
      <c r="C14" s="32" t="n">
        <v>50.89</v>
      </c>
      <c r="D14" s="17" t="n">
        <v>1</v>
      </c>
      <c r="E14" s="32" t="n">
        <v>5.5</v>
      </c>
    </row>
    <row r="15">
      <c r="A15" s="17" t="n">
        <v>10</v>
      </c>
      <c r="B15" s="32" t="n">
        <v>25.35</v>
      </c>
      <c r="C15" s="32" t="n">
        <v>51.49</v>
      </c>
      <c r="D15" s="17" t="n">
        <v>1</v>
      </c>
      <c r="E15" s="32" t="n">
        <v>6.1</v>
      </c>
    </row>
    <row r="16">
      <c r="A16" s="17" t="n">
        <v>11</v>
      </c>
      <c r="B16" s="32" t="n">
        <v>25.915</v>
      </c>
      <c r="C16" s="32" t="n">
        <v>52.055</v>
      </c>
      <c r="D16" s="17" t="n">
        <v>1</v>
      </c>
      <c r="E16" s="32" t="n">
        <v>6.665</v>
      </c>
    </row>
    <row r="17">
      <c r="A17" s="17" t="n">
        <v>12</v>
      </c>
      <c r="B17" s="32" t="n">
        <v>29.065</v>
      </c>
      <c r="C17" s="32" t="n">
        <v>55.205</v>
      </c>
      <c r="D17" s="17" t="n">
        <v>1</v>
      </c>
      <c r="E17" s="32" t="n">
        <v>9.815</v>
      </c>
    </row>
    <row r="18">
      <c r="A18" s="17" t="n">
        <v>13</v>
      </c>
      <c r="B18" s="32" t="n">
        <v>29.47</v>
      </c>
      <c r="C18" s="32" t="n">
        <v>55.61</v>
      </c>
      <c r="D18" s="17" t="n">
        <v>1</v>
      </c>
      <c r="E18" s="32" t="n">
        <v>10.22</v>
      </c>
    </row>
    <row r="19">
      <c r="A19" s="17" t="n">
        <v>14</v>
      </c>
      <c r="B19" s="32" t="n">
        <v>29.92</v>
      </c>
      <c r="C19" s="32" t="n">
        <v>56.06</v>
      </c>
      <c r="D19" s="17" t="n">
        <v>1</v>
      </c>
      <c r="E19" s="32" t="n">
        <v>10.67</v>
      </c>
    </row>
    <row r="20">
      <c r="A20" s="17" t="n">
        <v>15</v>
      </c>
      <c r="B20" s="32" t="n">
        <v>30.41</v>
      </c>
      <c r="C20" s="32" t="n">
        <v>56.55</v>
      </c>
      <c r="D20" s="17" t="n">
        <v>1</v>
      </c>
      <c r="E20" s="32" t="n">
        <v>11.16</v>
      </c>
    </row>
    <row r="21">
      <c r="A21" s="17" t="n">
        <v>16</v>
      </c>
      <c r="B21" s="32" t="n">
        <v>30.51</v>
      </c>
      <c r="C21" s="32" t="n">
        <v>56.65000000000001</v>
      </c>
      <c r="D21" s="17" t="n">
        <v>2</v>
      </c>
      <c r="E21" s="32" t="n">
        <v>11.26</v>
      </c>
    </row>
    <row r="22">
      <c r="A22" s="17" t="n">
        <v>17</v>
      </c>
      <c r="B22" s="32" t="n">
        <v>30.91</v>
      </c>
      <c r="C22" s="32" t="n">
        <v>57.05</v>
      </c>
      <c r="D22" s="17" t="n">
        <v>1</v>
      </c>
      <c r="E22" s="32" t="n">
        <v>11.66</v>
      </c>
    </row>
    <row r="23">
      <c r="A23" s="17" t="n">
        <v>18</v>
      </c>
      <c r="B23" s="32" t="n">
        <v>31.89</v>
      </c>
      <c r="C23" s="32" t="n">
        <v>58.03</v>
      </c>
      <c r="D23" s="17" t="n">
        <v>1</v>
      </c>
      <c r="E23" s="32" t="n">
        <v>12.64</v>
      </c>
    </row>
    <row r="24">
      <c r="A24" s="17" t="n">
        <v>19</v>
      </c>
      <c r="B24" s="32" t="n">
        <v>33.155</v>
      </c>
      <c r="C24" s="32" t="n">
        <v>59.295</v>
      </c>
      <c r="D24" s="17" t="n">
        <v>4</v>
      </c>
      <c r="E24" s="32" t="n">
        <v>13.905</v>
      </c>
    </row>
    <row r="25">
      <c r="A25" s="17" t="n">
        <v>20</v>
      </c>
      <c r="B25" s="32" t="n">
        <v>35.59</v>
      </c>
      <c r="C25" s="32" t="n">
        <v>61.73</v>
      </c>
      <c r="D25" s="17" t="n">
        <v>1</v>
      </c>
      <c r="E25" s="32" t="n">
        <v>16.34</v>
      </c>
    </row>
    <row r="26">
      <c r="A26" s="17" t="n">
        <v>21</v>
      </c>
      <c r="B26" s="32" t="n">
        <v>36.45</v>
      </c>
      <c r="C26" s="32" t="n">
        <v>62.59</v>
      </c>
      <c r="D26" s="17" t="n">
        <v>6</v>
      </c>
      <c r="E26" s="32" t="n">
        <v>17.2</v>
      </c>
    </row>
    <row r="27">
      <c r="A27" s="17" t="n">
        <v>22</v>
      </c>
      <c r="B27" s="32" t="n">
        <v>37.31</v>
      </c>
      <c r="C27" s="32" t="n">
        <v>63.45</v>
      </c>
      <c r="D27" s="17" t="n">
        <v>1</v>
      </c>
      <c r="E27" s="32" t="n">
        <v>18.06</v>
      </c>
    </row>
    <row r="28">
      <c r="A28" s="17" t="n">
        <v>23</v>
      </c>
      <c r="B28" s="32" t="n">
        <v>37.79</v>
      </c>
      <c r="C28" s="32" t="n">
        <v>63.93</v>
      </c>
      <c r="D28" s="17" t="n">
        <v>1</v>
      </c>
      <c r="E28" s="32" t="n">
        <v>18.54</v>
      </c>
    </row>
    <row r="29">
      <c r="A29" s="17" t="n">
        <v>24</v>
      </c>
      <c r="B29" s="32" t="n">
        <v>38.15</v>
      </c>
      <c r="C29" s="32" t="n">
        <v>64.28999999999999</v>
      </c>
      <c r="D29" s="17" t="n">
        <v>1</v>
      </c>
      <c r="E29" s="32" t="n">
        <v>18.9</v>
      </c>
    </row>
    <row r="30">
      <c r="A30" s="17" t="n">
        <v>25</v>
      </c>
      <c r="B30" s="32" t="n">
        <v>39.09</v>
      </c>
      <c r="C30" s="32" t="n">
        <v>65.23</v>
      </c>
      <c r="D30" s="17" t="n">
        <v>1</v>
      </c>
      <c r="E30" s="32" t="n">
        <v>19.84</v>
      </c>
    </row>
    <row r="31">
      <c r="A31" s="17" t="n">
        <v>26</v>
      </c>
      <c r="B31" s="32" t="n">
        <v>44.85</v>
      </c>
      <c r="C31" s="32" t="n">
        <v>70.99000000000001</v>
      </c>
      <c r="D31" s="17" t="n">
        <v>1</v>
      </c>
      <c r="E31" s="32" t="n">
        <v>25.6</v>
      </c>
    </row>
    <row r="32">
      <c r="A32" s="17" t="n">
        <v>27</v>
      </c>
      <c r="B32" s="32" t="n">
        <v>82.732</v>
      </c>
      <c r="C32" s="32" t="n">
        <v>108.872</v>
      </c>
      <c r="D32" s="17" t="n">
        <v>1</v>
      </c>
      <c r="E32" s="32" t="n">
        <v>63.482</v>
      </c>
    </row>
    <row r="33">
      <c r="A33" s="17" t="n">
        <v>28</v>
      </c>
      <c r="B33" s="32" t="n">
        <v>84.59</v>
      </c>
      <c r="C33" s="32" t="n">
        <v>110.73</v>
      </c>
      <c r="D33" s="17" t="n">
        <v>1</v>
      </c>
      <c r="E33" s="32" t="n">
        <v>65.34</v>
      </c>
    </row>
    <row r="34">
      <c r="A34" s="31" t="inlineStr">
        <is>
          <t>TOTAL</t>
        </is>
      </c>
      <c r="B34" s="13" t="n"/>
      <c r="C34" s="31" t="n"/>
      <c r="D34" s="31" t="n"/>
      <c r="E34" s="20" t="n">
        <v>38</v>
      </c>
      <c r="F34" s="33" t="n">
        <v>65.34</v>
      </c>
    </row>
  </sheetData>
  <mergeCells count="4">
    <mergeCell ref="A2:E2"/>
    <mergeCell ref="A1:E1"/>
    <mergeCell ref="A34:B34"/>
    <mergeCell ref="A3:E3"/>
  </mergeCells>
  <printOptions horizontalCentered="1"/>
  <pageMargins left="0.3" right="0.3" top="0.4" bottom="0.4"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28"/>
  <sheetViews>
    <sheetView showGridLines="0" workbookViewId="0">
      <pane ySplit="5" topLeftCell="A6" activePane="bottomLeft" state="frozen"/>
      <selection pane="bottomLeft" activeCell="A1" sqref="A1"/>
    </sheetView>
  </sheetViews>
  <sheetFormatPr baseColWidth="8" defaultRowHeight="15"/>
  <cols>
    <col width="24" customWidth="1" min="1" max="1"/>
    <col width="52" customWidth="1" min="2" max="2"/>
    <col width="18" customWidth="1" min="3" max="3"/>
    <col width="12" customWidth="1" min="4" max="4"/>
    <col width="58" customWidth="1" min="5" max="5"/>
  </cols>
  <sheetData>
    <row r="1" ht="36" customHeight="1">
      <c r="A1" s="1" t="inlineStr">
        <is>
          <t>AREAS, DIMENSIONS AND COORDINATES</t>
        </is>
      </c>
    </row>
    <row r="2" ht="24" customHeight="1">
      <c r="A2" s="2" t="inlineStr">
        <is>
          <t>Source: drawing DE-5400.00-5700-190-TX3-102, Rev. 0 (03/08/2026) - LAY-OUT, UNIT U-5700 HIDW - AREAS. Hydroisodewaxing Unit, Boaventura Refinery. Scale 1/250, sheet A0 (1189 x 841 mm).</t>
        </is>
      </c>
    </row>
    <row r="3" ht="26" customHeight="1">
      <c r="A3" s="29" t="inlineStr">
        <is>
          <t>Values read from the AREAS TABLE, from the dimension lines and from the coordinate labels. Rows marked DERIVED are our own arithmetic, shown as cross-checks.</t>
        </is>
      </c>
    </row>
    <row r="5" ht="30" customHeight="1">
      <c r="A5" s="14" t="inlineStr">
        <is>
          <t>Group</t>
        </is>
      </c>
      <c r="B5" s="14" t="inlineStr">
        <is>
          <t>Item</t>
        </is>
      </c>
      <c r="C5" s="14" t="inlineStr">
        <is>
          <t>Value</t>
        </is>
      </c>
      <c r="D5" s="14" t="inlineStr">
        <is>
          <t>Unit</t>
        </is>
      </c>
      <c r="E5" s="14" t="inlineStr">
        <is>
          <t>Source</t>
        </is>
      </c>
    </row>
    <row r="6">
      <c r="A6" s="15" t="inlineStr">
        <is>
          <t>Areas table</t>
        </is>
      </c>
      <c r="B6" s="15" t="inlineStr">
        <is>
          <t>Total built area</t>
        </is>
      </c>
      <c r="C6" s="32" t="n">
        <v>10788</v>
      </c>
      <c r="D6" s="15" t="inlineStr">
        <is>
          <t>m²</t>
        </is>
      </c>
      <c r="E6" s="15" t="inlineStr">
        <is>
          <t>DRAWING - areas table</t>
        </is>
      </c>
    </row>
    <row r="7">
      <c r="A7" s="15" t="inlineStr">
        <is>
          <t>Areas table</t>
        </is>
      </c>
      <c r="B7" s="15" t="inlineStr">
        <is>
          <t>Compressor house</t>
        </is>
      </c>
      <c r="C7" s="32" t="n">
        <v>1369</v>
      </c>
      <c r="D7" s="15" t="inlineStr">
        <is>
          <t>m²</t>
        </is>
      </c>
      <c r="E7" s="15" t="inlineStr">
        <is>
          <t>DRAWING - built area per building</t>
        </is>
      </c>
    </row>
    <row r="8">
      <c r="A8" s="15" t="inlineStr">
        <is>
          <t>Areas table</t>
        </is>
      </c>
      <c r="B8" s="15" t="inlineStr">
        <is>
          <t>Equipment arrangement - hydroisodewaxing</t>
        </is>
      </c>
      <c r="C8" s="32" t="n">
        <v>9419</v>
      </c>
      <c r="D8" s="15" t="inlineStr">
        <is>
          <t>m²</t>
        </is>
      </c>
      <c r="E8" s="15" t="inlineStr">
        <is>
          <t>DRAWING - built area per building</t>
        </is>
      </c>
    </row>
    <row r="9">
      <c r="A9" s="15" t="inlineStr">
        <is>
          <t>Dimension</t>
        </is>
      </c>
      <c r="B9" s="15" t="inlineStr">
        <is>
          <t>Plot length (east-west)</t>
        </is>
      </c>
      <c r="C9" s="32" t="n">
        <v>148.6</v>
      </c>
      <c r="D9" s="15" t="inlineStr">
        <is>
          <t>m</t>
        </is>
      </c>
      <c r="E9" s="15" t="inlineStr">
        <is>
          <t>DRAWING - dimension line</t>
        </is>
      </c>
    </row>
    <row r="10">
      <c r="A10" s="15" t="inlineStr">
        <is>
          <t>Dimension</t>
        </is>
      </c>
      <c r="B10" s="15" t="inlineStr">
        <is>
          <t>Plot width (north-south)</t>
        </is>
      </c>
      <c r="C10" s="32" t="n">
        <v>72.59999999999999</v>
      </c>
      <c r="D10" s="15" t="inlineStr">
        <is>
          <t>m</t>
        </is>
      </c>
      <c r="E10" s="15" t="inlineStr">
        <is>
          <t>DRAWING - dimension line</t>
        </is>
      </c>
    </row>
    <row r="11">
      <c r="A11" s="15" t="inlineStr">
        <is>
          <t>Dimension</t>
        </is>
      </c>
      <c r="B11" s="15" t="inlineStr">
        <is>
          <t>Compressor house length</t>
        </is>
      </c>
      <c r="C11" s="32" t="n">
        <v>74.93000000000001</v>
      </c>
      <c r="D11" s="15" t="inlineStr">
        <is>
          <t>m</t>
        </is>
      </c>
      <c r="E11" s="15" t="inlineStr">
        <is>
          <t>DRAWING - dimension line</t>
        </is>
      </c>
    </row>
    <row r="12">
      <c r="A12" s="15" t="inlineStr">
        <is>
          <t>Dimension</t>
        </is>
      </c>
      <c r="B12" s="15" t="inlineStr">
        <is>
          <t>Compressor house width</t>
        </is>
      </c>
      <c r="C12" s="32" t="n">
        <v>18.27</v>
      </c>
      <c r="D12" s="15" t="inlineStr">
        <is>
          <t>m</t>
        </is>
      </c>
      <c r="E12" s="15" t="inlineStr">
        <is>
          <t>DRAWING - dimension line</t>
        </is>
      </c>
    </row>
    <row r="13">
      <c r="A13" s="15" t="inlineStr">
        <is>
          <t>Coordinates (PDMS)</t>
        </is>
      </c>
      <c r="B13" s="15" t="inlineStr">
        <is>
          <t>Plot limit - west (E)</t>
        </is>
      </c>
      <c r="C13" s="32" t="n">
        <v>4927840</v>
      </c>
      <c r="D13" s="15" t="inlineStr">
        <is>
          <t>mm</t>
        </is>
      </c>
      <c r="E13" s="15" t="inlineStr">
        <is>
          <t>DRAWING - coordinate label</t>
        </is>
      </c>
    </row>
    <row r="14">
      <c r="A14" s="15" t="inlineStr">
        <is>
          <t>Coordinates (PDMS)</t>
        </is>
      </c>
      <c r="B14" s="15" t="inlineStr">
        <is>
          <t>Plot limit - east (E)</t>
        </is>
      </c>
      <c r="C14" s="32" t="n">
        <v>5076440</v>
      </c>
      <c r="D14" s="15" t="inlineStr">
        <is>
          <t>mm</t>
        </is>
      </c>
      <c r="E14" s="15" t="inlineStr">
        <is>
          <t>DRAWING - coordinate label</t>
        </is>
      </c>
    </row>
    <row r="15">
      <c r="A15" s="15" t="inlineStr">
        <is>
          <t>Coordinates (PDMS)</t>
        </is>
      </c>
      <c r="B15" s="15" t="inlineStr">
        <is>
          <t>Plot limit - south (N)</t>
        </is>
      </c>
      <c r="C15" s="32" t="n">
        <v>3164900</v>
      </c>
      <c r="D15" s="15" t="inlineStr">
        <is>
          <t>mm</t>
        </is>
      </c>
      <c r="E15" s="15" t="inlineStr">
        <is>
          <t>DRAWING - coordinate label</t>
        </is>
      </c>
    </row>
    <row r="16">
      <c r="A16" s="15" t="inlineStr">
        <is>
          <t>Coordinates (PDMS)</t>
        </is>
      </c>
      <c r="B16" s="15" t="inlineStr">
        <is>
          <t>Plot limit - north (N)</t>
        </is>
      </c>
      <c r="C16" s="32" t="n">
        <v>3237500</v>
      </c>
      <c r="D16" s="15" t="inlineStr">
        <is>
          <t>mm</t>
        </is>
      </c>
      <c r="E16" s="15" t="inlineStr">
        <is>
          <t>DRAWING - coordinate label</t>
        </is>
      </c>
    </row>
    <row r="17">
      <c r="A17" s="15" t="inlineStr">
        <is>
          <t>Coordinates (PDMS)</t>
        </is>
      </c>
      <c r="B17" s="15" t="inlineStr">
        <is>
          <t>Site limit - west (E)</t>
        </is>
      </c>
      <c r="C17" s="32" t="n">
        <v>4918040</v>
      </c>
      <c r="D17" s="15" t="inlineStr">
        <is>
          <t>mm</t>
        </is>
      </c>
      <c r="E17" s="30" t="inlineStr">
        <is>
          <t>DRAWING - E=4918040 / E=719873474 (SIRGAS)</t>
        </is>
      </c>
    </row>
    <row r="18">
      <c r="A18" s="15" t="inlineStr">
        <is>
          <t>Coordinates (PDMS)</t>
        </is>
      </c>
      <c r="B18" s="15" t="inlineStr">
        <is>
          <t>Avenida T - south (N)</t>
        </is>
      </c>
      <c r="C18" s="32" t="n">
        <v>3139290</v>
      </c>
      <c r="D18" s="15" t="inlineStr">
        <is>
          <t>mm</t>
        </is>
      </c>
      <c r="E18" s="30" t="inlineStr">
        <is>
          <t>DRAWING - N=3139290 / N=752034729 (SIRGAS)</t>
        </is>
      </c>
    </row>
    <row r="19">
      <c r="A19" s="15" t="inlineStr">
        <is>
          <t>Coordinates (PDMS)</t>
        </is>
      </c>
      <c r="B19" s="15" t="inlineStr">
        <is>
          <t>Avenida S - north (N)</t>
        </is>
      </c>
      <c r="C19" s="32" t="n">
        <v>3249290</v>
      </c>
      <c r="D19" s="15" t="inlineStr">
        <is>
          <t>mm</t>
        </is>
      </c>
      <c r="E19" s="30" t="inlineStr">
        <is>
          <t>DRAWING - N=3249290 / N=752144729 (SIRGAS)</t>
        </is>
      </c>
    </row>
    <row r="20">
      <c r="A20" s="15" t="inlineStr">
        <is>
          <t>Datum (Note 2)</t>
        </is>
      </c>
      <c r="B20" s="15" t="inlineStr">
        <is>
          <t>E (PDMS) = 0 m corresponds to E (global)</t>
        </is>
      </c>
      <c r="C20" s="32" t="n">
        <v>714955.434</v>
      </c>
      <c r="D20" s="15" t="inlineStr">
        <is>
          <t>m</t>
        </is>
      </c>
      <c r="E20" s="15" t="inlineStr">
        <is>
          <t>DRAWING - Note 2</t>
        </is>
      </c>
    </row>
    <row r="21">
      <c r="A21" s="15" t="inlineStr">
        <is>
          <t>Datum (Note 2)</t>
        </is>
      </c>
      <c r="B21" s="15" t="inlineStr">
        <is>
          <t>N (PDMS) = 0 m corresponds to N (global)</t>
        </is>
      </c>
      <c r="C21" s="32" t="n">
        <v>7488954.39</v>
      </c>
      <c r="D21" s="15" t="inlineStr">
        <is>
          <t>m</t>
        </is>
      </c>
      <c r="E21" s="15" t="inlineStr">
        <is>
          <t>DRAWING - Note 2</t>
        </is>
      </c>
    </row>
    <row r="22">
      <c r="A22" s="15" t="inlineStr">
        <is>
          <t>Datum (Note 2)</t>
        </is>
      </c>
      <c r="B22" s="15" t="inlineStr">
        <is>
          <t>Elevation 0,00 (PDMS) above sea level</t>
        </is>
      </c>
      <c r="C22" s="32" t="n">
        <v>26.14</v>
      </c>
      <c r="D22" s="15" t="inlineStr">
        <is>
          <t>m</t>
        </is>
      </c>
      <c r="E22" s="30" t="inlineStr">
        <is>
          <t>DRAWING - Note 2, Imbituba tide gauge, SC</t>
        </is>
      </c>
    </row>
    <row r="23">
      <c r="A23" s="15" t="inlineStr">
        <is>
          <t>DERIVED</t>
        </is>
      </c>
      <c r="B23" s="15" t="inlineStr">
        <is>
          <t>Plot area from the dimension lines</t>
        </is>
      </c>
      <c r="C23" s="32" t="n">
        <v>10788.36</v>
      </c>
      <c r="D23" s="15" t="inlineStr">
        <is>
          <t>m²</t>
        </is>
      </c>
      <c r="E23" s="30" t="inlineStr">
        <is>
          <t>DERIVED - 148,60 × 72,60; matches the 10.788 m² of the areas table</t>
        </is>
      </c>
    </row>
    <row r="24">
      <c r="A24" s="15" t="inlineStr">
        <is>
          <t>DERIVED</t>
        </is>
      </c>
      <c r="B24" s="30" t="inlineStr">
        <is>
          <t>Compressor house area from the dimension lines</t>
        </is>
      </c>
      <c r="C24" s="32" t="n">
        <v>1368.97</v>
      </c>
      <c r="D24" s="15" t="inlineStr">
        <is>
          <t>m²</t>
        </is>
      </c>
      <c r="E24" s="30" t="inlineStr">
        <is>
          <t>DERIVED - 74,93 × 18,27; matches the 1.369 m² of the areas table</t>
        </is>
      </c>
    </row>
    <row r="25">
      <c r="A25" s="15" t="inlineStr">
        <is>
          <t>DERIVED</t>
        </is>
      </c>
      <c r="B25" s="15" t="inlineStr">
        <is>
          <t>Plot length from the coordinates</t>
        </is>
      </c>
      <c r="C25" s="32" t="n">
        <v>148.6</v>
      </c>
      <c r="D25" s="15" t="inlineStr">
        <is>
          <t>m</t>
        </is>
      </c>
      <c r="E25" s="30" t="inlineStr">
        <is>
          <t>DERIVED - (5076440 - 4927840) mm; matches the 148,60 m dimension</t>
        </is>
      </c>
    </row>
    <row r="26">
      <c r="A26" s="15" t="inlineStr">
        <is>
          <t>DERIVED</t>
        </is>
      </c>
      <c r="B26" s="15" t="inlineStr">
        <is>
          <t>Plot width from the coordinates</t>
        </is>
      </c>
      <c r="C26" s="32" t="n">
        <v>72.59999999999999</v>
      </c>
      <c r="D26" s="15" t="inlineStr">
        <is>
          <t>m</t>
        </is>
      </c>
      <c r="E26" s="30" t="inlineStr">
        <is>
          <t>DERIVED - (3237500 - 3164900) mm; matches the 72,60 m dimension</t>
        </is>
      </c>
    </row>
    <row r="27">
      <c r="A27" s="15" t="inlineStr">
        <is>
          <t>DERIVED</t>
        </is>
      </c>
      <c r="B27" s="30" t="inlineStr">
        <is>
          <t>Equipment arrangement area (plot minus compressor house)</t>
        </is>
      </c>
      <c r="C27" s="32" t="n">
        <v>9419</v>
      </c>
      <c r="D27" s="15" t="inlineStr">
        <is>
          <t>m²</t>
        </is>
      </c>
      <c r="E27" s="30" t="inlineStr">
        <is>
          <t>DERIVED - 10.788 - 1.369; matches the 9.419 m² of the areas table</t>
        </is>
      </c>
    </row>
    <row r="28">
      <c r="A28" s="15" t="inlineStr">
        <is>
          <t>DERIVED</t>
        </is>
      </c>
      <c r="B28" s="15" t="inlineStr">
        <is>
          <t>Built density</t>
        </is>
      </c>
      <c r="C28" s="32" t="n">
        <v>114.8</v>
      </c>
      <c r="D28" s="15" t="inlineStr">
        <is>
          <t>m²/unit</t>
        </is>
      </c>
      <c r="E28" s="30" t="inlineStr">
        <is>
          <t>DERIVED - total built area divided by the 94 physical units</t>
        </is>
      </c>
    </row>
  </sheetData>
  <mergeCells count="3">
    <mergeCell ref="A2:E2"/>
    <mergeCell ref="A1:E1"/>
    <mergeCell ref="A3:E3"/>
  </mergeCells>
  <printOptions horizontalCentered="1"/>
  <pageMargins left="0.3" right="0.3" top="0.4" bottom="0.4"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C25"/>
  <sheetViews>
    <sheetView showGridLines="0" workbookViewId="0">
      <pane ySplit="5" topLeftCell="A6" activePane="bottomLeft" state="frozen"/>
      <selection pane="bottomLeft" activeCell="A1" sqref="A1"/>
    </sheetView>
  </sheetViews>
  <sheetFormatPr baseColWidth="8" defaultRowHeight="15"/>
  <cols>
    <col width="26" customWidth="1" min="1" max="1"/>
    <col width="34" customWidth="1" min="2" max="2"/>
    <col width="96" customWidth="1" min="3" max="3"/>
  </cols>
  <sheetData>
    <row r="1" ht="36" customHeight="1">
      <c r="A1" s="1" t="inlineStr">
        <is>
          <t>SITE CONTEXT - ROADS, PIPE RACKS AND RESERVED AREAS</t>
        </is>
      </c>
    </row>
    <row r="2" ht="24" customHeight="1">
      <c r="A2" s="2" t="inlineStr">
        <is>
          <t>Source: drawing DE-5400.00-5700-190-TX3-102, Rev. 0 (03/08/2026) - LAY-OUT, UNIT U-5700 HIDW - AREAS. Hydroisodewaxing Unit, Boaventura Refinery. Scale 1/250, sheet A0 (1189 x 841 mm).</t>
        </is>
      </c>
    </row>
    <row r="3" ht="18" customHeight="1">
      <c r="A3" s="29" t="inlineStr">
        <is>
          <t>Streets, avenues, pipe racks and reserved areas named on the drawing.</t>
        </is>
      </c>
    </row>
    <row r="5" ht="30" customHeight="1">
      <c r="A5" s="14" t="inlineStr">
        <is>
          <t>Type</t>
        </is>
      </c>
      <c r="B5" s="14" t="inlineStr">
        <is>
          <t>Identification</t>
        </is>
      </c>
      <c r="C5" s="14" t="inlineStr">
        <is>
          <t>Note</t>
        </is>
      </c>
    </row>
    <row r="6">
      <c r="A6" s="15" t="inlineStr">
        <is>
          <t>Avenue</t>
        </is>
      </c>
      <c r="B6" s="15" t="inlineStr">
        <is>
          <t>Avenida S</t>
        </is>
      </c>
      <c r="C6" s="30" t="inlineStr">
        <is>
          <t>Northern boundary of the plot; carries N=3249290 / N=752144729 (SIRGAS).</t>
        </is>
      </c>
    </row>
    <row r="7">
      <c r="A7" s="15" t="inlineStr">
        <is>
          <t>Avenue</t>
        </is>
      </c>
      <c r="B7" s="15" t="inlineStr">
        <is>
          <t>Avenida T</t>
        </is>
      </c>
      <c r="C7" s="30" t="inlineStr">
        <is>
          <t>Southern boundary of the plot; carries N=3139290 / N=752034729 (SIRGAS).</t>
        </is>
      </c>
    </row>
    <row r="8">
      <c r="A8" s="15" t="inlineStr">
        <is>
          <t>Avenue</t>
        </is>
      </c>
      <c r="B8" s="15" t="inlineStr">
        <is>
          <t>Avenida R</t>
        </is>
      </c>
      <c r="C8" s="15" t="inlineStr">
        <is>
          <t>Named on the key plan.</t>
        </is>
      </c>
    </row>
    <row r="9">
      <c r="A9" s="15" t="inlineStr">
        <is>
          <t>Avenue</t>
        </is>
      </c>
      <c r="B9" s="15" t="inlineStr">
        <is>
          <t>Avenida Q1</t>
        </is>
      </c>
      <c r="C9" s="30" t="inlineStr">
        <is>
          <t>Named on the key plan, in four separate stretches.</t>
        </is>
      </c>
    </row>
    <row r="10">
      <c r="A10" s="15" t="inlineStr">
        <is>
          <t>Avenue</t>
        </is>
      </c>
      <c r="B10" s="15" t="inlineStr">
        <is>
          <t>Avenida O</t>
        </is>
      </c>
      <c r="C10" s="15" t="inlineStr">
        <is>
          <t>Named on the key plan.</t>
        </is>
      </c>
    </row>
    <row r="11">
      <c r="A11" s="15" t="inlineStr">
        <is>
          <t>Street</t>
        </is>
      </c>
      <c r="B11" s="15" t="inlineStr">
        <is>
          <t>Rua 9A</t>
        </is>
      </c>
      <c r="C11" s="30" t="inlineStr">
        <is>
          <t>Runs along the western side of the plot, next to the compressor house.</t>
        </is>
      </c>
    </row>
    <row r="12">
      <c r="A12" s="15" t="inlineStr">
        <is>
          <t>Street</t>
        </is>
      </c>
      <c r="B12" s="30" t="inlineStr">
        <is>
          <t>Rua 03 / Rua 04A / Rua 07 / Rua 09 / Rua 09A</t>
        </is>
      </c>
      <c r="C12" s="15" t="inlineStr">
        <is>
          <t>Named on the key plan.</t>
        </is>
      </c>
    </row>
    <row r="13">
      <c r="A13" s="15" t="inlineStr">
        <is>
          <t>Street</t>
        </is>
      </c>
      <c r="B13" s="30" t="inlineStr">
        <is>
          <t>Rua 21A / Rua 21B / Rua 23 / Rua 23A / Rua 23 - eixo 400</t>
        </is>
      </c>
      <c r="C13" s="15" t="inlineStr">
        <is>
          <t>Named on the key plan.</t>
        </is>
      </c>
    </row>
    <row r="14">
      <c r="A14" s="15" t="inlineStr">
        <is>
          <t>Pipe rack</t>
        </is>
      </c>
      <c r="B14" s="15" t="inlineStr">
        <is>
          <t>Tubovia NS01 / NS02 / NS04 / NS05</t>
        </is>
      </c>
      <c r="C14" s="30" t="inlineStr">
        <is>
          <t>North-south pipe racks named on the key plan.</t>
        </is>
      </c>
    </row>
    <row r="15">
      <c r="A15" s="15" t="inlineStr">
        <is>
          <t>Pipe rack</t>
        </is>
      </c>
      <c r="B15" s="15" t="inlineStr">
        <is>
          <t>Tubovia WE01</t>
        </is>
      </c>
      <c r="C15" s="30" t="inlineStr">
        <is>
          <t>East-west pipe rack, in several stretches on the key plan.</t>
        </is>
      </c>
    </row>
    <row r="16">
      <c r="A16" s="15" t="inlineStr">
        <is>
          <t>Substation</t>
        </is>
      </c>
      <c r="B16" s="15" t="inlineStr">
        <is>
          <t>SE-5156 / SE-6311</t>
        </is>
      </c>
      <c r="C16" s="15" t="inlineStr">
        <is>
          <t>Substations named on the key plan.</t>
        </is>
      </c>
    </row>
    <row r="17">
      <c r="A17" s="15" t="inlineStr">
        <is>
          <t>Reserved area</t>
        </is>
      </c>
      <c r="B17" s="15" t="inlineStr">
        <is>
          <t>Gas skid area for F-001</t>
        </is>
      </c>
      <c r="C17" s="30" t="inlineStr">
        <is>
          <t>Area reserved for the reactor feed furnace gas skid ('ÁREA PREVISTA PARA O SKID DE GÁS DO F-001').</t>
        </is>
      </c>
    </row>
    <row r="18">
      <c r="A18" s="15" t="inlineStr">
        <is>
          <t>Reserved area</t>
        </is>
      </c>
      <c r="B18" s="15" t="inlineStr">
        <is>
          <t>Gas skid area for F-002</t>
        </is>
      </c>
      <c r="C18" s="30" t="inlineStr">
        <is>
          <t>Area reserved for the vacuum column feed furnace gas skid ('... DO F-002').</t>
        </is>
      </c>
    </row>
    <row r="19">
      <c r="A19" s="15" t="inlineStr">
        <is>
          <t>Reserved area</t>
        </is>
      </c>
      <c r="B19" s="15" t="inlineStr">
        <is>
          <t>Stair box for crane maintenance</t>
        </is>
      </c>
      <c r="C19" s="30" t="inlineStr">
        <is>
          <t>Area reserved for the stair enclosure serving overhead crane maintenance ('ÁREA PREVISTA PARA CAIXA DE ESCADA PARA MANUTENÇÃO DA PONTE ROLANTE').</t>
        </is>
      </c>
    </row>
    <row r="20">
      <c r="A20" s="15" t="inlineStr">
        <is>
          <t>Reserved area</t>
        </is>
      </c>
      <c r="B20" s="15" t="inlineStr">
        <is>
          <t>Condenser laydown area</t>
        </is>
      </c>
      <c r="C20" s="30" t="inlineStr">
        <is>
          <t>Laydown area for the condensers ('ÁREA DE LAYDOWN DOS CONDENSADORES').</t>
        </is>
      </c>
    </row>
    <row r="21">
      <c r="A21" s="15" t="inlineStr">
        <is>
          <t>Building</t>
        </is>
      </c>
      <c r="B21" s="15" t="inlineStr">
        <is>
          <t>Compressor house</t>
        </is>
      </c>
      <c r="C21" s="30" t="inlineStr">
        <is>
          <t>1.369 m², 74,93 × 18,27 m, at the western end of the plot.</t>
        </is>
      </c>
    </row>
    <row r="22">
      <c r="A22" s="15" t="inlineStr">
        <is>
          <t>Building</t>
        </is>
      </c>
      <c r="B22" s="15" t="inlineStr">
        <is>
          <t>Equipment arrangement - hydroisodewaxing</t>
        </is>
      </c>
      <c r="C22" s="30" t="inlineStr">
        <is>
          <t>9.419 m², the open process area covering the rest of the plot.</t>
        </is>
      </c>
    </row>
    <row r="23">
      <c r="A23" s="15" t="inlineStr">
        <is>
          <t>Reference level</t>
        </is>
      </c>
      <c r="B23" s="15" t="inlineStr">
        <is>
          <t>+15,50 and +19,15</t>
        </is>
      </c>
      <c r="C23" s="15" t="inlineStr">
        <is>
          <t>Levels annotated on the key plan.</t>
        </is>
      </c>
    </row>
    <row r="24">
      <c r="A24" s="15" t="inlineStr">
        <is>
          <t>Other</t>
        </is>
      </c>
      <c r="B24" s="15" t="inlineStr">
        <is>
          <t>ULF / PLAT.</t>
        </is>
      </c>
      <c r="C24" s="30" t="inlineStr">
        <is>
          <t>Annotations near the reactor feed pumps B-001A/B.</t>
        </is>
      </c>
    </row>
    <row r="25">
      <c r="A25" s="15" t="inlineStr">
        <is>
          <t>Other</t>
        </is>
      </c>
      <c r="B25" s="15" t="inlineStr">
        <is>
          <t>B06 / Canteiro (Área 2)</t>
        </is>
      </c>
      <c r="C25" s="30" t="inlineStr">
        <is>
          <t>Construction site areas named on the key plan.</t>
        </is>
      </c>
    </row>
  </sheetData>
  <mergeCells count="3">
    <mergeCell ref="A1:C1"/>
    <mergeCell ref="A3:C3"/>
    <mergeCell ref="A2:C2"/>
  </mergeCells>
  <printOptions horizontalCentered="1"/>
  <pageMargins left="0.3" right="0.3" top="0.4" bottom="0.4"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C23"/>
  <sheetViews>
    <sheetView showGridLines="0" workbookViewId="0">
      <pane ySplit="5" topLeftCell="A6" activePane="bottomLeft" state="frozen"/>
      <selection pane="bottomLeft" activeCell="A1" sqref="A1"/>
    </sheetView>
  </sheetViews>
  <sheetFormatPr baseColWidth="8" defaultRowHeight="15"/>
  <cols>
    <col width="26" customWidth="1" min="1" max="1"/>
    <col width="34" customWidth="1" min="2" max="2"/>
    <col width="106" customWidth="1" min="3" max="3"/>
  </cols>
  <sheetData>
    <row r="1" ht="36" customHeight="1">
      <c r="A1" s="1" t="inlineStr">
        <is>
          <t>DRAWING DATA, TITLE BLOCK AND GENERAL NOTES</t>
        </is>
      </c>
    </row>
    <row r="2" ht="24" customHeight="1">
      <c r="A2" s="2" t="inlineStr">
        <is>
          <t>Source: drawing DE-5400.00-5700-190-TX3-102, Rev. 0 (03/08/2026) - LAY-OUT, UNIT U-5700 HIDW - AREAS. Hydroisodewaxing Unit, Boaventura Refinery. Scale 1/250, sheet A0 (1189 x 841 mm).</t>
        </is>
      </c>
    </row>
    <row r="3" ht="18" customHeight="1">
      <c r="A3" s="29" t="inlineStr">
        <is>
          <t>Title block, general notes and linked documents, transcribed from the drawing.</t>
        </is>
      </c>
    </row>
    <row r="5" ht="30" customHeight="1">
      <c r="A5" s="14" t="inlineStr">
        <is>
          <t>Group</t>
        </is>
      </c>
      <c r="B5" s="14" t="inlineStr">
        <is>
          <t>Field</t>
        </is>
      </c>
      <c r="C5" s="14" t="inlineStr">
        <is>
          <t>Content transcribed from the drawing</t>
        </is>
      </c>
    </row>
    <row r="6">
      <c r="A6" s="15" t="inlineStr">
        <is>
          <t>Identification</t>
        </is>
      </c>
      <c r="B6" s="15" t="inlineStr">
        <is>
          <t>Document number</t>
        </is>
      </c>
      <c r="C6" s="15" t="inlineStr">
        <is>
          <t>DE-5400.00-5700-190-TX3-102</t>
        </is>
      </c>
    </row>
    <row r="7">
      <c r="A7" s="15" t="inlineStr">
        <is>
          <t>Identification</t>
        </is>
      </c>
      <c r="B7" s="15" t="inlineStr">
        <is>
          <t>Revision</t>
        </is>
      </c>
      <c r="C7" s="30" t="inlineStr">
        <is>
          <t>0 - EMISSÃO ORIGINAL - PARA INFORMAÇÃO (original issue, for information), 03/08/2026</t>
        </is>
      </c>
    </row>
    <row r="8">
      <c r="A8" s="15" t="inlineStr">
        <is>
          <t>Identification</t>
        </is>
      </c>
      <c r="B8" s="15" t="inlineStr">
        <is>
          <t>Title</t>
        </is>
      </c>
      <c r="C8" s="15" t="inlineStr">
        <is>
          <t>LAY-OUT - UNIDADE U-5700 - HIDW / ÁREAS</t>
        </is>
      </c>
    </row>
    <row r="9">
      <c r="A9" s="15" t="inlineStr">
        <is>
          <t>Identification</t>
        </is>
      </c>
      <c r="B9" s="15" t="inlineStr">
        <is>
          <t>Area</t>
        </is>
      </c>
      <c r="C9" s="30" t="inlineStr">
        <is>
          <t>Unidade de Hidroisodesparafinação U-5700 (Hydroisodewaxing Unit)</t>
        </is>
      </c>
    </row>
    <row r="10">
      <c r="A10" s="15" t="inlineStr">
        <is>
          <t>Identification</t>
        </is>
      </c>
      <c r="B10" s="15" t="inlineStr">
        <is>
          <t>Programme / Client</t>
        </is>
      </c>
      <c r="C10" s="15" t="inlineStr">
        <is>
          <t>Refino Boaventura / TR - Boaventura</t>
        </is>
      </c>
    </row>
    <row r="11">
      <c r="A11" s="15" t="inlineStr">
        <is>
          <t>Identification</t>
        </is>
      </c>
      <c r="B11" s="15" t="inlineStr">
        <is>
          <t>Document owner</t>
        </is>
      </c>
      <c r="C11" s="30" t="inlineStr">
        <is>
          <t>Petrobras - SRGE/SI-III (classification INTERNA)</t>
        </is>
      </c>
    </row>
    <row r="12">
      <c r="A12" s="15" t="inlineStr">
        <is>
          <t>Identification</t>
        </is>
      </c>
      <c r="B12" s="15" t="inlineStr">
        <is>
          <t>Company</t>
        </is>
      </c>
      <c r="C12" s="15" t="inlineStr">
        <is>
          <t>Consórcio TEM Boaventura</t>
        </is>
      </c>
    </row>
    <row r="13">
      <c r="A13" s="15" t="inlineStr">
        <is>
          <t>Identification</t>
        </is>
      </c>
      <c r="B13" s="15" t="inlineStr">
        <is>
          <t>Contract number</t>
        </is>
      </c>
      <c r="C13" s="15" t="inlineStr">
        <is>
          <t>ICJ 5900.0131990.25.2</t>
        </is>
      </c>
    </row>
    <row r="14">
      <c r="A14" s="15" t="inlineStr">
        <is>
          <t>Identification</t>
        </is>
      </c>
      <c r="B14" s="15" t="inlineStr">
        <is>
          <t>Technical manager</t>
        </is>
      </c>
      <c r="C14" s="15" t="inlineStr">
        <is>
          <t>Antenor de Castro - CREA 17974D-MG</t>
        </is>
      </c>
    </row>
    <row r="15">
      <c r="A15" s="15" t="inlineStr">
        <is>
          <t>Identification</t>
        </is>
      </c>
      <c r="B15" s="15" t="inlineStr">
        <is>
          <t>Drawn / Checked / Approved</t>
        </is>
      </c>
      <c r="C15" s="30" t="inlineStr">
        <is>
          <t>Luciana Melo / Thiago Oliveira / Francisco Riggio</t>
        </is>
      </c>
    </row>
    <row r="16">
      <c r="A16" s="15" t="inlineStr">
        <is>
          <t>Identification</t>
        </is>
      </c>
      <c r="B16" s="15" t="inlineStr">
        <is>
          <t>Sheet, format and scale</t>
        </is>
      </c>
      <c r="C16" s="30" t="inlineStr">
        <is>
          <t>01 of 01 - A0 (1189 × 841 mm) - scale 1/250</t>
        </is>
      </c>
    </row>
    <row r="17">
      <c r="A17" s="15" t="inlineStr">
        <is>
          <t>Note 1</t>
        </is>
      </c>
      <c r="B17" s="15" t="inlineStr">
        <is>
          <t>Units</t>
        </is>
      </c>
      <c r="C17" s="30" t="inlineStr">
        <is>
          <t>Coordinates in millimetres; dimensions and elevations in metres.</t>
        </is>
      </c>
    </row>
    <row r="18">
      <c r="A18" s="15" t="inlineStr">
        <is>
          <t>Note 2</t>
        </is>
      </c>
      <c r="B18" s="15" t="inlineStr">
        <is>
          <t>Coordinate system</t>
        </is>
      </c>
      <c r="C18" s="30" t="inlineStr">
        <is>
          <t>PDMS coordinate system, with the following equivalence to the Brazilian geodetic system, horizontal datum SIRGAS 2000: E (PDMS) = 0 m corresponds to E (global) = 714.955,434 m; N (PDMS) = 0 m corresponds to N (global) = 7.488.954,390 m. Elevation 0,00 (PDMS) = EL. 26,140 above sea level - Imbituba tide gauge, SC.</t>
        </is>
      </c>
    </row>
    <row r="19">
      <c r="A19" s="15" t="inlineStr">
        <is>
          <t>Reference document</t>
        </is>
      </c>
      <c r="B19" s="15" t="inlineStr">
        <is>
          <t>Equipment arrangement</t>
        </is>
      </c>
      <c r="C19" s="30" t="inlineStr">
        <is>
          <t>DE-5400.00-5700-942-TX3-002 - Planta de arranjo de equipamentos - U-5700 - HIDW (equipment arrangement plan).</t>
        </is>
      </c>
    </row>
    <row r="20">
      <c r="A20" s="15" t="inlineStr">
        <is>
          <t>Graphic elements</t>
        </is>
      </c>
      <c r="B20" s="15" t="inlineStr">
        <is>
          <t>Graphic scale</t>
        </is>
      </c>
      <c r="C20" s="30" t="inlineStr">
        <is>
          <t>Graphic scale in metres, from -10 to 50 m.</t>
        </is>
      </c>
    </row>
    <row r="21">
      <c r="A21" s="15" t="inlineStr">
        <is>
          <t>Graphic elements</t>
        </is>
      </c>
      <c r="B21" s="15" t="inlineStr">
        <is>
          <t>Key plan</t>
        </is>
      </c>
      <c r="C21" s="30" t="inlineStr">
        <is>
          <t>Key plan with the intervention areas highlighted.</t>
        </is>
      </c>
    </row>
    <row r="22">
      <c r="A22" s="15" t="inlineStr">
        <is>
          <t>Graphic elements</t>
        </is>
      </c>
      <c r="B22" s="15" t="inlineStr">
        <is>
          <t>North arrow</t>
        </is>
      </c>
      <c r="C22" s="30" t="inlineStr">
        <is>
          <t>North arrow with NV, VP1, VP2, NE, NP and E indications.</t>
        </is>
      </c>
    </row>
    <row r="23">
      <c r="A23" s="15" t="inlineStr">
        <is>
          <t>Scope</t>
        </is>
      </c>
      <c r="B23" s="15" t="inlineStr">
        <is>
          <t>Nature of the drawing</t>
        </is>
      </c>
      <c r="C23" s="30" t="inlineStr">
        <is>
          <t>This is a lay-out / plot plan. It fixes positions, elevations and areas. It carries no material quantities, no equipment sizes and no bills of material.</t>
        </is>
      </c>
    </row>
  </sheetData>
  <mergeCells count="3">
    <mergeCell ref="A1:C1"/>
    <mergeCell ref="A3:C3"/>
    <mergeCell ref="A2:C2"/>
  </mergeCells>
  <printOptions horizontalCentered="1"/>
  <pageMargins left="0.3" right="0.3" top="0.4" bottom="0.4"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F21"/>
  <sheetViews>
    <sheetView showGridLines="0" workbookViewId="0">
      <pane ySplit="5" topLeftCell="A6" activePane="bottomLeft" state="frozen"/>
      <selection pane="bottomLeft" activeCell="A1" sqref="A1"/>
    </sheetView>
  </sheetViews>
  <sheetFormatPr baseColWidth="8" defaultRowHeight="15"/>
  <cols>
    <col width="20" customWidth="1" min="1" max="1"/>
    <col width="44" customWidth="1" min="2" max="2"/>
    <col width="14" customWidth="1" min="3" max="3"/>
    <col width="16" customWidth="1" min="4" max="4"/>
    <col width="12" customWidth="1" min="5" max="5"/>
    <col width="90" customWidth="1" min="6" max="6"/>
  </cols>
  <sheetData>
    <row r="1" ht="36" customHeight="1">
      <c r="A1" s="1" t="inlineStr">
        <is>
          <t>CONSISTENCY CHECKS</t>
        </is>
      </c>
    </row>
    <row r="2" ht="24" customHeight="1">
      <c r="A2" s="2" t="inlineStr">
        <is>
          <t>Source: drawing DE-5400.00-5700-190-TX3-102, Rev. 0 (03/08/2026) - LAY-OUT, UNIT U-5700 HIDW - AREAS. Hydroisodewaxing Unit, Boaventura Refinery. Scale 1/250, sheet A0 (1189 x 841 mm).</t>
        </is>
      </c>
    </row>
    <row r="3" ht="26" customHeight="1">
      <c r="A3" s="29" t="inlineStr">
        <is>
          <t>Cross-checks between the areas table, the dimension lines and the coordinate labels, plus editorial observations on the legend. Every divergence is flagged explicitly.</t>
        </is>
      </c>
    </row>
    <row r="5" ht="30" customHeight="1">
      <c r="A5" s="14" t="inlineStr">
        <is>
          <t>Group</t>
        </is>
      </c>
      <c r="B5" s="14" t="inlineStr">
        <is>
          <t>Indicator</t>
        </is>
      </c>
      <c r="C5" s="14" t="inlineStr">
        <is>
          <t>Calculated</t>
        </is>
      </c>
      <c r="D5" s="14" t="inlineStr">
        <is>
          <t>Reference</t>
        </is>
      </c>
      <c r="E5" s="14" t="inlineStr">
        <is>
          <t>Deviation</t>
        </is>
      </c>
      <c r="F5" s="14" t="inlineStr">
        <is>
          <t>Criterion / observation</t>
        </is>
      </c>
    </row>
    <row r="6">
      <c r="A6" s="15" t="inlineStr">
        <is>
          <t>Areas</t>
        </is>
      </c>
      <c r="B6" s="15" t="inlineStr">
        <is>
          <t>Plot area from dimensions (m²)</t>
        </is>
      </c>
      <c r="C6" s="32" t="n">
        <v>10788.36</v>
      </c>
      <c r="D6" s="32" t="n">
        <v>10788</v>
      </c>
      <c r="E6" s="32" t="n">
        <v>0.36</v>
      </c>
      <c r="F6" s="30" t="inlineStr">
        <is>
          <t>148,60 × 72,60 = 10.788,36 m² against the 10.788 m² printed in the areas table. Rounding only.</t>
        </is>
      </c>
    </row>
    <row r="7">
      <c r="A7" s="15" t="inlineStr">
        <is>
          <t>Areas</t>
        </is>
      </c>
      <c r="B7" s="30" t="inlineStr">
        <is>
          <t>Compressor house area from dimensions (m²)</t>
        </is>
      </c>
      <c r="C7" s="32" t="n">
        <v>1368.97</v>
      </c>
      <c r="D7" s="32" t="n">
        <v>1369</v>
      </c>
      <c r="E7" s="32" t="n">
        <v>-0.03</v>
      </c>
      <c r="F7" s="30" t="inlineStr">
        <is>
          <t>74,93 × 18,27 = 1.368,97 m² against the 1.369 m² printed. Rounding only.</t>
        </is>
      </c>
    </row>
    <row r="8">
      <c r="A8" s="15" t="inlineStr">
        <is>
          <t>Areas</t>
        </is>
      </c>
      <c r="B8" s="15" t="inlineStr">
        <is>
          <t>Sum of the two buildings (m²)</t>
        </is>
      </c>
      <c r="C8" s="32" t="n">
        <v>10788</v>
      </c>
      <c r="D8" s="32" t="n">
        <v>10788</v>
      </c>
      <c r="E8" s="32" t="n">
        <v>0</v>
      </c>
      <c r="F8" s="30" t="inlineStr">
        <is>
          <t>1.369 + 9.419 = 10.788 m², exactly the total built area. The areas table closes on itself.</t>
        </is>
      </c>
    </row>
    <row r="9">
      <c r="A9" s="15" t="inlineStr">
        <is>
          <t>Coordinates</t>
        </is>
      </c>
      <c r="B9" s="15" t="inlineStr">
        <is>
          <t>Plot length from the coordinates (m)</t>
        </is>
      </c>
      <c r="C9" s="32" t="n">
        <v>148.6</v>
      </c>
      <c r="D9" s="32" t="n">
        <v>148.6</v>
      </c>
      <c r="E9" s="32" t="n">
        <v>0</v>
      </c>
      <c r="F9" s="30" t="inlineStr">
        <is>
          <t>(5076440 - 4927840) mm = 148,60 m, exactly the dimension line. Coordinates and dimensions agree.</t>
        </is>
      </c>
    </row>
    <row r="10">
      <c r="A10" s="15" t="inlineStr">
        <is>
          <t>Coordinates</t>
        </is>
      </c>
      <c r="B10" s="15" t="inlineStr">
        <is>
          <t>Plot width from the coordinates (m)</t>
        </is>
      </c>
      <c r="C10" s="32" t="n">
        <v>72.59999999999999</v>
      </c>
      <c r="D10" s="32" t="n">
        <v>72.59999999999999</v>
      </c>
      <c r="E10" s="32" t="n">
        <v>0</v>
      </c>
      <c r="F10" s="30" t="inlineStr">
        <is>
          <t>(3237500 - 3164900) mm = 72,60 m, exactly the dimension line.</t>
        </is>
      </c>
    </row>
    <row r="11">
      <c r="A11" s="15" t="inlineStr">
        <is>
          <t>Coordinates</t>
        </is>
      </c>
      <c r="B11" s="15" t="inlineStr">
        <is>
          <t>SIRGAS conversion on the E axis (mm)</t>
        </is>
      </c>
      <c r="C11" s="32" t="n">
        <v>719873474</v>
      </c>
      <c r="D11" s="32" t="n">
        <v>719873474</v>
      </c>
      <c r="E11" s="32" t="n">
        <v>0</v>
      </c>
      <c r="F11" s="30" t="inlineStr">
        <is>
          <t>E = 4918040 mm plus the 714.955,434 m of Note 2 gives 719873474 mm, exactly the SIRGAS label printed on the drawing. The easting conversion is correct.</t>
        </is>
      </c>
    </row>
    <row r="12">
      <c r="A12" s="34" t="inlineStr">
        <is>
          <t>DIVERGENCE</t>
        </is>
      </c>
      <c r="B12" s="34" t="inlineStr">
        <is>
          <t>SIRGAS conversion on the N axis (mm)</t>
        </is>
      </c>
      <c r="C12" s="35" t="n">
        <v>7492093680</v>
      </c>
      <c r="D12" s="35" t="n">
        <v>752034729</v>
      </c>
      <c r="E12" s="35" t="n">
        <v>6740058951</v>
      </c>
      <c r="F12" s="36" t="inlineStr">
        <is>
          <t>Note 2 states N (PDMS) = 0 m corresponds to N (global) = 7.488.954,390 m, so N = 3139290 mm should read 7492093680 mm. The drawing prints N = 752034729 mm, which implies a constant of 748.895,439 m - exactly one tenth of the one in Note 2. The same shift appears on the Avenida S label. SIRGAS 2000 northings in this region are around 7,49 million metres, so Note 2 is the consistent value and the N labels appear to have dropped a digit. TO BE CONFIRMED WITH THE DESIGNER.</t>
        </is>
      </c>
    </row>
    <row r="13">
      <c r="A13" s="15" t="inlineStr">
        <is>
          <t>Equipment count</t>
        </is>
      </c>
      <c r="B13" s="15" t="inlineStr">
        <is>
          <t>Tags in the legend</t>
        </is>
      </c>
      <c r="C13" s="32" t="n">
        <v>66</v>
      </c>
      <c r="D13" s="32" t="n">
        <v>66</v>
      </c>
      <c r="E13" s="32" t="n">
        <v>0</v>
      </c>
      <c r="F13" s="30" t="inlineStr">
        <is>
          <t>66 tags across the nine legend headings: 2 reactors, 15 vessels, 5 towers, 13 shell-and-tube exchangers, 7 air coolers, 2 compressors, 17 pumps, 2 furnaces and 3 miscellaneous.</t>
        </is>
      </c>
    </row>
    <row r="14">
      <c r="A14" s="15" t="inlineStr">
        <is>
          <t>Equipment count</t>
        </is>
      </c>
      <c r="B14" s="30" t="inlineStr">
        <is>
          <t>Physical units expanded from the tag suffixes</t>
        </is>
      </c>
      <c r="C14" s="32" t="n">
        <v>94</v>
      </c>
      <c r="D14" s="32" t="n">
        <v>94</v>
      </c>
      <c r="E14" s="32" t="n">
        <v>0</v>
      </c>
      <c r="F14" s="30" t="inlineStr">
        <is>
          <t>The 66 tags expand to 94 physical units: 34 pumps, 19 shell-and-tube exchangers, 17 vessels, 7 air coolers, 5 towers, 4 compressors, 4 miscellaneous, 2 reactors and 2 furnaces.</t>
        </is>
      </c>
    </row>
    <row r="15">
      <c r="A15" s="34" t="inlineStr">
        <is>
          <t>DIVERGENCE</t>
        </is>
      </c>
      <c r="B15" s="34" t="inlineStr">
        <is>
          <t>Gap in the pump tag sequence</t>
        </is>
      </c>
      <c r="C15" s="35" t="n">
        <v>17</v>
      </c>
      <c r="D15" s="35" t="n">
        <v>18</v>
      </c>
      <c r="E15" s="35" t="n">
        <v>-1</v>
      </c>
      <c r="F15" s="36" t="inlineStr">
        <is>
          <t>The pump list runs B-001, B-002, B-003, then jumps to B-005 and continues to B-018. Tag B-004 does not appear anywhere on the drawing. Either it was deleted from the design or it is missing from this legend. TO BE CONFIRMED WITH THE DESIGNER.</t>
        </is>
      </c>
    </row>
    <row r="16">
      <c r="A16" s="34" t="inlineStr">
        <is>
          <t>DIVERGENCE</t>
        </is>
      </c>
      <c r="B16" s="36" t="inlineStr">
        <is>
          <t>V-013 and V-014 carry the same description</t>
        </is>
      </c>
      <c r="C16" s="35" t="n">
        <v>2</v>
      </c>
      <c r="D16" s="35" t="n">
        <v>1</v>
      </c>
      <c r="E16" s="35" t="n">
        <v>1</v>
      </c>
      <c r="F16" s="36" t="inlineStr">
        <is>
          <t>Both tags are printed as 'VASO DE BLOWDOWN DE CONDENSADO' (condensate blowdown drum), with nothing distinguishing them. Two identical services are plausible, but the wording gives the reader no way to tell them apart. TO BE CONFIRMED WITH THE DESIGNER.</t>
        </is>
      </c>
    </row>
    <row r="17">
      <c r="A17" s="15" t="inlineStr">
        <is>
          <t>Legend wording</t>
        </is>
      </c>
      <c r="B17" s="15" t="inlineStr">
        <is>
          <t>Entries printed in Portuguese</t>
        </is>
      </c>
      <c r="C17" s="32" t="n">
        <v>8</v>
      </c>
      <c r="D17" s="32" t="n">
        <v>8</v>
      </c>
      <c r="E17" s="32" t="n">
        <v>0</v>
      </c>
      <c r="F17" s="30" t="inlineStr">
        <is>
          <t>The legend is in English except for V-011 to V-015 and B-016 to B-018, which are printed in Portuguese. In this English edition those eight descriptions are our translation; the 'Language on drawing' column of the Equipment List identifies them.</t>
        </is>
      </c>
    </row>
    <row r="18">
      <c r="A18" s="15" t="inlineStr">
        <is>
          <t>Legend wording</t>
        </is>
      </c>
      <c r="B18" s="15" t="inlineStr">
        <is>
          <t>Spelling in the legend</t>
        </is>
      </c>
      <c r="C18" s="32" t="n">
        <v>2</v>
      </c>
      <c r="D18" s="32" t="n">
        <v>2</v>
      </c>
      <c r="E18" s="32" t="n">
        <v>0</v>
      </c>
      <c r="F18" s="30" t="inlineStr">
        <is>
          <t>Two entries carry typing slips: P-014 reads 'REACTOR EFLUENT AIR COOLER' (should be EFFLUENT) and P-006 reads 'VACCUM COLUMN BOTTOMS EXCHANGER' (should be VACUUM). Both are reproduced correctly in this workbook.</t>
        </is>
      </c>
    </row>
    <row r="19">
      <c r="A19" s="15" t="inlineStr">
        <is>
          <t>Elevations</t>
        </is>
      </c>
      <c r="B19" s="15" t="inlineStr">
        <is>
          <t>Elevation labels</t>
        </is>
      </c>
      <c r="C19" s="32" t="n">
        <v>38</v>
      </c>
      <c r="D19" s="32" t="n">
        <v>38</v>
      </c>
      <c r="E19" s="32" t="n">
        <v>0</v>
      </c>
      <c r="F19" s="30" t="inlineStr">
        <is>
          <t>38 labels reduce to 28 distinct values, from EL. 19,250 to EL. 84,590 - a 65,34 m vertical envelope. EL. 36,450 appears 6 times and EL. 33,155 4 times, which points to shared platform levels across the structures.</t>
        </is>
      </c>
    </row>
    <row r="20">
      <c r="A20" s="15" t="inlineStr">
        <is>
          <t>Scope</t>
        </is>
      </c>
      <c r="B20" s="15" t="inlineStr">
        <is>
          <t>Elevation to tag association</t>
        </is>
      </c>
      <c r="C20" s="32" t="n">
        <v>0</v>
      </c>
      <c r="D20" s="32" t="n">
        <v>0</v>
      </c>
      <c r="E20" s="32" t="n">
        <v>0</v>
      </c>
      <c r="F20" s="30" t="inlineStr">
        <is>
          <t>The in-plan equipment labels are vector artwork, not selectable text, so the elevations cannot be tied to individual tags automatically. They are catalogued as levels. Tying each elevation to its equipment requires reading the drawing visually or the native CAD file.</t>
        </is>
      </c>
    </row>
    <row r="21">
      <c r="A21" s="15" t="inlineStr">
        <is>
          <t>Scope</t>
        </is>
      </c>
      <c r="B21" s="15" t="inlineStr">
        <is>
          <t>Nature of the drawing</t>
        </is>
      </c>
      <c r="C21" s="32" t="n">
        <v>0</v>
      </c>
      <c r="D21" s="32" t="n">
        <v>0</v>
      </c>
      <c r="E21" s="32" t="n">
        <v>0</v>
      </c>
      <c r="F21" s="30" t="inlineStr">
        <is>
          <t>This is a lay-out drawing: it carries positions, elevations and areas, not material quantities. Equipment dimensions, weights and bills of material must come from the datasheets and from the equipment arrangement plan DE-5400.00-5700-942-TX3-002.</t>
        </is>
      </c>
    </row>
  </sheetData>
  <mergeCells count="3">
    <mergeCell ref="A3:F3"/>
    <mergeCell ref="A2:F2"/>
    <mergeCell ref="A1:F1"/>
  </mergeCells>
  <printOptions horizontalCentered="1"/>
  <pageMargins left="0.3" right="0.3" top="0.4" bottom="0.4"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B15"/>
  <sheetViews>
    <sheetView showGridLines="0" workbookViewId="0">
      <selection activeCell="A1" sqref="A1"/>
    </sheetView>
  </sheetViews>
  <sheetFormatPr baseColWidth="8" defaultRowHeight="15"/>
  <cols>
    <col width="24" customWidth="1" min="1" max="1"/>
    <col width="150" customWidth="1" min="2" max="2"/>
  </cols>
  <sheetData>
    <row r="1" ht="36" customHeight="1">
      <c r="A1" s="1" t="inlineStr">
        <is>
          <t>READ ME - U-5700 HIDW LAY-OUT ANALYSIS</t>
        </is>
      </c>
    </row>
    <row r="2" ht="24" customHeight="1">
      <c r="A2" s="2" t="inlineStr">
        <is>
          <t>Source: drawing DE-5400.00-5700-190-TX3-102, Rev. 0 (03/08/2026) - LAY-OUT, UNIT U-5700 HIDW - AREAS. Hydroisodewaxing Unit, Boaventura Refinery. Scale 1/250, sheet A0 (1189 x 841 mm).</t>
        </is>
      </c>
    </row>
    <row r="5" ht="30" customHeight="1">
      <c r="A5" s="14" t="inlineStr">
        <is>
          <t>Topic</t>
        </is>
      </c>
      <c r="B5" s="14" t="inlineStr">
        <is>
          <t>Content transcribed from the drawing</t>
        </is>
      </c>
    </row>
    <row r="6" ht="58" customHeight="1">
      <c r="A6" s="30" t="inlineStr">
        <is>
          <t>Purpose</t>
        </is>
      </c>
      <c r="B6" s="30" t="inlineStr">
        <is>
          <t>To turn drawing DE-5400.00-5700-190-TX3-102 (lay-out of the U-5700 hydroisodewaxing unit) into an auditable equipment register with a management dashboard, covering every tag in the legend plus the areas, elevations, coordinates and site context printed on the sheet.</t>
        </is>
      </c>
    </row>
    <row r="7" ht="58" customHeight="1">
      <c r="A7" s="30" t="inlineStr">
        <is>
          <t>Primary source</t>
        </is>
      </c>
      <c r="B7" s="30" t="inlineStr">
        <is>
          <t>The equipment legend of the drawing, its areas table, its dimension lines, its coordinate labels, the general notes and the title block. Nothing here comes from outside the sheet.</t>
        </is>
      </c>
    </row>
    <row r="8" ht="58" customHeight="1">
      <c r="A8" s="30" t="inlineStr">
        <is>
          <t>What a lay-out drawing does and does not carry</t>
        </is>
      </c>
      <c r="B8" s="30" t="inlineStr">
        <is>
          <t>This drawing fixes WHERE equipment sits and at WHAT elevation, and how much area the unit occupies. It carries no equipment sizes, no weights and no material quantities. For those, go to the datasheets and to the equipment arrangement plan DE-5400.00-5700-942-TX3-002, listed as the reference document.</t>
        </is>
      </c>
    </row>
    <row r="9" ht="58" customHeight="1">
      <c r="A9" s="30" t="inlineStr">
        <is>
          <t>Tags versus physical units</t>
        </is>
      </c>
      <c r="B9" s="30" t="inlineStr">
        <is>
          <t>A tag such as B-001A/B stands for two pumps and P-004A/B/C for three exchangers. The workbook reports both counts: 66 tags and 94 physical units. Use tags for documentation and P&amp;ID work, units for procurement, erection and maintenance planning.</t>
        </is>
      </c>
    </row>
    <row r="10" ht="58" customHeight="1">
      <c r="A10" s="30" t="inlineStr">
        <is>
          <t>Process groups</t>
        </is>
      </c>
      <c r="B10" s="30" t="inlineStr">
        <is>
          <t>The 'Process Groups' tab classifies the equipment into six services - reaction and hydrogen circuit, fractionation and vacuum, base oil products, diesel, water and effluents, and utilities. This grouping is OUR reading of the service descriptions; the drawing does not group equipment this way. It is a planning aid, not a transcription.</t>
        </is>
      </c>
    </row>
    <row r="11" ht="58" customHeight="1">
      <c r="A11" s="30" t="inlineStr">
        <is>
          <t>Elevations</t>
        </is>
      </c>
      <c r="B11" s="30" t="inlineStr">
        <is>
          <t>The 38 elevation labels are catalogued as distinct levels in the 'Elevations' tab. They are NOT assigned to individual equipment: the drawing renders its in-plan labels as vector artwork rather than text, so an automatic association would be guesswork. EL. 36,450 (6 labels) and EL. 33,155 (4 labels) stand out as shared platform levels.</t>
        </is>
      </c>
    </row>
    <row r="12" ht="58" customHeight="1">
      <c r="A12" s="30" t="inlineStr">
        <is>
          <t>Critical controls</t>
        </is>
      </c>
      <c r="B12" s="30" t="inlineStr">
        <is>
          <t>Three points are flagged in amber in the Validations tab: the SIRGAS northing labels imply a constant ten times smaller than the one in Note 2; tag B-004 is missing from the pump sequence; and V-013 and V-014 carry identical descriptions. None of them changes the equipment count, but all three should be confirmed with the designer.</t>
        </is>
      </c>
    </row>
    <row r="13" ht="58" customHeight="1">
      <c r="A13" s="30" t="inlineStr">
        <is>
          <t>Language</t>
        </is>
      </c>
      <c r="B13" s="30" t="inlineStr">
        <is>
          <t>The drawing legend is in English except for eight entries (V-011 to V-015 and B-016 to B-018), printed in Portuguese. This is the English edition: those eight descriptions are our translation, and the 'Language on drawing' column identifies them. A Portuguese edition of this same workbook is delivered alongside it.</t>
        </is>
      </c>
    </row>
    <row r="14" ht="58" customHeight="1">
      <c r="A14" s="30" t="inlineStr">
        <is>
          <t>Units</t>
        </is>
      </c>
      <c r="B14" s="30" t="inlineStr">
        <is>
          <t>m = metre; m² = square metre; mm = millimetre; EL. = elevation in metres. Coordinates are in millimetres per Note 1. PDMS elevations convert to sea level by adding 26,140 m.</t>
        </is>
      </c>
    </row>
    <row r="15" ht="58" customHeight="1">
      <c r="A15" s="30" t="inlineStr">
        <is>
          <t>Limits of use</t>
        </is>
      </c>
      <c r="B15" s="30" t="inlineStr">
        <is>
          <t>A planning, budgeting and control document. Any use for construction or procurement must be validated by the project's technical manager.</t>
        </is>
      </c>
    </row>
  </sheetData>
  <mergeCells count="2">
    <mergeCell ref="A2:B2"/>
    <mergeCell ref="A1:B1"/>
  </mergeCells>
  <printOptions horizontalCentered="1"/>
  <pageMargins left="0.3" right="0.3" top="0.4" bottom="0.4"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2026-09-01T12:15:58Z</dcterms:created>
  <dcterms:modified xsi:type="dcterms:W3CDTF">2026-09-01T12:15:58Z</dcterms:modified>
</cp:coreProperties>
</file>